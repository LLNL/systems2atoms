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haredStrings.xml" ContentType="application/vnd.openxmlformats-officedocument.spreadsheetml.sharedStrings+xml"/>
  <Override PartName="/xl/charts/style1.xml" ContentType="application/vnd.ms-office.chartstyle+xml"/>
  <Override PartName="/xl/drawings/drawing1.xml" ContentType="application/vnd.openxmlformats-officedocument.drawing+xml"/>
  <Override PartName="/xl/charts/chartEx1.xml" ContentType="application/vnd.ms-office.chartex+xml"/>
  <Override PartName="/xl/theme/theme1.xml" ContentType="application/vnd.openxmlformats-officedocument.theme+xml"/>
  <Override PartName="/xl/styles.xml" ContentType="application/vnd.openxmlformats-officedocument.spreadsheetml.styles+xml"/>
  <Override PartName="/xl/vbaProject.bin" ContentType="application/vnd.ms-office.vbaProject"/>
  <Override PartName="/xl/charts/colors1.xml" ContentType="application/vnd.ms-office.chartcolorstyle+xml"/>
  <Override PartName="/xl/calcChain.xml" ContentType="application/vnd.openxmlformats-officedocument.spreadsheetml.calcChain+xml"/>
  <Override PartName="/xl/externalLinks/externalLink1.xml" ContentType="application/vnd.openxmlformats-officedocument.spreadsheetml.externalLink+xml"/>
  <Override PartName="/docProps/core.xml" ContentType="application/vnd.openxmlformats-package.core-properties+xml"/>
  <Override PartName="/docProps/app.xml" ContentType="application/vnd.openxmlformats-officedocument.extended-properties+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metadata.xml" ContentType="application/vnd.openxmlformats-officedocument.spreadsheetml.sheetMetadata+xml"/>
  <Override PartName="/xl/comments1.xml" ContentType="application/vnd.openxmlformats-officedocument.spreadsheetml.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autoCompressPictures="0" defaultThemeVersion="166925"/>
  <mc:AlternateContent xmlns:mc="http://schemas.openxmlformats.org/markup-compatibility/2006">
    <mc:Choice Requires="x15">
      <x15ac:absPath xmlns:x15ac="http://schemas.microsoft.com/office/spreadsheetml/2010/11/ac" url="https://doellnl-my.sharepoint.com/personal/yuan13_llnl_gov/Documents/Documents/_work/projects/System to Atoms (S2A)/modeling/model - LOCAL COPY/"/>
    </mc:Choice>
  </mc:AlternateContent>
  <xr:revisionPtr revIDLastSave="1737" documentId="8_{804393F7-B831-4D57-AAB1-9A94112F81F1}" xr6:coauthVersionLast="47" xr6:coauthVersionMax="47" xr10:uidLastSave="{C6DFBFE7-3D17-4A9B-AACC-DBAEA40B7AC9}"/>
  <bookViews>
    <workbookView xWindow="19200" yWindow="0" windowWidth="19200" windowHeight="21000" tabRatio="831" activeTab="2" xr2:uid="{AB9E3271-1053-40F2-B110-0AD86B64112C}"/>
  </bookViews>
  <sheets>
    <sheet name="Change Log" sheetId="88" r:id="rId1"/>
    <sheet name="ReadMe" sheetId="87" r:id="rId2"/>
    <sheet name="User Interface" sheetId="86" r:id="rId3"/>
    <sheet name="Calculations" sheetId="5" r:id="rId4"/>
    <sheet name="FINEX" sheetId="34" r:id="rId5"/>
    <sheet name="Options" sheetId="11" r:id="rId6"/>
  </sheets>
  <externalReferences>
    <externalReference r:id="rId7"/>
    <externalReference r:id="rId8"/>
    <externalReference r:id="rId9"/>
    <externalReference r:id="rId10"/>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769</definedName>
    <definedName name="_AtRisk_SimSetting_ReportOptionReportsFileType" hidden="1">1</definedName>
    <definedName name="_AtRisk_SimSetting_ReportOptionSelectiveQR" hidden="1">FALSE</definedName>
    <definedName name="_AtRisk_SimSetting_ReportsList" hidden="1">769</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 hidden="1">'User Interface'!$C$24:$C$30</definedName>
    <definedName name="_xlchart.v1.0" hidden="1">'User Interface'!$D$13:$D$33</definedName>
    <definedName name="_xlchart.v1.1" hidden="1">'User Interface'!$E$13:$E$33</definedName>
    <definedName name="AboveSeal_Depth">'[1]Geo-Activity Interaction'!$E$61</definedName>
    <definedName name="AboveSeal_Depth_Units">'[1]Geo-Activity Interaction'!$F$61</definedName>
    <definedName name="AS2DocOpenMode" hidden="1">"AS2DocumentEdit"</definedName>
    <definedName name="ChangeCell">FINEX!#REF!</definedName>
    <definedName name="d360.">'[2]Geol Sal'!$D$98</definedName>
    <definedName name="Distance">FINEX!#REF!</definedName>
    <definedName name="distance_mi">'User Interface'!$B$5</definedName>
    <definedName name="Engineer_Rate">[1]Activity_Inputs!$E$10</definedName>
    <definedName name="Engineer_Rate_Units">[1]Activity_Inputs!$F$10</definedName>
    <definedName name="Eno_TM">'[3]1997  Table 1a Modified'!#REF!</definedName>
    <definedName name="Eno_Tons">'[3]1997  Table 1a Modified'!#REF!</definedName>
    <definedName name="Field_Rate">[1]Activity_Inputs!$E$12</definedName>
    <definedName name="Field_Rate_Units">[1]Activity_Inputs!$F$12</definedName>
    <definedName name="Geologist_Rate">[1]Activity_Inputs!$E$9</definedName>
    <definedName name="Geologist_Rate_Units">[1]Activity_Inputs!$F$9</definedName>
    <definedName name="Groundwater_Depth">'[1]Geo-Activity Interaction'!$E$62</definedName>
    <definedName name="Groundwater_Depth_Units">'[1]Geo-Activity Interaction'!$F$62</definedName>
    <definedName name="Injection_Depth">'[1]Geo-Activity Interaction'!$E$58</definedName>
    <definedName name="Injection_Depth_Units">'[1]Geo-Activity Interaction'!$F$58</definedName>
    <definedName name="InReservoir_Depth">'[1]Geo-Activity Interaction'!$E$60</definedName>
    <definedName name="InReservoir_Depth_Units">'[1]Geo-Activity Interaction'!$F$60</definedName>
    <definedName name="IRR">FINEX!$C$12</definedName>
    <definedName name="L_PL">'[4]Eng Mod'!$D$10</definedName>
    <definedName name="Landman_Rate">[1]Activity_Inputs!$E$11</definedName>
    <definedName name="Landman_Rate_Units">[1]Activity_Inputs!$F$11</definedName>
    <definedName name="Len_PL_U">'[4]Eng Mod'!$E$10</definedName>
    <definedName name="n_pumps">'[4]Eng Mod'!$D$16</definedName>
    <definedName name="P_in">'[4]Eng Mod'!$D$11</definedName>
    <definedName name="P_out">'[4]Eng Mod'!$D$12</definedName>
    <definedName name="PL_d">'[4]Eng Mod'!$G$48</definedName>
    <definedName name="Pr_units">'[4]Eng Mod'!$E$11</definedName>
    <definedName name="Price">FINEX!$C$5</definedName>
    <definedName name="_xlnm.Print_Area" localSheetId="4">FINEX!$A$3:$U$159</definedName>
    <definedName name="_xlnm.Print_Titles" localSheetId="4">FINEX!$B:$B</definedName>
    <definedName name="pump_power">'[4]Eng Mod'!$D$67</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FALSE</definedName>
    <definedName name="SetCell">FINEX!#REF!</definedName>
    <definedName name="Size">FINEX!#REF!</definedName>
    <definedName name="size_kt_co2_per_yr">'User Interface'!$B$4</definedName>
    <definedName name="solver_adj" localSheetId="3" hidden="1">Calculations!$B$779</definedName>
    <definedName name="solver_adj" localSheetId="4" hidden="1">FINEX!$C$5</definedName>
    <definedName name="solver_cvg" localSheetId="3" hidden="1">0.0001</definedName>
    <definedName name="solver_cvg" localSheetId="4" hidden="1">0.0001</definedName>
    <definedName name="solver_drv" localSheetId="3" hidden="1">1</definedName>
    <definedName name="solver_drv" localSheetId="4" hidden="1">1</definedName>
    <definedName name="solver_eng" localSheetId="3" hidden="1">1</definedName>
    <definedName name="solver_eng" localSheetId="4" hidden="1">1</definedName>
    <definedName name="solver_eng" localSheetId="2" hidden="1">1</definedName>
    <definedName name="solver_est" localSheetId="3" hidden="1">1</definedName>
    <definedName name="solver_est" localSheetId="4" hidden="1">1</definedName>
    <definedName name="solver_itr" localSheetId="3" hidden="1">2147483647</definedName>
    <definedName name="solver_itr" localSheetId="4" hidden="1">2147483647</definedName>
    <definedName name="solver_lhs1" localSheetId="3" hidden="1">Calculations!$B$779</definedName>
    <definedName name="solver_lhs1" localSheetId="4" hidden="1">FINEX!$C$12</definedName>
    <definedName name="solver_lhs2" localSheetId="3" hidden="1">Calculations!$B$779</definedName>
    <definedName name="solver_lhs2" localSheetId="4" hidden="1">FINEX!$C$5</definedName>
    <definedName name="solver_lhs3" localSheetId="3" hidden="1">Calculations!$D$779</definedName>
    <definedName name="solver_lhs4" localSheetId="3" hidden="1">Calculations!$D$779</definedName>
    <definedName name="solver_lhs5" localSheetId="3" hidden="1">Calculations!$D$779</definedName>
    <definedName name="solver_lhs6" localSheetId="3" hidden="1">Calculations!$D$779</definedName>
    <definedName name="solver_lhs7" localSheetId="3" hidden="1">Calculations!$D$779</definedName>
    <definedName name="solver_lhs8" localSheetId="3" hidden="1">Calculations!$D$779</definedName>
    <definedName name="solver_lin" localSheetId="4" hidden="1">2</definedName>
    <definedName name="solver_mip" localSheetId="3" hidden="1">2147483647</definedName>
    <definedName name="solver_mip" localSheetId="4" hidden="1">2147483647</definedName>
    <definedName name="solver_mni" localSheetId="3" hidden="1">30</definedName>
    <definedName name="solver_mni" localSheetId="4" hidden="1">30</definedName>
    <definedName name="solver_mrt" localSheetId="3" hidden="1">0.075</definedName>
    <definedName name="solver_mrt" localSheetId="4" hidden="1">0.075</definedName>
    <definedName name="solver_msl" localSheetId="3" hidden="1">2</definedName>
    <definedName name="solver_msl" localSheetId="4" hidden="1">2</definedName>
    <definedName name="solver_neg" localSheetId="3" hidden="1">1</definedName>
    <definedName name="solver_neg" localSheetId="4" hidden="1">1</definedName>
    <definedName name="solver_neg" localSheetId="2" hidden="1">1</definedName>
    <definedName name="solver_nod" localSheetId="3" hidden="1">2147483647</definedName>
    <definedName name="solver_nod" localSheetId="4" hidden="1">2147483647</definedName>
    <definedName name="solver_num" localSheetId="3" hidden="1">2</definedName>
    <definedName name="solver_num" localSheetId="4" hidden="1">1</definedName>
    <definedName name="solver_num" localSheetId="2" hidden="1">0</definedName>
    <definedName name="solver_nwt" localSheetId="3" hidden="1">1</definedName>
    <definedName name="solver_nwt" localSheetId="4" hidden="1">1</definedName>
    <definedName name="solver_opt" localSheetId="3" hidden="1">Calculations!$B$778</definedName>
    <definedName name="solver_opt" localSheetId="4" hidden="1">FINEX!$C$7</definedName>
    <definedName name="solver_pre" localSheetId="3" hidden="1">0.000001</definedName>
    <definedName name="solver_pre" localSheetId="4" hidden="1">0.000001</definedName>
    <definedName name="solver_rbv" localSheetId="3" hidden="1">1</definedName>
    <definedName name="solver_rbv" localSheetId="4" hidden="1">1</definedName>
    <definedName name="solver_rel1" localSheetId="3" hidden="1">1</definedName>
    <definedName name="solver_rel1" localSheetId="4" hidden="1">3</definedName>
    <definedName name="solver_rel2" localSheetId="3" hidden="1">3</definedName>
    <definedName name="solver_rel2" localSheetId="4" hidden="1">3</definedName>
    <definedName name="solver_rel3" localSheetId="3" hidden="1">3</definedName>
    <definedName name="solver_rel4" localSheetId="3" hidden="1">3</definedName>
    <definedName name="solver_rel5" localSheetId="3" hidden="1">3</definedName>
    <definedName name="solver_rel6" localSheetId="3" hidden="1">3</definedName>
    <definedName name="solver_rel7" localSheetId="3" hidden="1">3</definedName>
    <definedName name="solver_rel8" localSheetId="3" hidden="1">3</definedName>
    <definedName name="solver_rhs1" localSheetId="3" hidden="1">Calculations!$B$758</definedName>
    <definedName name="solver_rhs1" localSheetId="4" hidden="1">FINEX!$C$13</definedName>
    <definedName name="solver_rhs2" localSheetId="3" hidden="1">Calculations!$B$760</definedName>
    <definedName name="solver_rhs2" localSheetId="4" hidden="1">FINEX!$C$6</definedName>
    <definedName name="solver_rhs3" localSheetId="3" hidden="1">Calculations!$B$760</definedName>
    <definedName name="solver_rhs4" localSheetId="3" hidden="1">Calculations!$B$760</definedName>
    <definedName name="solver_rhs5" localSheetId="3" hidden="1">Calculations!$B$760</definedName>
    <definedName name="solver_rhs6" localSheetId="3" hidden="1">Calculations!$B$760</definedName>
    <definedName name="solver_rhs7" localSheetId="3" hidden="1">Calculations!$B$760</definedName>
    <definedName name="solver_rhs8" localSheetId="3" hidden="1">Calculations!$B$760</definedName>
    <definedName name="solver_rlx" localSheetId="3" hidden="1">2</definedName>
    <definedName name="solver_rlx" localSheetId="4" hidden="1">1</definedName>
    <definedName name="solver_rsd" localSheetId="3" hidden="1">0</definedName>
    <definedName name="solver_rsd" localSheetId="4" hidden="1">0</definedName>
    <definedName name="solver_scl" localSheetId="3" hidden="1">1</definedName>
    <definedName name="solver_scl" localSheetId="4" hidden="1">2</definedName>
    <definedName name="solver_sho" localSheetId="3" hidden="1">2</definedName>
    <definedName name="solver_sho" localSheetId="4" hidden="1">2</definedName>
    <definedName name="solver_ssz" localSheetId="3" hidden="1">100</definedName>
    <definedName name="solver_ssz" localSheetId="4" hidden="1">100</definedName>
    <definedName name="solver_tim" localSheetId="3" hidden="1">2147483647</definedName>
    <definedName name="solver_tim" localSheetId="4" hidden="1">2147483647</definedName>
    <definedName name="solver_tol" localSheetId="3" hidden="1">0.01</definedName>
    <definedName name="solver_tol" localSheetId="4" hidden="1">0.01</definedName>
    <definedName name="solver_typ" localSheetId="3" hidden="1">3</definedName>
    <definedName name="solver_typ" localSheetId="4" hidden="1">2</definedName>
    <definedName name="solver_typ" localSheetId="2" hidden="1">1</definedName>
    <definedName name="solver_val" localSheetId="3" hidden="1">0</definedName>
    <definedName name="solver_val" localSheetId="4" hidden="1">0</definedName>
    <definedName name="solver_val" localSheetId="2" hidden="1">0</definedName>
    <definedName name="solver_ver" localSheetId="3" hidden="1">3</definedName>
    <definedName name="solver_ver" localSheetId="4" hidden="1">3</definedName>
    <definedName name="solver_ver" localSheetId="2" hidden="1">3</definedName>
    <definedName name="start_year">'User Interface'!$B$23</definedName>
    <definedName name="Strat_Depth">'[1]Geo-Activity Interaction'!$E$57</definedName>
    <definedName name="Strat_Depth_Units">'[1]Geo-Activity Interaction'!$F$57</definedName>
    <definedName name="Sum_T2">'[3]1997  Table 1a Modified'!#REF!</definedName>
    <definedName name="Sum_TTM">'[3]1997  Table 1a Modified'!#REF!</definedName>
    <definedName name="T_Pipeline">'[4]Eng Mod'!$D$7</definedName>
    <definedName name="T_Pipeline_U">'[4]Eng Mod'!$E$7</definedName>
    <definedName name="Target">FINEX!$C$13</definedName>
    <definedName name="VadoseZone_Depth">'[1]Geo-Activity Interaction'!$E$63</definedName>
    <definedName name="VadoseZone_Depth_Units">'[1]Geo-Activity Interaction'!$F$63</definedName>
    <definedName name="WaterDisposal_Depth">'[1]Geo-Activity Interaction'!$E$66</definedName>
    <definedName name="WaterDisposal_Depth_Units">'[1]Geo-Activity Interaction'!$F$66</definedName>
    <definedName name="WaterProduction_Depth">'[1]Geo-Activity Interaction'!$E$65</definedName>
    <definedName name="WaterProduction_Depth_Units">'[1]Geo-Activity Interaction'!$F$65</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41" i="5" l="1"/>
  <c r="B878" i="5"/>
  <c r="E1102" i="5"/>
  <c r="E1104" i="5"/>
  <c r="A733" i="5"/>
  <c r="A734" i="5"/>
  <c r="A735" i="5"/>
  <c r="A736" i="5"/>
  <c r="A737" i="5"/>
  <c r="A738" i="5"/>
  <c r="A739" i="5"/>
  <c r="A740" i="5"/>
  <c r="A741" i="5"/>
  <c r="A731" i="5"/>
  <c r="A732" i="5"/>
  <c r="A728" i="5"/>
  <c r="A729" i="5"/>
  <c r="A730" i="5"/>
  <c r="A719" i="5"/>
  <c r="A720" i="5"/>
  <c r="A721" i="5"/>
  <c r="A722" i="5"/>
  <c r="A723" i="5"/>
  <c r="A724" i="5"/>
  <c r="A726" i="5"/>
  <c r="A727" i="5"/>
  <c r="A716" i="5"/>
  <c r="A717" i="5"/>
  <c r="A718" i="5"/>
  <c r="A710" i="5"/>
  <c r="A711" i="5"/>
  <c r="A712" i="5"/>
  <c r="A713" i="5"/>
  <c r="A709" i="5"/>
  <c r="D1104" i="5"/>
  <c r="D1102" i="5"/>
  <c r="D397" i="5" l="1"/>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A438" i="5"/>
  <c r="D438" i="5" s="1"/>
  <c r="A391" i="5"/>
  <c r="B781" i="5" l="1"/>
  <c r="E6" i="86"/>
  <c r="B246" i="5"/>
  <c r="S239" i="5" l="1"/>
  <c r="R239" i="5"/>
  <c r="S182" i="5"/>
  <c r="S183" i="5"/>
  <c r="S184" i="5"/>
  <c r="S185" i="5"/>
  <c r="S186" i="5"/>
  <c r="S187" i="5"/>
  <c r="S188" i="5"/>
  <c r="S189" i="5"/>
  <c r="S191" i="5"/>
  <c r="S192" i="5"/>
  <c r="S193" i="5"/>
  <c r="S194" i="5"/>
  <c r="S195" i="5"/>
  <c r="S196" i="5"/>
  <c r="S197" i="5"/>
  <c r="S198" i="5"/>
  <c r="S199" i="5"/>
  <c r="S200" i="5"/>
  <c r="S201" i="5"/>
  <c r="S202" i="5"/>
  <c r="S203" i="5"/>
  <c r="S204" i="5"/>
  <c r="S205" i="5"/>
  <c r="S206" i="5"/>
  <c r="S207" i="5"/>
  <c r="S208" i="5"/>
  <c r="S209" i="5"/>
  <c r="S210" i="5"/>
  <c r="S211" i="5"/>
  <c r="S212" i="5"/>
  <c r="S213" i="5"/>
  <c r="S214" i="5"/>
  <c r="S215" i="5"/>
  <c r="S216" i="5"/>
  <c r="S217" i="5"/>
  <c r="S218" i="5"/>
  <c r="S219" i="5"/>
  <c r="S220" i="5"/>
  <c r="S221" i="5"/>
  <c r="S222" i="5"/>
  <c r="S223" i="5"/>
  <c r="S224" i="5"/>
  <c r="S225" i="5"/>
  <c r="S226" i="5"/>
  <c r="S227" i="5"/>
  <c r="S228" i="5"/>
  <c r="S229" i="5"/>
  <c r="S180" i="5"/>
  <c r="R182" i="5"/>
  <c r="R183" i="5"/>
  <c r="R184" i="5"/>
  <c r="R185" i="5"/>
  <c r="R186" i="5"/>
  <c r="R187" i="5"/>
  <c r="R188" i="5"/>
  <c r="R189" i="5"/>
  <c r="R191" i="5"/>
  <c r="R192" i="5"/>
  <c r="R193" i="5"/>
  <c r="R194" i="5"/>
  <c r="R195" i="5"/>
  <c r="R196" i="5"/>
  <c r="R197" i="5"/>
  <c r="R198" i="5"/>
  <c r="R199" i="5"/>
  <c r="R200" i="5"/>
  <c r="R201" i="5"/>
  <c r="R202" i="5"/>
  <c r="R203" i="5"/>
  <c r="R204" i="5"/>
  <c r="R205" i="5"/>
  <c r="R206" i="5"/>
  <c r="R207" i="5"/>
  <c r="R208" i="5"/>
  <c r="R209" i="5"/>
  <c r="R210" i="5"/>
  <c r="R211" i="5"/>
  <c r="R212" i="5"/>
  <c r="R213" i="5"/>
  <c r="R214" i="5"/>
  <c r="R215" i="5"/>
  <c r="R216" i="5"/>
  <c r="R217" i="5"/>
  <c r="R218" i="5"/>
  <c r="R219" i="5"/>
  <c r="R220" i="5"/>
  <c r="R221" i="5"/>
  <c r="R222" i="5"/>
  <c r="R223" i="5"/>
  <c r="R224" i="5"/>
  <c r="R225" i="5"/>
  <c r="R226" i="5"/>
  <c r="R227" i="5"/>
  <c r="R228" i="5"/>
  <c r="R229" i="5"/>
  <c r="R180" i="5"/>
  <c r="S233" i="5" l="1" a="1"/>
  <c r="S233" i="5" s="1"/>
  <c r="S234" i="5" a="1"/>
  <c r="S234" i="5" s="1"/>
  <c r="S235" i="5" a="1"/>
  <c r="S235" i="5" s="1"/>
  <c r="S236" i="5" a="1"/>
  <c r="S236" i="5" s="1"/>
  <c r="S242" i="5" s="1"/>
  <c r="S232" i="5" a="1"/>
  <c r="S232" i="5" s="1"/>
  <c r="R234" i="5" a="1"/>
  <c r="R234" i="5" s="1"/>
  <c r="R232" i="5" a="1"/>
  <c r="R232" i="5" s="1"/>
  <c r="R236" i="5" a="1"/>
  <c r="R236" i="5" s="1"/>
  <c r="R242" i="5" s="1"/>
  <c r="R233" i="5" a="1"/>
  <c r="R233" i="5" s="1"/>
  <c r="R235" i="5" a="1"/>
  <c r="R235" i="5" s="1"/>
  <c r="C27" i="34"/>
  <c r="C26" i="34"/>
  <c r="C31" i="34"/>
  <c r="C28" i="34"/>
  <c r="Y239" i="5" a="1"/>
  <c r="Y239" i="5" s="1"/>
  <c r="D239" i="5"/>
  <c r="C234" i="5"/>
  <c r="C235" i="5"/>
  <c r="C236" i="5"/>
  <c r="C233" i="5"/>
  <c r="C232" i="5"/>
  <c r="B264" i="5"/>
  <c r="C260" i="5"/>
  <c r="B101" i="5"/>
  <c r="B8" i="5"/>
  <c r="B260" i="5" s="1"/>
  <c r="B261" i="5" s="1"/>
  <c r="C14" i="11"/>
  <c r="C23" i="11" s="1"/>
  <c r="C32" i="11" s="1"/>
  <c r="C15" i="11"/>
  <c r="C24" i="11" s="1"/>
  <c r="C33" i="11" s="1"/>
  <c r="C16" i="11"/>
  <c r="C25" i="11" s="1"/>
  <c r="C34" i="11" s="1"/>
  <c r="C17" i="11"/>
  <c r="C26" i="11" s="1"/>
  <c r="C35" i="11" s="1"/>
  <c r="C18" i="11"/>
  <c r="C27" i="11" s="1"/>
  <c r="C36" i="11" s="1"/>
  <c r="C19" i="11"/>
  <c r="C28" i="11" s="1"/>
  <c r="C20" i="11"/>
  <c r="C29" i="11" s="1"/>
  <c r="C21" i="11"/>
  <c r="C30" i="11" s="1"/>
  <c r="C22" i="11"/>
  <c r="C31" i="11" s="1"/>
  <c r="B262" i="5" l="1"/>
  <c r="B265" i="5" s="1"/>
  <c r="D4" i="86"/>
  <c r="C242" i="5"/>
  <c r="C169" i="5" l="1"/>
  <c r="B83" i="5"/>
  <c r="B831" i="5"/>
  <c r="B521" i="5"/>
  <c r="F524" i="5" s="1"/>
  <c r="B833" i="5"/>
  <c r="CH218" i="5"/>
  <c r="G527" i="5" l="1"/>
  <c r="G540" i="5" s="1"/>
  <c r="B906" i="5"/>
  <c r="D33" i="86"/>
  <c r="D32" i="86"/>
  <c r="D23" i="86"/>
  <c r="D24" i="86"/>
  <c r="D25" i="86"/>
  <c r="D26" i="86"/>
  <c r="D27" i="86"/>
  <c r="D28" i="86"/>
  <c r="D29" i="86"/>
  <c r="D30" i="86"/>
  <c r="D22" i="86"/>
  <c r="D21" i="86"/>
  <c r="D14" i="86"/>
  <c r="D15" i="86"/>
  <c r="D16" i="86"/>
  <c r="D17" i="86"/>
  <c r="D18" i="86"/>
  <c r="D19" i="86"/>
  <c r="D20" i="86"/>
  <c r="D13" i="86"/>
  <c r="B71" i="34"/>
  <c r="B106" i="34" s="1"/>
  <c r="B72" i="34"/>
  <c r="B107" i="34" s="1"/>
  <c r="B67" i="34"/>
  <c r="B102" i="34" s="1"/>
  <c r="B68" i="34"/>
  <c r="B103" i="34" s="1"/>
  <c r="C37" i="34"/>
  <c r="B11" i="5"/>
  <c r="B12" i="5"/>
  <c r="B66" i="34"/>
  <c r="B101" i="34" s="1"/>
  <c r="B69" i="34"/>
  <c r="B70" i="34"/>
  <c r="B866" i="5"/>
  <c r="B868" i="5" l="1"/>
  <c r="B128" i="5"/>
  <c r="B248" i="5"/>
  <c r="B808" i="5"/>
  <c r="B852" i="5"/>
  <c r="B853" i="5" s="1"/>
  <c r="D1109" i="5"/>
  <c r="E1109" i="5"/>
  <c r="E1107" i="5"/>
  <c r="D1107" i="5"/>
  <c r="D1105" i="5"/>
  <c r="D1103" i="5"/>
  <c r="B1105" i="5"/>
  <c r="B1102" i="5"/>
  <c r="D950" i="5"/>
  <c r="D954" i="5" s="1"/>
  <c r="D955" i="5" s="1"/>
  <c r="D941" i="5"/>
  <c r="D934" i="5"/>
  <c r="D932" i="5"/>
  <c r="D936" i="5" s="1"/>
  <c r="C950" i="5"/>
  <c r="C954" i="5" s="1"/>
  <c r="C941" i="5"/>
  <c r="C934" i="5"/>
  <c r="C932" i="5"/>
  <c r="C936" i="5" s="1"/>
  <c r="CF181" i="5"/>
  <c r="CF190" i="5"/>
  <c r="CF218" i="5"/>
  <c r="G524" i="5"/>
  <c r="B650" i="5"/>
  <c r="B651" i="5" s="1"/>
  <c r="B646" i="5"/>
  <c r="B647" i="5" s="1"/>
  <c r="A340" i="5" l="1"/>
  <c r="A269" i="5"/>
  <c r="E1105" i="5"/>
  <c r="C1096" i="5"/>
  <c r="C955" i="5"/>
  <c r="B524" i="5" l="1"/>
  <c r="B537" i="5" s="1"/>
  <c r="C277" i="5"/>
  <c r="V239" i="5" l="1"/>
  <c r="W233" i="5"/>
  <c r="W234" i="5"/>
  <c r="W235" i="5"/>
  <c r="W236" i="5"/>
  <c r="V233" i="5"/>
  <c r="V234" i="5"/>
  <c r="V235" i="5"/>
  <c r="V236" i="5"/>
  <c r="W232" i="5"/>
  <c r="V232" i="5"/>
  <c r="U232" i="5" a="1"/>
  <c r="U232" i="5" s="1"/>
  <c r="CH239" i="5"/>
  <c r="CG239" i="5"/>
  <c r="CH181" i="5"/>
  <c r="CH190" i="5"/>
  <c r="CG181" i="5"/>
  <c r="CG190" i="5"/>
  <c r="CG218" i="5"/>
  <c r="BY176" i="5"/>
  <c r="BZ176" i="5"/>
  <c r="CA176" i="5"/>
  <c r="CB176" i="5"/>
  <c r="CC176" i="5"/>
  <c r="CD176" i="5"/>
  <c r="BX176" i="5"/>
  <c r="H901" i="5"/>
  <c r="CA175" i="5" s="1"/>
  <c r="H899" i="5"/>
  <c r="BY175" i="5" s="1"/>
  <c r="H900" i="5"/>
  <c r="BZ175" i="5" s="1"/>
  <c r="H902" i="5"/>
  <c r="CB175" i="5" s="1"/>
  <c r="H903" i="5"/>
  <c r="CC175" i="5" s="1"/>
  <c r="H904" i="5"/>
  <c r="CD175" i="5" s="1"/>
  <c r="H898" i="5"/>
  <c r="BX175" i="5" s="1"/>
  <c r="CH186" i="5" l="1"/>
  <c r="CH208" i="5"/>
  <c r="CG186" i="5"/>
  <c r="CG180" i="5"/>
  <c r="CG208" i="5"/>
  <c r="W242" i="5"/>
  <c r="CH183" i="5"/>
  <c r="CH180" i="5"/>
  <c r="CG189" i="5"/>
  <c r="CH214" i="5"/>
  <c r="CH182" i="5"/>
  <c r="CG212" i="5"/>
  <c r="CG211" i="5"/>
  <c r="CG203" i="5"/>
  <c r="CG195" i="5"/>
  <c r="CG187" i="5"/>
  <c r="CH229" i="5"/>
  <c r="CH221" i="5"/>
  <c r="CH213" i="5"/>
  <c r="CH205" i="5"/>
  <c r="CH197" i="5"/>
  <c r="CH189" i="5"/>
  <c r="CG220" i="5"/>
  <c r="CG204" i="5"/>
  <c r="CH222" i="5"/>
  <c r="CG219" i="5"/>
  <c r="CG226" i="5"/>
  <c r="CG202" i="5"/>
  <c r="CH228" i="5"/>
  <c r="CH212" i="5"/>
  <c r="CH188" i="5"/>
  <c r="CG209" i="5"/>
  <c r="CG193" i="5"/>
  <c r="CH227" i="5"/>
  <c r="CH211" i="5"/>
  <c r="CH195" i="5"/>
  <c r="CG224" i="5"/>
  <c r="CG200" i="5"/>
  <c r="CG184" i="5"/>
  <c r="CH210" i="5"/>
  <c r="CH202" i="5"/>
  <c r="CG223" i="5"/>
  <c r="CG215" i="5"/>
  <c r="CG207" i="5"/>
  <c r="CG199" i="5"/>
  <c r="CG191" i="5"/>
  <c r="CG183" i="5"/>
  <c r="CH225" i="5"/>
  <c r="CH217" i="5"/>
  <c r="CH209" i="5"/>
  <c r="CH201" i="5"/>
  <c r="CH193" i="5"/>
  <c r="CH185" i="5"/>
  <c r="CG228" i="5"/>
  <c r="CG188" i="5"/>
  <c r="CH206" i="5"/>
  <c r="CG227" i="5"/>
  <c r="CG217" i="5"/>
  <c r="CG201" i="5"/>
  <c r="CH219" i="5"/>
  <c r="CH203" i="5"/>
  <c r="CH187" i="5"/>
  <c r="CG216" i="5"/>
  <c r="CG192" i="5"/>
  <c r="CH226" i="5"/>
  <c r="CH194" i="5"/>
  <c r="CG222" i="5"/>
  <c r="CG214" i="5"/>
  <c r="CG206" i="5"/>
  <c r="CG198" i="5"/>
  <c r="CG182" i="5"/>
  <c r="CH224" i="5"/>
  <c r="CH216" i="5"/>
  <c r="CH200" i="5"/>
  <c r="CH192" i="5"/>
  <c r="CH184" i="5"/>
  <c r="CG196" i="5"/>
  <c r="CH198" i="5"/>
  <c r="CG210" i="5"/>
  <c r="CG194" i="5"/>
  <c r="CH220" i="5"/>
  <c r="CH204" i="5"/>
  <c r="CH196" i="5"/>
  <c r="CG225" i="5"/>
  <c r="CG185" i="5"/>
  <c r="CG229" i="5"/>
  <c r="CG221" i="5"/>
  <c r="CG213" i="5"/>
  <c r="CG205" i="5"/>
  <c r="CG197" i="5"/>
  <c r="CH223" i="5"/>
  <c r="CH215" i="5"/>
  <c r="CH207" i="5"/>
  <c r="CH199" i="5"/>
  <c r="CH191" i="5"/>
  <c r="CE218" i="5"/>
  <c r="CE181" i="5"/>
  <c r="CE190" i="5"/>
  <c r="BN180" i="5"/>
  <c r="E897" i="5"/>
  <c r="CF239" i="5" s="1"/>
  <c r="C897" i="5"/>
  <c r="CE239" i="5" s="1"/>
  <c r="E899" i="5"/>
  <c r="BY177" i="5" s="1"/>
  <c r="E900" i="5"/>
  <c r="BZ177" i="5" s="1"/>
  <c r="E901" i="5"/>
  <c r="CA177" i="5" s="1"/>
  <c r="E902" i="5"/>
  <c r="CB177" i="5" s="1"/>
  <c r="E903" i="5"/>
  <c r="CC177" i="5" s="1"/>
  <c r="E904" i="5"/>
  <c r="CD177" i="5" s="1"/>
  <c r="E898" i="5"/>
  <c r="BX177" i="5" s="1"/>
  <c r="C899" i="5"/>
  <c r="BY178" i="5" s="1"/>
  <c r="C900" i="5"/>
  <c r="BZ178" i="5" s="1"/>
  <c r="C901" i="5"/>
  <c r="CA178" i="5" s="1"/>
  <c r="C902" i="5"/>
  <c r="CB178" i="5" s="1"/>
  <c r="C903" i="5"/>
  <c r="CC178" i="5" s="1"/>
  <c r="C904" i="5"/>
  <c r="CD178" i="5" s="1"/>
  <c r="C898" i="5"/>
  <c r="BX178" i="5" s="1"/>
  <c r="CE208" i="5" l="1"/>
  <c r="CE186" i="5"/>
  <c r="CF186" i="5"/>
  <c r="CF208" i="5"/>
  <c r="CH236" i="5"/>
  <c r="CF229" i="5"/>
  <c r="CF188" i="5"/>
  <c r="CF196" i="5"/>
  <c r="CF204" i="5"/>
  <c r="CF212" i="5"/>
  <c r="CF220" i="5"/>
  <c r="CF228" i="5"/>
  <c r="CF189" i="5"/>
  <c r="CF197" i="5"/>
  <c r="CF205" i="5"/>
  <c r="CF213" i="5"/>
  <c r="CF221" i="5"/>
  <c r="CF180" i="5"/>
  <c r="CF198" i="5"/>
  <c r="CF206" i="5"/>
  <c r="CF214" i="5"/>
  <c r="CF222" i="5"/>
  <c r="CF227" i="5"/>
  <c r="CF182" i="5"/>
  <c r="CF191" i="5"/>
  <c r="CF199" i="5"/>
  <c r="CF207" i="5"/>
  <c r="CF215" i="5"/>
  <c r="CF223" i="5"/>
  <c r="CF192" i="5"/>
  <c r="CF224" i="5"/>
  <c r="CF195" i="5"/>
  <c r="CF211" i="5"/>
  <c r="CF183" i="5"/>
  <c r="CF200" i="5"/>
  <c r="CF216" i="5"/>
  <c r="CF187" i="5"/>
  <c r="CF203" i="5"/>
  <c r="CF184" i="5"/>
  <c r="CF193" i="5"/>
  <c r="CF201" i="5"/>
  <c r="CF209" i="5"/>
  <c r="CF217" i="5"/>
  <c r="CF225" i="5"/>
  <c r="CF185" i="5"/>
  <c r="CF194" i="5"/>
  <c r="CF202" i="5"/>
  <c r="CF210" i="5"/>
  <c r="CF226" i="5"/>
  <c r="CF219" i="5"/>
  <c r="CH235" i="5"/>
  <c r="CG235" i="5"/>
  <c r="CH233" i="5"/>
  <c r="CG236" i="5"/>
  <c r="CH234" i="5"/>
  <c r="CH232" i="5"/>
  <c r="CG234" i="5"/>
  <c r="CG233" i="5"/>
  <c r="CG232" i="5"/>
  <c r="CE191" i="5"/>
  <c r="CE199" i="5"/>
  <c r="CE207" i="5"/>
  <c r="CE215" i="5"/>
  <c r="CE224" i="5"/>
  <c r="CE183" i="5"/>
  <c r="CE209" i="5"/>
  <c r="CE226" i="5"/>
  <c r="CE192" i="5"/>
  <c r="CE200" i="5"/>
  <c r="CE217" i="5"/>
  <c r="CE225" i="5"/>
  <c r="CE185" i="5"/>
  <c r="CE201" i="5"/>
  <c r="CE197" i="5"/>
  <c r="CE206" i="5"/>
  <c r="CE193" i="5"/>
  <c r="CE184" i="5"/>
  <c r="CE194" i="5"/>
  <c r="CE202" i="5"/>
  <c r="CE210" i="5"/>
  <c r="CE219" i="5"/>
  <c r="CE227" i="5"/>
  <c r="CE187" i="5"/>
  <c r="CE212" i="5"/>
  <c r="CE205" i="5"/>
  <c r="CE214" i="5"/>
  <c r="CE182" i="5"/>
  <c r="CE216" i="5"/>
  <c r="CE195" i="5"/>
  <c r="CE203" i="5"/>
  <c r="CE211" i="5"/>
  <c r="CE220" i="5"/>
  <c r="CE228" i="5"/>
  <c r="CE188" i="5"/>
  <c r="CE221" i="5"/>
  <c r="CE189" i="5"/>
  <c r="CE213" i="5"/>
  <c r="CE223" i="5"/>
  <c r="CE196" i="5"/>
  <c r="CE204" i="5"/>
  <c r="CE229" i="5"/>
  <c r="CE222" i="5"/>
  <c r="CE198" i="5"/>
  <c r="CE180" i="5"/>
  <c r="CF235" i="5" l="1"/>
  <c r="CF232" i="5"/>
  <c r="CF236" i="5"/>
  <c r="CF234" i="5"/>
  <c r="CF233" i="5"/>
  <c r="CF242" i="5" s="1"/>
  <c r="D924" i="5" s="1"/>
  <c r="CE232" i="5"/>
  <c r="CE236" i="5"/>
  <c r="CE235" i="5"/>
  <c r="CE234" i="5"/>
  <c r="CE233" i="5"/>
  <c r="CE242" i="5" l="1"/>
  <c r="B75" i="5"/>
  <c r="B676" i="5" l="1"/>
  <c r="B710" i="5" s="1"/>
  <c r="D923" i="5"/>
  <c r="D926" i="5" s="1"/>
  <c r="B854" i="5"/>
  <c r="B546" i="5"/>
  <c r="C546" i="5"/>
  <c r="D546" i="5"/>
  <c r="E546" i="5"/>
  <c r="G546" i="5"/>
  <c r="F546" i="5"/>
  <c r="C544" i="5"/>
  <c r="D544" i="5"/>
  <c r="E544" i="5"/>
  <c r="F544" i="5"/>
  <c r="G544" i="5"/>
  <c r="G547" i="5"/>
  <c r="E547" i="5"/>
  <c r="D547" i="5"/>
  <c r="C547" i="5"/>
  <c r="B547" i="5"/>
  <c r="F547" i="5"/>
  <c r="F542" i="5"/>
  <c r="G542" i="5"/>
  <c r="G543" i="5" s="1"/>
  <c r="E542" i="5"/>
  <c r="C542" i="5"/>
  <c r="F541" i="5"/>
  <c r="B571" i="5" s="1"/>
  <c r="B768" i="5" s="1"/>
  <c r="B564" i="5"/>
  <c r="G533" i="5"/>
  <c r="G534" i="5" s="1"/>
  <c r="F533" i="5"/>
  <c r="F527" i="5"/>
  <c r="G525" i="5"/>
  <c r="E524" i="5"/>
  <c r="D524" i="5"/>
  <c r="D537" i="5" s="1"/>
  <c r="C524" i="5"/>
  <c r="B576" i="5" l="1"/>
  <c r="F537" i="5"/>
  <c r="B577" i="5"/>
  <c r="G537" i="5"/>
  <c r="F543" i="5"/>
  <c r="F534" i="5"/>
  <c r="C171" i="5" l="1"/>
  <c r="C170" i="5"/>
  <c r="B44" i="5"/>
  <c r="BV235" i="5"/>
  <c r="BS232" i="5"/>
  <c r="BT232" i="5"/>
  <c r="BU232" i="5"/>
  <c r="BV232" i="5"/>
  <c r="BS233" i="5"/>
  <c r="BT233" i="5"/>
  <c r="BU233" i="5"/>
  <c r="BV233" i="5"/>
  <c r="BS234" i="5"/>
  <c r="BT234" i="5"/>
  <c r="BU234" i="5"/>
  <c r="BV234" i="5"/>
  <c r="BS235" i="5"/>
  <c r="BT235" i="5"/>
  <c r="BU235" i="5"/>
  <c r="BS236" i="5"/>
  <c r="BT236" i="5"/>
  <c r="BU236" i="5"/>
  <c r="BV236" i="5"/>
  <c r="BR233" i="5"/>
  <c r="BR234" i="5"/>
  <c r="BR235" i="5"/>
  <c r="BR236" i="5"/>
  <c r="BR232" i="5"/>
  <c r="AE232" i="5"/>
  <c r="AE233" i="5"/>
  <c r="AE234" i="5"/>
  <c r="AE235" i="5"/>
  <c r="AE236" i="5"/>
  <c r="AC234" i="5" a="1"/>
  <c r="AC234" i="5" s="1"/>
  <c r="AE242" i="5" l="1"/>
  <c r="B22" i="5" s="1"/>
  <c r="D951" i="5"/>
  <c r="C951" i="5"/>
  <c r="B951" i="5"/>
  <c r="C952" i="5" l="1"/>
  <c r="C953" i="5"/>
  <c r="D952" i="5"/>
  <c r="D953" i="5"/>
  <c r="B65" i="34"/>
  <c r="B64" i="34"/>
  <c r="B59" i="34"/>
  <c r="B95" i="34" s="1"/>
  <c r="B58" i="34"/>
  <c r="B57" i="34"/>
  <c r="B54" i="34"/>
  <c r="B55" i="34"/>
  <c r="B56" i="34"/>
  <c r="B53" i="34"/>
  <c r="B52" i="34"/>
  <c r="B88" i="34" s="1"/>
  <c r="C336" i="5"/>
  <c r="B336" i="5"/>
  <c r="H275" i="5"/>
  <c r="H276" i="5"/>
  <c r="H277" i="5"/>
  <c r="H278" i="5"/>
  <c r="H279" i="5"/>
  <c r="H280" i="5"/>
  <c r="H281" i="5"/>
  <c r="H282" i="5"/>
  <c r="H283" i="5"/>
  <c r="H274" i="5"/>
  <c r="B287" i="5"/>
  <c r="I274" i="5"/>
  <c r="C278" i="5"/>
  <c r="C276" i="5"/>
  <c r="C275" i="5"/>
  <c r="C274" i="5"/>
  <c r="I283" i="5"/>
  <c r="C283" i="5"/>
  <c r="I282" i="5"/>
  <c r="C282" i="5"/>
  <c r="I281" i="5"/>
  <c r="C281" i="5"/>
  <c r="I280" i="5"/>
  <c r="C280" i="5"/>
  <c r="I279" i="5"/>
  <c r="C279" i="5"/>
  <c r="I278" i="5"/>
  <c r="I277" i="5"/>
  <c r="I276" i="5"/>
  <c r="I275" i="5"/>
  <c r="AL239" i="5" a="1"/>
  <c r="AL239" i="5" s="1"/>
  <c r="AL232" i="5" a="1"/>
  <c r="AL232" i="5" s="1"/>
  <c r="AL233" i="5" a="1"/>
  <c r="AL233" i="5" s="1"/>
  <c r="AL234" i="5" a="1"/>
  <c r="AL234" i="5" s="1"/>
  <c r="AL235" i="5" a="1"/>
  <c r="AL235" i="5" s="1"/>
  <c r="AL236" i="5" a="1"/>
  <c r="AL236" i="5" s="1"/>
  <c r="AC239" i="5" a="1"/>
  <c r="AC239" i="5" s="1"/>
  <c r="X183" i="5"/>
  <c r="X182" i="5"/>
  <c r="X181" i="5"/>
  <c r="X180" i="5"/>
  <c r="X185" i="5"/>
  <c r="X186" i="5"/>
  <c r="X187" i="5"/>
  <c r="X188" i="5"/>
  <c r="X189" i="5"/>
  <c r="X190" i="5"/>
  <c r="X191" i="5"/>
  <c r="X192" i="5"/>
  <c r="X193" i="5"/>
  <c r="X194" i="5"/>
  <c r="X195" i="5"/>
  <c r="X196" i="5"/>
  <c r="X197" i="5"/>
  <c r="X198" i="5"/>
  <c r="X199" i="5"/>
  <c r="X200" i="5"/>
  <c r="X201" i="5"/>
  <c r="X202" i="5"/>
  <c r="X203" i="5"/>
  <c r="X204" i="5"/>
  <c r="X205" i="5"/>
  <c r="X206" i="5"/>
  <c r="X207" i="5"/>
  <c r="X208" i="5"/>
  <c r="X209" i="5"/>
  <c r="X210" i="5"/>
  <c r="X211" i="5"/>
  <c r="X212" i="5"/>
  <c r="X213" i="5"/>
  <c r="X214" i="5"/>
  <c r="X215" i="5"/>
  <c r="X216" i="5"/>
  <c r="X217" i="5"/>
  <c r="X218" i="5"/>
  <c r="X219" i="5"/>
  <c r="X220" i="5"/>
  <c r="X221" i="5"/>
  <c r="X222" i="5"/>
  <c r="X223" i="5"/>
  <c r="X224" i="5"/>
  <c r="X225" i="5"/>
  <c r="X226" i="5"/>
  <c r="X227" i="5"/>
  <c r="X228" i="5"/>
  <c r="X229" i="5"/>
  <c r="BT239" i="5"/>
  <c r="BV239" i="5"/>
  <c r="B1081" i="5"/>
  <c r="C1081" i="5"/>
  <c r="C1079" i="5"/>
  <c r="B1079" i="5"/>
  <c r="C1077" i="5"/>
  <c r="B1077" i="5"/>
  <c r="C1065" i="5"/>
  <c r="B1065" i="5"/>
  <c r="C1063" i="5"/>
  <c r="B1063" i="5"/>
  <c r="B81" i="5"/>
  <c r="B77" i="5"/>
  <c r="B78" i="5" s="1"/>
  <c r="B531" i="5"/>
  <c r="C471" i="5"/>
  <c r="B530" i="5" s="1"/>
  <c r="C466" i="5"/>
  <c r="E529" i="5" s="1"/>
  <c r="B466" i="5"/>
  <c r="B492" i="5" s="1"/>
  <c r="C507" i="5"/>
  <c r="E528" i="5" s="1"/>
  <c r="B507" i="5"/>
  <c r="B516" i="5" s="1"/>
  <c r="C505" i="5"/>
  <c r="B505" i="5"/>
  <c r="C465" i="5"/>
  <c r="B465" i="5"/>
  <c r="B493" i="5" s="1"/>
  <c r="B479" i="5"/>
  <c r="B540" i="5" l="1"/>
  <c r="C540" i="5"/>
  <c r="B529" i="5"/>
  <c r="B532" i="5" s="1"/>
  <c r="B1166" i="5"/>
  <c r="D956" i="5"/>
  <c r="C956" i="5"/>
  <c r="B514" i="5"/>
  <c r="D528" i="5"/>
  <c r="D540" i="5"/>
  <c r="F540" i="5"/>
  <c r="E530" i="5"/>
  <c r="D530" i="5"/>
  <c r="C529" i="5"/>
  <c r="C530" i="5"/>
  <c r="D529" i="5"/>
  <c r="C1054" i="5"/>
  <c r="C1053" i="5"/>
  <c r="C1052" i="5"/>
  <c r="B1054" i="5"/>
  <c r="B1053" i="5"/>
  <c r="B1052" i="5"/>
  <c r="B1017" i="5"/>
  <c r="C1017" i="5"/>
  <c r="B91" i="34"/>
  <c r="B950" i="5"/>
  <c r="B954" i="5" s="1"/>
  <c r="B934" i="5"/>
  <c r="B941" i="5"/>
  <c r="B932" i="5"/>
  <c r="B936" i="5" s="1"/>
  <c r="B18" i="5"/>
  <c r="B1103" i="5"/>
  <c r="B20" i="5"/>
  <c r="BQ180" i="5"/>
  <c r="BQ181" i="5"/>
  <c r="BQ182" i="5"/>
  <c r="BQ183" i="5"/>
  <c r="BQ184" i="5"/>
  <c r="BQ185" i="5"/>
  <c r="BQ186" i="5"/>
  <c r="BQ187" i="5"/>
  <c r="BQ188" i="5"/>
  <c r="BQ189" i="5"/>
  <c r="BQ190" i="5"/>
  <c r="BQ191" i="5"/>
  <c r="BQ192" i="5"/>
  <c r="BQ193" i="5"/>
  <c r="BQ194" i="5"/>
  <c r="BQ195" i="5"/>
  <c r="BQ196" i="5"/>
  <c r="BQ197" i="5"/>
  <c r="BQ198" i="5"/>
  <c r="BQ199" i="5"/>
  <c r="BQ200" i="5"/>
  <c r="BQ201" i="5"/>
  <c r="BQ202" i="5"/>
  <c r="BQ203" i="5"/>
  <c r="BQ204" i="5"/>
  <c r="BQ205" i="5"/>
  <c r="BQ206" i="5"/>
  <c r="BQ207" i="5"/>
  <c r="BQ208" i="5"/>
  <c r="BQ209" i="5"/>
  <c r="BQ210" i="5"/>
  <c r="BQ211" i="5"/>
  <c r="BQ212" i="5"/>
  <c r="BQ213" i="5"/>
  <c r="BQ214" i="5"/>
  <c r="BQ215" i="5"/>
  <c r="BQ216" i="5"/>
  <c r="BQ217" i="5"/>
  <c r="BQ218" i="5"/>
  <c r="BQ219" i="5"/>
  <c r="BQ220" i="5"/>
  <c r="BQ221" i="5"/>
  <c r="BQ222" i="5"/>
  <c r="BQ223" i="5"/>
  <c r="BQ224" i="5"/>
  <c r="BQ225" i="5"/>
  <c r="BQ226" i="5"/>
  <c r="BQ227" i="5"/>
  <c r="BQ228" i="5"/>
  <c r="BQ229" i="5"/>
  <c r="BO232" i="5"/>
  <c r="B569" i="5" l="1"/>
  <c r="B832" i="5"/>
  <c r="B834" i="5"/>
  <c r="B675" i="5"/>
  <c r="C957" i="5"/>
  <c r="C958" i="5" s="1"/>
  <c r="C982" i="5" s="1"/>
  <c r="C984" i="5" s="1"/>
  <c r="C985" i="5" s="1"/>
  <c r="D920" i="5"/>
  <c r="D922" i="5" s="1"/>
  <c r="D927" i="5" s="1"/>
  <c r="D957" i="5"/>
  <c r="D958" i="5" s="1"/>
  <c r="BQ232" i="5" a="1"/>
  <c r="BQ232" i="5" s="1"/>
  <c r="BQ235" i="5" a="1"/>
  <c r="BQ235" i="5" s="1"/>
  <c r="BQ233" i="5" a="1"/>
  <c r="BQ233" i="5" s="1"/>
  <c r="BQ239" i="5" a="1"/>
  <c r="BQ239" i="5" s="1"/>
  <c r="B920" i="5"/>
  <c r="BQ236" i="5" a="1"/>
  <c r="BQ236" i="5" s="1"/>
  <c r="BQ234" i="5" a="1"/>
  <c r="BQ234" i="5" s="1"/>
  <c r="BO239" i="5"/>
  <c r="BO233" i="5"/>
  <c r="BO234" i="5"/>
  <c r="BO235" i="5"/>
  <c r="BO236" i="5"/>
  <c r="B677" i="5" l="1"/>
  <c r="B709" i="5"/>
  <c r="D959" i="5"/>
  <c r="C959" i="5"/>
  <c r="BO242" i="5"/>
  <c r="BQ242" i="5"/>
  <c r="B771" i="5"/>
  <c r="Z239" i="5" a="1"/>
  <c r="Z239" i="5" s="1"/>
  <c r="AJ239" i="5" a="1"/>
  <c r="AJ239" i="5" s="1"/>
  <c r="AH239" i="5" a="1"/>
  <c r="AH239" i="5" s="1"/>
  <c r="AF239" i="5" a="1"/>
  <c r="AF239" i="5" s="1"/>
  <c r="Y232" i="5" a="1"/>
  <c r="Y232" i="5" s="1"/>
  <c r="B95" i="5"/>
  <c r="B100" i="5"/>
  <c r="Y234" i="5" a="1"/>
  <c r="Y234" i="5" s="1"/>
  <c r="B544" i="5"/>
  <c r="B574" i="5" s="1"/>
  <c r="D542" i="5"/>
  <c r="B542" i="5"/>
  <c r="B118" i="5"/>
  <c r="U234" i="5" a="1"/>
  <c r="U234" i="5" s="1"/>
  <c r="D233" i="5"/>
  <c r="D234" i="5"/>
  <c r="D235" i="5"/>
  <c r="D236" i="5"/>
  <c r="D242" i="5" s="1"/>
  <c r="C29" i="34" s="1"/>
  <c r="D232" i="5"/>
  <c r="AB233" i="5"/>
  <c r="AB235" i="5"/>
  <c r="AB236" i="5"/>
  <c r="AB232" i="5"/>
  <c r="AC232" i="5" a="1"/>
  <c r="AC232" i="5" s="1"/>
  <c r="AB207" i="5"/>
  <c r="AB190" i="5"/>
  <c r="AB182" i="5"/>
  <c r="AB181" i="5"/>
  <c r="C462" i="5"/>
  <c r="C463" i="5" s="1"/>
  <c r="B450" i="5"/>
  <c r="B455" i="5"/>
  <c r="B452" i="5"/>
  <c r="B453" i="5"/>
  <c r="C479" i="5"/>
  <c r="B471" i="5"/>
  <c r="C470" i="5"/>
  <c r="C472" i="5"/>
  <c r="C473" i="5"/>
  <c r="C474" i="5"/>
  <c r="C475" i="5"/>
  <c r="C476" i="5"/>
  <c r="C469" i="5"/>
  <c r="C531" i="5"/>
  <c r="C532" i="5" s="1"/>
  <c r="D531" i="5"/>
  <c r="D532" i="5" s="1"/>
  <c r="E531" i="5"/>
  <c r="E532" i="5" s="1"/>
  <c r="E540" i="5"/>
  <c r="F525" i="5"/>
  <c r="E525" i="5"/>
  <c r="C525" i="5"/>
  <c r="D525" i="5"/>
  <c r="B711" i="5" l="1"/>
  <c r="B122" i="5"/>
  <c r="B120" i="5"/>
  <c r="A395" i="5" s="1"/>
  <c r="D396" i="5" s="1"/>
  <c r="D439" i="5" s="1"/>
  <c r="B442" i="5" s="1"/>
  <c r="B785" i="5"/>
  <c r="B358" i="5"/>
  <c r="B355" i="5"/>
  <c r="B356" i="5" s="1"/>
  <c r="B286" i="5"/>
  <c r="B572" i="5"/>
  <c r="B655" i="5"/>
  <c r="B657" i="5" s="1"/>
  <c r="B610" i="5"/>
  <c r="B612" i="5" s="1"/>
  <c r="B119" i="5"/>
  <c r="A382" i="5" s="1"/>
  <c r="C537" i="5"/>
  <c r="E537" i="5"/>
  <c r="B770" i="5"/>
  <c r="D543" i="5"/>
  <c r="B543" i="5"/>
  <c r="AB242" i="5"/>
  <c r="B39" i="5" s="1"/>
  <c r="Z234" i="5" a="1"/>
  <c r="Z234" i="5" s="1"/>
  <c r="Z233" i="5" a="1"/>
  <c r="Z233" i="5" s="1"/>
  <c r="Z236" i="5" a="1"/>
  <c r="Z236" i="5" s="1"/>
  <c r="Z235" i="5" a="1"/>
  <c r="Z235" i="5" s="1"/>
  <c r="Z232" i="5" a="1"/>
  <c r="Z232" i="5" s="1"/>
  <c r="C543" i="5"/>
  <c r="E543" i="5"/>
  <c r="AB234" i="5"/>
  <c r="B477" i="5"/>
  <c r="C477" i="5" s="1"/>
  <c r="B478" i="5"/>
  <c r="C478" i="5" s="1"/>
  <c r="B456" i="5"/>
  <c r="B525" i="5"/>
  <c r="B526" i="5" l="1"/>
  <c r="B535" i="5" s="1"/>
  <c r="B121" i="5"/>
  <c r="B760" i="5"/>
  <c r="Z242" i="5"/>
  <c r="B761" i="5" s="1"/>
  <c r="B296" i="5"/>
  <c r="B295" i="5"/>
  <c r="B294" i="5"/>
  <c r="B291" i="5"/>
  <c r="F336" i="5"/>
  <c r="B288" i="5"/>
  <c r="B292" i="5"/>
  <c r="D336" i="5"/>
  <c r="D942" i="5"/>
  <c r="C942" i="5"/>
  <c r="C937" i="5"/>
  <c r="D937" i="5"/>
  <c r="G526" i="5"/>
  <c r="B573" i="5"/>
  <c r="B942" i="5"/>
  <c r="B943" i="5" s="1"/>
  <c r="E1028" i="5"/>
  <c r="B937" i="5"/>
  <c r="B769" i="5"/>
  <c r="B773" i="5" s="1"/>
  <c r="A49" i="5"/>
  <c r="B1168" i="5" l="1"/>
  <c r="C805" i="5"/>
  <c r="B803" i="5"/>
  <c r="C804" i="5"/>
  <c r="B802" i="5"/>
  <c r="B800" i="5"/>
  <c r="C803" i="5"/>
  <c r="B801" i="5"/>
  <c r="B797" i="5"/>
  <c r="C800" i="5"/>
  <c r="B805" i="5"/>
  <c r="C797" i="5"/>
  <c r="C799" i="5" s="1"/>
  <c r="B804" i="5"/>
  <c r="C802" i="5"/>
  <c r="C801" i="5"/>
  <c r="B293" i="5"/>
  <c r="G535" i="5"/>
  <c r="F337" i="5"/>
  <c r="D326" i="5"/>
  <c r="G336" i="5"/>
  <c r="D337" i="5"/>
  <c r="E336" i="5"/>
  <c r="D323" i="5"/>
  <c r="C335" i="5"/>
  <c r="B289" i="5"/>
  <c r="D335" i="5"/>
  <c r="B327" i="5"/>
  <c r="E335" i="5"/>
  <c r="B326" i="5"/>
  <c r="F335" i="5"/>
  <c r="B324" i="5"/>
  <c r="G335" i="5"/>
  <c r="B323" i="5"/>
  <c r="B321" i="5"/>
  <c r="B320" i="5" s="1"/>
  <c r="C320" i="5" s="1"/>
  <c r="D320" i="5" s="1"/>
  <c r="B335" i="5"/>
  <c r="B337" i="5"/>
  <c r="C337" i="5"/>
  <c r="C943" i="5"/>
  <c r="C944" i="5"/>
  <c r="D944" i="5"/>
  <c r="D943" i="5"/>
  <c r="B944" i="5"/>
  <c r="B945" i="5" s="1"/>
  <c r="B809" i="5"/>
  <c r="B714" i="5" l="1"/>
  <c r="B730" i="5"/>
  <c r="B715" i="5"/>
  <c r="E337" i="5"/>
  <c r="D324" i="5"/>
  <c r="G337" i="5"/>
  <c r="D327" i="5"/>
  <c r="D945" i="5"/>
  <c r="D946" i="5" s="1"/>
  <c r="D947" i="5" s="1"/>
  <c r="C945" i="5"/>
  <c r="B946" i="5"/>
  <c r="B948" i="5" s="1"/>
  <c r="C798" i="5"/>
  <c r="B798" i="5"/>
  <c r="B799" i="5"/>
  <c r="U236" i="5" a="1"/>
  <c r="U236" i="5" s="1"/>
  <c r="U233" i="5" a="1"/>
  <c r="U233" i="5" s="1"/>
  <c r="U235" i="5" a="1"/>
  <c r="U235" i="5" s="1"/>
  <c r="B24" i="5"/>
  <c r="B23" i="5"/>
  <c r="BN182" i="5"/>
  <c r="BN183" i="5"/>
  <c r="BN184" i="5"/>
  <c r="BN185" i="5"/>
  <c r="BN186" i="5"/>
  <c r="BN187" i="5"/>
  <c r="BN188" i="5"/>
  <c r="BN189" i="5"/>
  <c r="BN191" i="5"/>
  <c r="BN192" i="5"/>
  <c r="BN193" i="5"/>
  <c r="BN194" i="5"/>
  <c r="BN195" i="5"/>
  <c r="BN196" i="5"/>
  <c r="BN197" i="5"/>
  <c r="BN198" i="5"/>
  <c r="BN199" i="5"/>
  <c r="BN200" i="5"/>
  <c r="BN201" i="5"/>
  <c r="BN202" i="5"/>
  <c r="BN203" i="5"/>
  <c r="BN204" i="5"/>
  <c r="BN205" i="5"/>
  <c r="BN206" i="5"/>
  <c r="BN207" i="5"/>
  <c r="BN208" i="5"/>
  <c r="BN209" i="5"/>
  <c r="BN210" i="5"/>
  <c r="BN211" i="5"/>
  <c r="BN212" i="5"/>
  <c r="BN213" i="5"/>
  <c r="BN214" i="5"/>
  <c r="BN215" i="5"/>
  <c r="BN216" i="5"/>
  <c r="BN217" i="5"/>
  <c r="BN218" i="5"/>
  <c r="BN219" i="5"/>
  <c r="BN220" i="5"/>
  <c r="BN221" i="5"/>
  <c r="BN222" i="5"/>
  <c r="BN223" i="5"/>
  <c r="BN224" i="5"/>
  <c r="BN225" i="5"/>
  <c r="BN226" i="5"/>
  <c r="BN227" i="5"/>
  <c r="BN228" i="5"/>
  <c r="BN229" i="5"/>
  <c r="C40" i="34"/>
  <c r="C39" i="34"/>
  <c r="B25" i="5"/>
  <c r="AJ232" i="5" a="1"/>
  <c r="AJ232" i="5" s="1"/>
  <c r="AJ233" i="5" a="1"/>
  <c r="AJ233" i="5" s="1"/>
  <c r="AJ234" i="5" a="1"/>
  <c r="AJ234" i="5" s="1"/>
  <c r="AJ235" i="5" a="1"/>
  <c r="AJ235" i="5" s="1"/>
  <c r="AJ236" i="5" a="1"/>
  <c r="AJ236" i="5" s="1"/>
  <c r="AC233" i="5" a="1"/>
  <c r="AC233" i="5" s="1"/>
  <c r="AC235" i="5" a="1"/>
  <c r="AC235" i="5" s="1"/>
  <c r="AC236" i="5" a="1"/>
  <c r="AC236" i="5" s="1"/>
  <c r="Y233" i="5" a="1"/>
  <c r="Y233" i="5" s="1"/>
  <c r="Y235" i="5" a="1"/>
  <c r="Y235" i="5" s="1"/>
  <c r="Y236" i="5" a="1"/>
  <c r="Y236" i="5" s="1"/>
  <c r="B245" i="5"/>
  <c r="B247" i="5" s="1"/>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180" i="5"/>
  <c r="B732" i="5" l="1"/>
  <c r="O54" i="34"/>
  <c r="W54" i="34"/>
  <c r="AE54" i="34"/>
  <c r="AM54" i="34"/>
  <c r="AU54" i="34"/>
  <c r="BC54" i="34"/>
  <c r="BK54" i="34"/>
  <c r="BS54" i="34"/>
  <c r="CA54" i="34"/>
  <c r="CI54" i="34"/>
  <c r="CQ54" i="34"/>
  <c r="CY54" i="34"/>
  <c r="P55" i="34"/>
  <c r="X55" i="34"/>
  <c r="AF55" i="34"/>
  <c r="AN55" i="34"/>
  <c r="AV55" i="34"/>
  <c r="BD55" i="34"/>
  <c r="BL55" i="34"/>
  <c r="BT55" i="34"/>
  <c r="CB55" i="34"/>
  <c r="CJ55" i="34"/>
  <c r="CR55" i="34"/>
  <c r="I56" i="34"/>
  <c r="Q56" i="34"/>
  <c r="Y56" i="34"/>
  <c r="AG56" i="34"/>
  <c r="AO56" i="34"/>
  <c r="AW56" i="34"/>
  <c r="BE56" i="34"/>
  <c r="BM56" i="34"/>
  <c r="BU56" i="34"/>
  <c r="CC56" i="34"/>
  <c r="CK56" i="34"/>
  <c r="CS56" i="34"/>
  <c r="F54" i="34"/>
  <c r="F56" i="34"/>
  <c r="G57" i="34"/>
  <c r="O57" i="34"/>
  <c r="W57" i="34"/>
  <c r="AE57" i="34"/>
  <c r="AM57" i="34"/>
  <c r="AU57" i="34"/>
  <c r="BC57" i="34"/>
  <c r="BK57" i="34"/>
  <c r="BS57" i="34"/>
  <c r="CA57" i="34"/>
  <c r="CI57" i="34"/>
  <c r="CQ57" i="34"/>
  <c r="CY57" i="34"/>
  <c r="L58" i="34"/>
  <c r="T58" i="34"/>
  <c r="AB58" i="34"/>
  <c r="AJ58" i="34"/>
  <c r="AR58" i="34"/>
  <c r="AZ58" i="34"/>
  <c r="BH58" i="34"/>
  <c r="BP58" i="34"/>
  <c r="BX58" i="34"/>
  <c r="CF58" i="34"/>
  <c r="CN58" i="34"/>
  <c r="CV58" i="34"/>
  <c r="I59" i="34"/>
  <c r="Q59" i="34"/>
  <c r="Y59" i="34"/>
  <c r="AG59" i="34"/>
  <c r="AO59" i="34"/>
  <c r="AW59" i="34"/>
  <c r="BE59" i="34"/>
  <c r="BM59" i="34"/>
  <c r="BU59" i="34"/>
  <c r="CC59" i="34"/>
  <c r="CK59" i="34"/>
  <c r="CS59" i="34"/>
  <c r="D58" i="34"/>
  <c r="K52" i="34"/>
  <c r="S52" i="34"/>
  <c r="AA52" i="34"/>
  <c r="AI52" i="34"/>
  <c r="AQ52" i="34"/>
  <c r="AY52" i="34"/>
  <c r="BG52" i="34"/>
  <c r="BO52" i="34"/>
  <c r="BW52" i="34"/>
  <c r="CE52" i="34"/>
  <c r="P54" i="34"/>
  <c r="X54" i="34"/>
  <c r="AF54" i="34"/>
  <c r="AN54" i="34"/>
  <c r="AV54" i="34"/>
  <c r="BD54" i="34"/>
  <c r="BL54" i="34"/>
  <c r="BT54" i="34"/>
  <c r="CB54" i="34"/>
  <c r="CJ54" i="34"/>
  <c r="CR54" i="34"/>
  <c r="I55" i="34"/>
  <c r="Q55" i="34"/>
  <c r="Y55" i="34"/>
  <c r="AG55" i="34"/>
  <c r="AO55" i="34"/>
  <c r="AW55" i="34"/>
  <c r="BE55" i="34"/>
  <c r="BM55" i="34"/>
  <c r="BU55" i="34"/>
  <c r="CC55" i="34"/>
  <c r="CK55" i="34"/>
  <c r="CS55" i="34"/>
  <c r="J56" i="34"/>
  <c r="R56" i="34"/>
  <c r="Z56" i="34"/>
  <c r="AH56" i="34"/>
  <c r="AP56" i="34"/>
  <c r="AX56" i="34"/>
  <c r="BF56" i="34"/>
  <c r="BN56" i="34"/>
  <c r="BV56" i="34"/>
  <c r="CD56" i="34"/>
  <c r="CL56" i="34"/>
  <c r="CT56" i="34"/>
  <c r="G54" i="34"/>
  <c r="G56" i="34"/>
  <c r="H57" i="34"/>
  <c r="P57" i="34"/>
  <c r="X57" i="34"/>
  <c r="AF57" i="34"/>
  <c r="AN57" i="34"/>
  <c r="AV57" i="34"/>
  <c r="BD57" i="34"/>
  <c r="BL57" i="34"/>
  <c r="BT57" i="34"/>
  <c r="CB57" i="34"/>
  <c r="CJ57" i="34"/>
  <c r="CR57" i="34"/>
  <c r="E58" i="34"/>
  <c r="M58" i="34"/>
  <c r="U58" i="34"/>
  <c r="AC58" i="34"/>
  <c r="AK58" i="34"/>
  <c r="AS58" i="34"/>
  <c r="BA58" i="34"/>
  <c r="BI58" i="34"/>
  <c r="BQ58" i="34"/>
  <c r="BY58" i="34"/>
  <c r="CG58" i="34"/>
  <c r="CO58" i="34"/>
  <c r="CW58" i="34"/>
  <c r="J59" i="34"/>
  <c r="R59" i="34"/>
  <c r="Z59" i="34"/>
  <c r="AH59" i="34"/>
  <c r="AP59" i="34"/>
  <c r="AX59" i="34"/>
  <c r="BF59" i="34"/>
  <c r="BN59" i="34"/>
  <c r="BV59" i="34"/>
  <c r="CD59" i="34"/>
  <c r="CL59" i="34"/>
  <c r="CT59" i="34"/>
  <c r="D57" i="34"/>
  <c r="L52" i="34"/>
  <c r="T52" i="34"/>
  <c r="AB52" i="34"/>
  <c r="AJ52" i="34"/>
  <c r="AR52" i="34"/>
  <c r="AZ52" i="34"/>
  <c r="BH52" i="34"/>
  <c r="BP52" i="34"/>
  <c r="BX52" i="34"/>
  <c r="CF52" i="34"/>
  <c r="I54" i="34"/>
  <c r="Q54" i="34"/>
  <c r="Y54" i="34"/>
  <c r="AG54" i="34"/>
  <c r="AO54" i="34"/>
  <c r="AW54" i="34"/>
  <c r="BE54" i="34"/>
  <c r="BM54" i="34"/>
  <c r="BU54" i="34"/>
  <c r="CC54" i="34"/>
  <c r="CK54" i="34"/>
  <c r="CS54" i="34"/>
  <c r="J55" i="34"/>
  <c r="R55" i="34"/>
  <c r="Z55" i="34"/>
  <c r="AH55" i="34"/>
  <c r="AP55" i="34"/>
  <c r="AX55" i="34"/>
  <c r="BF55" i="34"/>
  <c r="BN55" i="34"/>
  <c r="BV55" i="34"/>
  <c r="CD55" i="34"/>
  <c r="CL55" i="34"/>
  <c r="CT55" i="34"/>
  <c r="K56" i="34"/>
  <c r="S56" i="34"/>
  <c r="AA56" i="34"/>
  <c r="AI56" i="34"/>
  <c r="AQ56" i="34"/>
  <c r="AY56" i="34"/>
  <c r="BG56" i="34"/>
  <c r="BO56" i="34"/>
  <c r="BW56" i="34"/>
  <c r="CE56" i="34"/>
  <c r="CM56" i="34"/>
  <c r="CU56" i="34"/>
  <c r="H54" i="34"/>
  <c r="H56" i="34"/>
  <c r="I57" i="34"/>
  <c r="Q57" i="34"/>
  <c r="Y57" i="34"/>
  <c r="AG57" i="34"/>
  <c r="AO57" i="34"/>
  <c r="AW57" i="34"/>
  <c r="BE57" i="34"/>
  <c r="BM57" i="34"/>
  <c r="BU57" i="34"/>
  <c r="CC57" i="34"/>
  <c r="CK57" i="34"/>
  <c r="CS57" i="34"/>
  <c r="F58" i="34"/>
  <c r="N58" i="34"/>
  <c r="V58" i="34"/>
  <c r="AD58" i="34"/>
  <c r="AL58" i="34"/>
  <c r="AT58" i="34"/>
  <c r="BB58" i="34"/>
  <c r="BJ58" i="34"/>
  <c r="BR58" i="34"/>
  <c r="BZ58" i="34"/>
  <c r="CH58" i="34"/>
  <c r="CP58" i="34"/>
  <c r="CX58" i="34"/>
  <c r="K59" i="34"/>
  <c r="S59" i="34"/>
  <c r="AA59" i="34"/>
  <c r="AI59" i="34"/>
  <c r="AQ59" i="34"/>
  <c r="AY59" i="34"/>
  <c r="BG59" i="34"/>
  <c r="BO59" i="34"/>
  <c r="BW59" i="34"/>
  <c r="CE59" i="34"/>
  <c r="CM59" i="34"/>
  <c r="CU59" i="34"/>
  <c r="E52" i="34"/>
  <c r="M52" i="34"/>
  <c r="U52" i="34"/>
  <c r="AC52" i="34"/>
  <c r="AK52" i="34"/>
  <c r="AS52" i="34"/>
  <c r="BA52" i="34"/>
  <c r="BI52" i="34"/>
  <c r="BQ52" i="34"/>
  <c r="BY52" i="34"/>
  <c r="J54" i="34"/>
  <c r="R54" i="34"/>
  <c r="Z54" i="34"/>
  <c r="AH54" i="34"/>
  <c r="AP54" i="34"/>
  <c r="AX54" i="34"/>
  <c r="BF54" i="34"/>
  <c r="BN54" i="34"/>
  <c r="BV54" i="34"/>
  <c r="CD54" i="34"/>
  <c r="CL54" i="34"/>
  <c r="CT54" i="34"/>
  <c r="K55" i="34"/>
  <c r="S55" i="34"/>
  <c r="AA55" i="34"/>
  <c r="AI55" i="34"/>
  <c r="AQ55" i="34"/>
  <c r="AY55" i="34"/>
  <c r="BG55" i="34"/>
  <c r="BO55" i="34"/>
  <c r="BW55" i="34"/>
  <c r="CE55" i="34"/>
  <c r="CM55" i="34"/>
  <c r="CU55" i="34"/>
  <c r="L56" i="34"/>
  <c r="T56" i="34"/>
  <c r="AB56" i="34"/>
  <c r="AJ56" i="34"/>
  <c r="AR56" i="34"/>
  <c r="AZ56" i="34"/>
  <c r="BH56" i="34"/>
  <c r="BP56" i="34"/>
  <c r="BX56" i="34"/>
  <c r="CF56" i="34"/>
  <c r="CN56" i="34"/>
  <c r="CV56" i="34"/>
  <c r="E55" i="34"/>
  <c r="D55" i="34"/>
  <c r="J57" i="34"/>
  <c r="R57" i="34"/>
  <c r="Z57" i="34"/>
  <c r="AH57" i="34"/>
  <c r="AP57" i="34"/>
  <c r="AX57" i="34"/>
  <c r="BF57" i="34"/>
  <c r="BN57" i="34"/>
  <c r="BV57" i="34"/>
  <c r="CD57" i="34"/>
  <c r="CL57" i="34"/>
  <c r="CT57" i="34"/>
  <c r="G58" i="34"/>
  <c r="O58" i="34"/>
  <c r="W58" i="34"/>
  <c r="AE58" i="34"/>
  <c r="AM58" i="34"/>
  <c r="AU58" i="34"/>
  <c r="BC58" i="34"/>
  <c r="BK58" i="34"/>
  <c r="BS58" i="34"/>
  <c r="CA58" i="34"/>
  <c r="CI58" i="34"/>
  <c r="CQ58" i="34"/>
  <c r="CY58" i="34"/>
  <c r="L59" i="34"/>
  <c r="T59" i="34"/>
  <c r="AB59" i="34"/>
  <c r="AJ59" i="34"/>
  <c r="AR59" i="34"/>
  <c r="AZ59" i="34"/>
  <c r="BH59" i="34"/>
  <c r="BP59" i="34"/>
  <c r="BX59" i="34"/>
  <c r="CF59" i="34"/>
  <c r="CN59" i="34"/>
  <c r="CV59" i="34"/>
  <c r="F52" i="34"/>
  <c r="N52" i="34"/>
  <c r="V52" i="34"/>
  <c r="AD52" i="34"/>
  <c r="AL52" i="34"/>
  <c r="AT52" i="34"/>
  <c r="BB52" i="34"/>
  <c r="BJ52" i="34"/>
  <c r="BR52" i="34"/>
  <c r="BZ52" i="34"/>
  <c r="K54" i="34"/>
  <c r="S54" i="34"/>
  <c r="AA54" i="34"/>
  <c r="AI54" i="34"/>
  <c r="AQ54" i="34"/>
  <c r="AY54" i="34"/>
  <c r="BG54" i="34"/>
  <c r="BO54" i="34"/>
  <c r="BW54" i="34"/>
  <c r="CE54" i="34"/>
  <c r="CM54" i="34"/>
  <c r="CU54" i="34"/>
  <c r="L55" i="34"/>
  <c r="T55" i="34"/>
  <c r="AB55" i="34"/>
  <c r="AJ55" i="34"/>
  <c r="AR55" i="34"/>
  <c r="AZ55" i="34"/>
  <c r="BH55" i="34"/>
  <c r="BP55" i="34"/>
  <c r="BX55" i="34"/>
  <c r="CF55" i="34"/>
  <c r="CN55" i="34"/>
  <c r="CV55" i="34"/>
  <c r="M56" i="34"/>
  <c r="U56" i="34"/>
  <c r="AC56" i="34"/>
  <c r="AK56" i="34"/>
  <c r="AS56" i="34"/>
  <c r="BA56" i="34"/>
  <c r="BI56" i="34"/>
  <c r="BQ56" i="34"/>
  <c r="BY56" i="34"/>
  <c r="CG56" i="34"/>
  <c r="CO56" i="34"/>
  <c r="CW56" i="34"/>
  <c r="F55" i="34"/>
  <c r="D56" i="34"/>
  <c r="K57" i="34"/>
  <c r="S57" i="34"/>
  <c r="AA57" i="34"/>
  <c r="AI57" i="34"/>
  <c r="AQ57" i="34"/>
  <c r="AY57" i="34"/>
  <c r="BG57" i="34"/>
  <c r="BO57" i="34"/>
  <c r="BW57" i="34"/>
  <c r="CE57" i="34"/>
  <c r="CM57" i="34"/>
  <c r="CU57" i="34"/>
  <c r="H58" i="34"/>
  <c r="P58" i="34"/>
  <c r="X58" i="34"/>
  <c r="AF58" i="34"/>
  <c r="AN58" i="34"/>
  <c r="AV58" i="34"/>
  <c r="BD58" i="34"/>
  <c r="BL58" i="34"/>
  <c r="BT58" i="34"/>
  <c r="CB58" i="34"/>
  <c r="CJ58" i="34"/>
  <c r="CR58" i="34"/>
  <c r="E59" i="34"/>
  <c r="M59" i="34"/>
  <c r="U59" i="34"/>
  <c r="AC59" i="34"/>
  <c r="AK59" i="34"/>
  <c r="AS59" i="34"/>
  <c r="BA59" i="34"/>
  <c r="BI59" i="34"/>
  <c r="BQ59" i="34"/>
  <c r="BY59" i="34"/>
  <c r="CG59" i="34"/>
  <c r="CO59" i="34"/>
  <c r="CW59" i="34"/>
  <c r="G52" i="34"/>
  <c r="O52" i="34"/>
  <c r="W52" i="34"/>
  <c r="AE52" i="34"/>
  <c r="AM52" i="34"/>
  <c r="AU52" i="34"/>
  <c r="BC52" i="34"/>
  <c r="BK52" i="34"/>
  <c r="BS52" i="34"/>
  <c r="CA52" i="34"/>
  <c r="L54" i="34"/>
  <c r="T54" i="34"/>
  <c r="AB54" i="34"/>
  <c r="AJ54" i="34"/>
  <c r="AR54" i="34"/>
  <c r="AZ54" i="34"/>
  <c r="BH54" i="34"/>
  <c r="BP54" i="34"/>
  <c r="BX54" i="34"/>
  <c r="CF54" i="34"/>
  <c r="CN54" i="34"/>
  <c r="CV54" i="34"/>
  <c r="M55" i="34"/>
  <c r="U55" i="34"/>
  <c r="AC55" i="34"/>
  <c r="AK55" i="34"/>
  <c r="AS55" i="34"/>
  <c r="BA55" i="34"/>
  <c r="BI55" i="34"/>
  <c r="BQ55" i="34"/>
  <c r="BY55" i="34"/>
  <c r="CG55" i="34"/>
  <c r="CO55" i="34"/>
  <c r="CW55" i="34"/>
  <c r="N56" i="34"/>
  <c r="V56" i="34"/>
  <c r="AD56" i="34"/>
  <c r="AL56" i="34"/>
  <c r="AT56" i="34"/>
  <c r="BB56" i="34"/>
  <c r="BJ56" i="34"/>
  <c r="BR56" i="34"/>
  <c r="BZ56" i="34"/>
  <c r="CH56" i="34"/>
  <c r="CP56" i="34"/>
  <c r="CX56" i="34"/>
  <c r="G55" i="34"/>
  <c r="D54" i="34"/>
  <c r="L57" i="34"/>
  <c r="T57" i="34"/>
  <c r="AB57" i="34"/>
  <c r="AJ57" i="34"/>
  <c r="AR57" i="34"/>
  <c r="AZ57" i="34"/>
  <c r="BH57" i="34"/>
  <c r="BP57" i="34"/>
  <c r="BX57" i="34"/>
  <c r="CF57" i="34"/>
  <c r="CN57" i="34"/>
  <c r="CV57" i="34"/>
  <c r="I58" i="34"/>
  <c r="Q58" i="34"/>
  <c r="Y58" i="34"/>
  <c r="AG58" i="34"/>
  <c r="AO58" i="34"/>
  <c r="AW58" i="34"/>
  <c r="BE58" i="34"/>
  <c r="BM58" i="34"/>
  <c r="BU58" i="34"/>
  <c r="CC58" i="34"/>
  <c r="CK58" i="34"/>
  <c r="CS58" i="34"/>
  <c r="F59" i="34"/>
  <c r="N59" i="34"/>
  <c r="V59" i="34"/>
  <c r="AD59" i="34"/>
  <c r="AL59" i="34"/>
  <c r="AT59" i="34"/>
  <c r="BB59" i="34"/>
  <c r="BJ59" i="34"/>
  <c r="BR59" i="34"/>
  <c r="BZ59" i="34"/>
  <c r="CH59" i="34"/>
  <c r="CP59" i="34"/>
  <c r="CX59" i="34"/>
  <c r="H52" i="34"/>
  <c r="P52" i="34"/>
  <c r="X52" i="34"/>
  <c r="AF52" i="34"/>
  <c r="AN52" i="34"/>
  <c r="AV52" i="34"/>
  <c r="BD52" i="34"/>
  <c r="BL52" i="34"/>
  <c r="BT52" i="34"/>
  <c r="CB52" i="34"/>
  <c r="M54" i="34"/>
  <c r="U54" i="34"/>
  <c r="AC54" i="34"/>
  <c r="AK54" i="34"/>
  <c r="AS54" i="34"/>
  <c r="BA54" i="34"/>
  <c r="BI54" i="34"/>
  <c r="BQ54" i="34"/>
  <c r="BY54" i="34"/>
  <c r="CG54" i="34"/>
  <c r="CO54" i="34"/>
  <c r="CW54" i="34"/>
  <c r="N55" i="34"/>
  <c r="V55" i="34"/>
  <c r="AD55" i="34"/>
  <c r="AL55" i="34"/>
  <c r="AT55" i="34"/>
  <c r="BB55" i="34"/>
  <c r="BJ55" i="34"/>
  <c r="BR55" i="34"/>
  <c r="BZ55" i="34"/>
  <c r="CH55" i="34"/>
  <c r="CP55" i="34"/>
  <c r="CX55" i="34"/>
  <c r="O56" i="34"/>
  <c r="W56" i="34"/>
  <c r="AE56" i="34"/>
  <c r="AM56" i="34"/>
  <c r="AU56" i="34"/>
  <c r="BC56" i="34"/>
  <c r="BK56" i="34"/>
  <c r="BS56" i="34"/>
  <c r="CA56" i="34"/>
  <c r="CI56" i="34"/>
  <c r="CQ56" i="34"/>
  <c r="CY56" i="34"/>
  <c r="H55" i="34"/>
  <c r="E57" i="34"/>
  <c r="M57" i="34"/>
  <c r="U57" i="34"/>
  <c r="AC57" i="34"/>
  <c r="AK57" i="34"/>
  <c r="AS57" i="34"/>
  <c r="BA57" i="34"/>
  <c r="BI57" i="34"/>
  <c r="BQ57" i="34"/>
  <c r="BY57" i="34"/>
  <c r="CG57" i="34"/>
  <c r="CO57" i="34"/>
  <c r="CW57" i="34"/>
  <c r="J58" i="34"/>
  <c r="R58" i="34"/>
  <c r="Z58" i="34"/>
  <c r="AH58" i="34"/>
  <c r="AP58" i="34"/>
  <c r="AX58" i="34"/>
  <c r="BF58" i="34"/>
  <c r="BN58" i="34"/>
  <c r="BV58" i="34"/>
  <c r="CD58" i="34"/>
  <c r="CL58" i="34"/>
  <c r="CT58" i="34"/>
  <c r="G59" i="34"/>
  <c r="O59" i="34"/>
  <c r="W59" i="34"/>
  <c r="AE59" i="34"/>
  <c r="AM59" i="34"/>
  <c r="AU59" i="34"/>
  <c r="BC59" i="34"/>
  <c r="BK59" i="34"/>
  <c r="BS59" i="34"/>
  <c r="CA59" i="34"/>
  <c r="CI59" i="34"/>
  <c r="CQ59" i="34"/>
  <c r="CY59" i="34"/>
  <c r="I52" i="34"/>
  <c r="Q52" i="34"/>
  <c r="Y52" i="34"/>
  <c r="AG52" i="34"/>
  <c r="AO52" i="34"/>
  <c r="AW52" i="34"/>
  <c r="BE52" i="34"/>
  <c r="BM52" i="34"/>
  <c r="BU52" i="34"/>
  <c r="CC52" i="34"/>
  <c r="BJ54" i="34"/>
  <c r="AE55" i="34"/>
  <c r="CQ55" i="34"/>
  <c r="BL56" i="34"/>
  <c r="N57" i="34"/>
  <c r="BZ57" i="34"/>
  <c r="AQ58" i="34"/>
  <c r="H59" i="34"/>
  <c r="BT59" i="34"/>
  <c r="AH52" i="34"/>
  <c r="CH52" i="34"/>
  <c r="CP52" i="34"/>
  <c r="CX52" i="34"/>
  <c r="K53" i="34"/>
  <c r="S53" i="34"/>
  <c r="AA53" i="34"/>
  <c r="AI53" i="34"/>
  <c r="AQ53" i="34"/>
  <c r="AY53" i="34"/>
  <c r="BG53" i="34"/>
  <c r="BO53" i="34"/>
  <c r="BW53" i="34"/>
  <c r="CE53" i="34"/>
  <c r="CM53" i="34"/>
  <c r="CU53" i="34"/>
  <c r="BR54" i="34"/>
  <c r="AM55" i="34"/>
  <c r="CY55" i="34"/>
  <c r="BT56" i="34"/>
  <c r="V57" i="34"/>
  <c r="CH57" i="34"/>
  <c r="AY58" i="34"/>
  <c r="P59" i="34"/>
  <c r="CB59" i="34"/>
  <c r="AP52" i="34"/>
  <c r="CI52" i="34"/>
  <c r="CQ52" i="34"/>
  <c r="CY52" i="34"/>
  <c r="L53" i="34"/>
  <c r="T53" i="34"/>
  <c r="AB53" i="34"/>
  <c r="AJ53" i="34"/>
  <c r="AR53" i="34"/>
  <c r="AZ53" i="34"/>
  <c r="BH53" i="34"/>
  <c r="BX53" i="34"/>
  <c r="CN53" i="34"/>
  <c r="N54" i="34"/>
  <c r="BZ54" i="34"/>
  <c r="AU55" i="34"/>
  <c r="P56" i="34"/>
  <c r="CB56" i="34"/>
  <c r="AD57" i="34"/>
  <c r="CP57" i="34"/>
  <c r="BG58" i="34"/>
  <c r="X59" i="34"/>
  <c r="CJ59" i="34"/>
  <c r="AX52" i="34"/>
  <c r="CJ52" i="34"/>
  <c r="CR52" i="34"/>
  <c r="E53" i="34"/>
  <c r="M53" i="34"/>
  <c r="U53" i="34"/>
  <c r="AC53" i="34"/>
  <c r="AK53" i="34"/>
  <c r="AS53" i="34"/>
  <c r="BA53" i="34"/>
  <c r="BI53" i="34"/>
  <c r="BQ53" i="34"/>
  <c r="BY53" i="34"/>
  <c r="CG53" i="34"/>
  <c r="CO53" i="34"/>
  <c r="CW53" i="34"/>
  <c r="CP54" i="34"/>
  <c r="BK55" i="34"/>
  <c r="CR56" i="34"/>
  <c r="K58" i="34"/>
  <c r="AN59" i="34"/>
  <c r="BN52" i="34"/>
  <c r="CT52" i="34"/>
  <c r="O53" i="34"/>
  <c r="AE53" i="34"/>
  <c r="AU53" i="34"/>
  <c r="BK53" i="34"/>
  <c r="CA53" i="34"/>
  <c r="CQ53" i="34"/>
  <c r="AL54" i="34"/>
  <c r="AN56" i="34"/>
  <c r="BB57" i="34"/>
  <c r="CE58" i="34"/>
  <c r="J52" i="34"/>
  <c r="CM52" i="34"/>
  <c r="H53" i="34"/>
  <c r="X53" i="34"/>
  <c r="AN53" i="34"/>
  <c r="BD53" i="34"/>
  <c r="BT53" i="34"/>
  <c r="CJ53" i="34"/>
  <c r="D53" i="34"/>
  <c r="V54" i="34"/>
  <c r="CH54" i="34"/>
  <c r="BC55" i="34"/>
  <c r="X56" i="34"/>
  <c r="CJ56" i="34"/>
  <c r="AL57" i="34"/>
  <c r="CX57" i="34"/>
  <c r="BO58" i="34"/>
  <c r="AF59" i="34"/>
  <c r="CR59" i="34"/>
  <c r="BF52" i="34"/>
  <c r="CK52" i="34"/>
  <c r="CS52" i="34"/>
  <c r="F53" i="34"/>
  <c r="N53" i="34"/>
  <c r="V53" i="34"/>
  <c r="AD53" i="34"/>
  <c r="AL53" i="34"/>
  <c r="AT53" i="34"/>
  <c r="BB53" i="34"/>
  <c r="BJ53" i="34"/>
  <c r="BR53" i="34"/>
  <c r="BZ53" i="34"/>
  <c r="CH53" i="34"/>
  <c r="CP53" i="34"/>
  <c r="CX53" i="34"/>
  <c r="AD54" i="34"/>
  <c r="AF56" i="34"/>
  <c r="AT57" i="34"/>
  <c r="BW58" i="34"/>
  <c r="D59" i="34"/>
  <c r="CL52" i="34"/>
  <c r="G53" i="34"/>
  <c r="W53" i="34"/>
  <c r="AM53" i="34"/>
  <c r="BC53" i="34"/>
  <c r="BS53" i="34"/>
  <c r="CI53" i="34"/>
  <c r="CY53" i="34"/>
  <c r="CX54" i="34"/>
  <c r="BS55" i="34"/>
  <c r="E54" i="34"/>
  <c r="S58" i="34"/>
  <c r="AV59" i="34"/>
  <c r="BV52" i="34"/>
  <c r="CU52" i="34"/>
  <c r="P53" i="34"/>
  <c r="AF53" i="34"/>
  <c r="AV53" i="34"/>
  <c r="BL53" i="34"/>
  <c r="CB53" i="34"/>
  <c r="CR53" i="34"/>
  <c r="AT54" i="34"/>
  <c r="O55" i="34"/>
  <c r="CA55" i="34"/>
  <c r="AV56" i="34"/>
  <c r="E56" i="34"/>
  <c r="BJ57" i="34"/>
  <c r="AA58" i="34"/>
  <c r="CM58" i="34"/>
  <c r="BD59" i="34"/>
  <c r="R52" i="34"/>
  <c r="CD52" i="34"/>
  <c r="CN52" i="34"/>
  <c r="CV52" i="34"/>
  <c r="I53" i="34"/>
  <c r="Q53" i="34"/>
  <c r="Y53" i="34"/>
  <c r="AG53" i="34"/>
  <c r="AO53" i="34"/>
  <c r="AW53" i="34"/>
  <c r="BE53" i="34"/>
  <c r="BM53" i="34"/>
  <c r="BU53" i="34"/>
  <c r="CC53" i="34"/>
  <c r="CK53" i="34"/>
  <c r="CS53" i="34"/>
  <c r="D52" i="34"/>
  <c r="BB54" i="34"/>
  <c r="W55" i="34"/>
  <c r="CI55" i="34"/>
  <c r="BD56" i="34"/>
  <c r="F57" i="34"/>
  <c r="BR57" i="34"/>
  <c r="AI58" i="34"/>
  <c r="CU58" i="34"/>
  <c r="BL59" i="34"/>
  <c r="Z52" i="34"/>
  <c r="CG52" i="34"/>
  <c r="CO52" i="34"/>
  <c r="CW52" i="34"/>
  <c r="J53" i="34"/>
  <c r="R53" i="34"/>
  <c r="Z53" i="34"/>
  <c r="AH53" i="34"/>
  <c r="AP53" i="34"/>
  <c r="AX53" i="34"/>
  <c r="BF53" i="34"/>
  <c r="BN53" i="34"/>
  <c r="BV53" i="34"/>
  <c r="CD53" i="34"/>
  <c r="CL53" i="34"/>
  <c r="CT53" i="34"/>
  <c r="BP53" i="34"/>
  <c r="CF53" i="34"/>
  <c r="CV53" i="34"/>
  <c r="Y242" i="5"/>
  <c r="D948" i="5"/>
  <c r="C946" i="5"/>
  <c r="C947" i="5" s="1"/>
  <c r="C973" i="5" s="1"/>
  <c r="C975" i="5" s="1"/>
  <c r="C976" i="5" s="1"/>
  <c r="BN181" i="5"/>
  <c r="D973" i="5"/>
  <c r="D975" i="5" s="1"/>
  <c r="D976" i="5" s="1"/>
  <c r="F239" i="5" a="1"/>
  <c r="F239" i="5" s="1"/>
  <c r="F232" i="5" a="1"/>
  <c r="F232" i="5" s="1"/>
  <c r="C42" i="34"/>
  <c r="BN190" i="5"/>
  <c r="F236" i="5" a="1"/>
  <c r="F236" i="5" s="1"/>
  <c r="F235" i="5" a="1"/>
  <c r="F235" i="5" s="1"/>
  <c r="F234" i="5" a="1"/>
  <c r="F234" i="5" s="1"/>
  <c r="F233" i="5" a="1"/>
  <c r="F233" i="5" s="1"/>
  <c r="B249" i="5"/>
  <c r="B250" i="5" s="1"/>
  <c r="A242" i="5"/>
  <c r="B9" i="5"/>
  <c r="B4" i="5"/>
  <c r="B740" i="5" s="1"/>
  <c r="F242" i="5" l="1"/>
  <c r="B5" i="5"/>
  <c r="C387" i="5" s="1"/>
  <c r="D387" i="5" s="1"/>
  <c r="C44" i="34"/>
  <c r="C107" i="34"/>
  <c r="C513" i="5"/>
  <c r="C510" i="5"/>
  <c r="E996" i="5"/>
  <c r="E997" i="5"/>
  <c r="C948" i="5"/>
  <c r="C360" i="5"/>
  <c r="D503" i="5"/>
  <c r="A559" i="5"/>
  <c r="V241" i="5"/>
  <c r="C361" i="5"/>
  <c r="V242" i="5"/>
  <c r="B871" i="5"/>
  <c r="B872" i="5" s="1"/>
  <c r="B855" i="5"/>
  <c r="B856" i="5" s="1"/>
  <c r="B857" i="5" s="1"/>
  <c r="B860" i="5" s="1"/>
  <c r="B861" i="5" s="1"/>
  <c r="CH241" i="5"/>
  <c r="CG241" i="5"/>
  <c r="C1193" i="5"/>
  <c r="C1191" i="5"/>
  <c r="C1189" i="5"/>
  <c r="B375" i="5"/>
  <c r="B376" i="5" s="1"/>
  <c r="C377" i="5"/>
  <c r="C362" i="5"/>
  <c r="A311" i="5"/>
  <c r="D349" i="5"/>
  <c r="G318" i="5"/>
  <c r="BS241" i="5"/>
  <c r="BR241" i="5"/>
  <c r="BT241" i="5"/>
  <c r="BU241" i="5"/>
  <c r="BV241" i="5"/>
  <c r="B568" i="5"/>
  <c r="C1094" i="5"/>
  <c r="C1092" i="5"/>
  <c r="C486" i="5"/>
  <c r="A1057" i="5"/>
  <c r="B810" i="5"/>
  <c r="B811" i="5" s="1"/>
  <c r="B813" i="5" s="1"/>
  <c r="D504" i="5"/>
  <c r="C482" i="5"/>
  <c r="B154" i="5"/>
  <c r="B155" i="5"/>
  <c r="B153" i="5"/>
  <c r="C1002" i="5"/>
  <c r="C1001" i="5"/>
  <c r="E978" i="5"/>
  <c r="E987" i="5"/>
  <c r="E992" i="5"/>
  <c r="E993" i="5"/>
  <c r="D982" i="5"/>
  <c r="D984" i="5" s="1"/>
  <c r="D985" i="5" s="1"/>
  <c r="E989" i="5"/>
  <c r="C585" i="5"/>
  <c r="C587" i="5"/>
  <c r="C583" i="5"/>
  <c r="E986" i="5"/>
  <c r="E991" i="5"/>
  <c r="E990" i="5"/>
  <c r="E977" i="5"/>
  <c r="B251" i="5"/>
  <c r="B252" i="5" s="1"/>
  <c r="B253" i="5" s="1"/>
  <c r="BN239" i="5" a="1"/>
  <c r="BN239" i="5" s="1"/>
  <c r="BN232" i="5" a="1"/>
  <c r="BN232" i="5" s="1"/>
  <c r="BN233" i="5" a="1"/>
  <c r="BN233" i="5" s="1"/>
  <c r="BN235" i="5" a="1"/>
  <c r="BN235" i="5" s="1"/>
  <c r="BN234" i="5" a="1"/>
  <c r="BN234" i="5" s="1"/>
  <c r="BN236" i="5" a="1"/>
  <c r="BN236" i="5" s="1"/>
  <c r="A551" i="5"/>
  <c r="A555" i="5"/>
  <c r="C526" i="5"/>
  <c r="C535" i="5" s="1"/>
  <c r="B592" i="5" s="1"/>
  <c r="E526" i="5"/>
  <c r="E535" i="5" s="1"/>
  <c r="F526" i="5"/>
  <c r="F535" i="5" s="1"/>
  <c r="B695" i="5" s="1"/>
  <c r="D526" i="5"/>
  <c r="D535" i="5" s="1"/>
  <c r="B134" i="5"/>
  <c r="B130" i="5"/>
  <c r="B705" i="5" l="1"/>
  <c r="B680" i="5"/>
  <c r="B681" i="5"/>
  <c r="C385" i="5"/>
  <c r="D385" i="5" s="1"/>
  <c r="C386" i="5"/>
  <c r="D386" i="5" s="1"/>
  <c r="C391" i="5"/>
  <c r="D391" i="5" s="1"/>
  <c r="C383" i="5"/>
  <c r="D383" i="5" s="1"/>
  <c r="C390" i="5"/>
  <c r="D390" i="5" s="1"/>
  <c r="C389" i="5"/>
  <c r="D389" i="5" s="1"/>
  <c r="C384" i="5"/>
  <c r="D384" i="5" s="1"/>
  <c r="C388" i="5"/>
  <c r="D388" i="5" s="1"/>
  <c r="B6" i="5"/>
  <c r="B719" i="5" s="1"/>
  <c r="B555" i="5"/>
  <c r="B482" i="5"/>
  <c r="B551" i="5"/>
  <c r="B536" i="5" s="1"/>
  <c r="B858" i="5"/>
  <c r="B862" i="5" s="1"/>
  <c r="C503" i="5"/>
  <c r="B503" i="5"/>
  <c r="B595" i="5"/>
  <c r="B601" i="5" s="1"/>
  <c r="B751" i="5" s="1"/>
  <c r="B360" i="5"/>
  <c r="B361" i="5" s="1"/>
  <c r="B1176" i="5" s="1"/>
  <c r="X242" i="5"/>
  <c r="AC242" i="5"/>
  <c r="B26" i="5" s="1"/>
  <c r="AL242" i="5"/>
  <c r="B34" i="5" s="1"/>
  <c r="B35" i="5" s="1"/>
  <c r="B812" i="5"/>
  <c r="B629" i="5"/>
  <c r="B1010" i="5"/>
  <c r="BN242" i="5"/>
  <c r="B764" i="5" s="1"/>
  <c r="B765" i="5" s="1"/>
  <c r="B254" i="5"/>
  <c r="B255" i="5" s="1"/>
  <c r="G536" i="5" l="1"/>
  <c r="G538" i="5" s="1"/>
  <c r="G539" i="5" s="1"/>
  <c r="B716" i="5"/>
  <c r="B717" i="5" s="1"/>
  <c r="B697" i="5"/>
  <c r="B682" i="5"/>
  <c r="B685" i="5"/>
  <c r="D392" i="5"/>
  <c r="B441" i="5" s="1"/>
  <c r="B443" i="5" s="1"/>
  <c r="C392" i="5"/>
  <c r="B510" i="5"/>
  <c r="C536" i="5"/>
  <c r="D536" i="5"/>
  <c r="E536" i="5"/>
  <c r="C66" i="34"/>
  <c r="B923" i="5"/>
  <c r="B926" i="5" s="1"/>
  <c r="B613" i="5"/>
  <c r="B658" i="5"/>
  <c r="B609" i="5"/>
  <c r="B654" i="5"/>
  <c r="B863" i="5"/>
  <c r="B563" i="5"/>
  <c r="B782" i="5" s="1"/>
  <c r="B562" i="5"/>
  <c r="B17" i="5" s="1"/>
  <c r="B632" i="5"/>
  <c r="B636" i="5" s="1"/>
  <c r="B630" i="5"/>
  <c r="B596" i="5"/>
  <c r="B602" i="5" s="1"/>
  <c r="B593" i="5"/>
  <c r="B14" i="5"/>
  <c r="B814" i="5"/>
  <c r="C815" i="5"/>
  <c r="B815" i="5"/>
  <c r="B816" i="5" s="1"/>
  <c r="B27" i="5"/>
  <c r="C1010" i="5"/>
  <c r="C923" i="5"/>
  <c r="C926" i="5" s="1"/>
  <c r="B839" i="5" l="1"/>
  <c r="B873" i="5" s="1"/>
  <c r="I20" i="86"/>
  <c r="I21" i="86" s="1"/>
  <c r="B744" i="5"/>
  <c r="B718" i="5"/>
  <c r="B720" i="5"/>
  <c r="B722" i="5" s="1"/>
  <c r="B683" i="5"/>
  <c r="B704" i="5" s="1"/>
  <c r="B1149" i="5"/>
  <c r="E1103" i="5"/>
  <c r="B1140" i="5"/>
  <c r="C915" i="5"/>
  <c r="C917" i="5" s="1"/>
  <c r="B631" i="5"/>
  <c r="B653" i="5" s="1"/>
  <c r="B594" i="5"/>
  <c r="B605" i="5" s="1"/>
  <c r="B606" i="5" s="1"/>
  <c r="C816" i="5"/>
  <c r="B638" i="5"/>
  <c r="B640" i="5" s="1"/>
  <c r="B659" i="5"/>
  <c r="B660" i="5" s="1"/>
  <c r="B915" i="5"/>
  <c r="B917" i="5" s="1"/>
  <c r="B19" i="5"/>
  <c r="D5" i="34"/>
  <c r="C38" i="34"/>
  <c r="B133" i="5"/>
  <c r="B135" i="5"/>
  <c r="B136" i="5"/>
  <c r="B137" i="5"/>
  <c r="B138" i="5"/>
  <c r="B139" i="5"/>
  <c r="B140" i="5"/>
  <c r="B141" i="5"/>
  <c r="B142" i="5"/>
  <c r="B143" i="5"/>
  <c r="B144" i="5"/>
  <c r="B145" i="5"/>
  <c r="B146" i="5"/>
  <c r="B269" i="5" s="1"/>
  <c r="B147" i="5"/>
  <c r="B148" i="5"/>
  <c r="B377" i="5" s="1"/>
  <c r="B149" i="5"/>
  <c r="B150" i="5"/>
  <c r="CG242" i="5" s="1"/>
  <c r="B907" i="5" s="1"/>
  <c r="B151" i="5"/>
  <c r="B152" i="5"/>
  <c r="B132" i="5"/>
  <c r="B131" i="5"/>
  <c r="B869" i="5" l="1"/>
  <c r="B876" i="5" s="1"/>
  <c r="B738" i="5"/>
  <c r="B723" i="5"/>
  <c r="B724" i="5" s="1"/>
  <c r="B741" i="5" s="1"/>
  <c r="B739" i="5"/>
  <c r="B684" i="5"/>
  <c r="B686" i="5"/>
  <c r="J12" i="86"/>
  <c r="I12" i="86" s="1"/>
  <c r="B559" i="5"/>
  <c r="F536" i="5" s="1"/>
  <c r="B565" i="5" s="1"/>
  <c r="B837" i="5"/>
  <c r="B1120" i="5"/>
  <c r="B1162" i="5"/>
  <c r="B648" i="5"/>
  <c r="B649" i="5"/>
  <c r="C986" i="5"/>
  <c r="C987" i="5" s="1"/>
  <c r="D977" i="5"/>
  <c r="D978" i="5" s="1"/>
  <c r="C977" i="5"/>
  <c r="C978" i="5" s="1"/>
  <c r="D986" i="5"/>
  <c r="D987" i="5" s="1"/>
  <c r="C920" i="5"/>
  <c r="C922" i="5" s="1"/>
  <c r="C927" i="5" s="1"/>
  <c r="B603" i="5"/>
  <c r="B604" i="5" s="1"/>
  <c r="B1100" i="5" s="1"/>
  <c r="B614" i="5"/>
  <c r="B615" i="5" s="1"/>
  <c r="B621" i="5" s="1"/>
  <c r="B665" i="5"/>
  <c r="C1108" i="5" s="1"/>
  <c r="B753" i="5"/>
  <c r="CH242" i="5"/>
  <c r="B909" i="5" s="1"/>
  <c r="B910" i="5" s="1"/>
  <c r="B1178" i="5" s="1"/>
  <c r="B908" i="5"/>
  <c r="B1177" i="5" s="1"/>
  <c r="C817" i="5"/>
  <c r="C538" i="5"/>
  <c r="C539" i="5" s="1"/>
  <c r="BV242" i="5"/>
  <c r="B817" i="5"/>
  <c r="BU242" i="5"/>
  <c r="BS242" i="5"/>
  <c r="BR242" i="5"/>
  <c r="BT242" i="5"/>
  <c r="B666" i="5"/>
  <c r="B587" i="5"/>
  <c r="B990" i="5" s="1"/>
  <c r="B585" i="5"/>
  <c r="B991" i="5" s="1"/>
  <c r="B583" i="5"/>
  <c r="B989" i="5" s="1"/>
  <c r="E538" i="5"/>
  <c r="E539" i="5" s="1"/>
  <c r="U242" i="5"/>
  <c r="B15" i="5" s="1"/>
  <c r="B444" i="5" s="1"/>
  <c r="AJ242" i="5"/>
  <c r="B32" i="5" s="1"/>
  <c r="B840" i="5" l="1"/>
  <c r="B874" i="5" s="1"/>
  <c r="B726" i="5"/>
  <c r="B728" i="5" s="1"/>
  <c r="B729" i="5" s="1"/>
  <c r="B725" i="5"/>
  <c r="B688" i="5"/>
  <c r="B993" i="5"/>
  <c r="B992" i="5"/>
  <c r="B357" i="5"/>
  <c r="F538" i="5"/>
  <c r="F539" i="5" s="1"/>
  <c r="C67" i="34"/>
  <c r="C68" i="34"/>
  <c r="B754" i="5"/>
  <c r="B1093" i="5" s="1"/>
  <c r="C1104" i="5"/>
  <c r="C1105" i="5" s="1"/>
  <c r="B1128" i="5" s="1"/>
  <c r="C991" i="5"/>
  <c r="C990" i="5"/>
  <c r="C989" i="5"/>
  <c r="B620" i="5"/>
  <c r="B1108" i="5" s="1"/>
  <c r="B622" i="5"/>
  <c r="B623" i="5" s="1"/>
  <c r="B624" i="5" s="1"/>
  <c r="B625" i="5" s="1"/>
  <c r="B538" i="5"/>
  <c r="B539" i="5" s="1"/>
  <c r="B33" i="5"/>
  <c r="B667" i="5"/>
  <c r="D989" i="5"/>
  <c r="D990" i="5"/>
  <c r="D991" i="5"/>
  <c r="C1109" i="5"/>
  <c r="B1101" i="5"/>
  <c r="D538" i="5"/>
  <c r="D539" i="5" s="1"/>
  <c r="B870" i="5" l="1"/>
  <c r="B703" i="5"/>
  <c r="B752" i="5" s="1"/>
  <c r="I22" i="86"/>
  <c r="B1106" i="5"/>
  <c r="B727" i="5"/>
  <c r="B689" i="5"/>
  <c r="B690" i="5" s="1"/>
  <c r="D992" i="5"/>
  <c r="B1174" i="5"/>
  <c r="B566" i="5"/>
  <c r="B668" i="5"/>
  <c r="B669" i="5" s="1"/>
  <c r="B671" i="5" s="1"/>
  <c r="B877" i="5"/>
  <c r="B1109" i="5"/>
  <c r="B1132" i="5" s="1"/>
  <c r="B1133" i="5" s="1"/>
  <c r="B755" i="5"/>
  <c r="C992" i="5"/>
  <c r="C993" i="5"/>
  <c r="B626" i="5"/>
  <c r="C59" i="34"/>
  <c r="D993" i="5"/>
  <c r="D79" i="34"/>
  <c r="B731" i="5" l="1"/>
  <c r="B734" i="5" s="1"/>
  <c r="B745" i="5"/>
  <c r="B746" i="5" s="1"/>
  <c r="B706" i="5"/>
  <c r="B748" i="5" s="1"/>
  <c r="B691" i="5"/>
  <c r="B693" i="5" s="1"/>
  <c r="C500" i="5"/>
  <c r="B500" i="5"/>
  <c r="B670" i="5"/>
  <c r="C64" i="34"/>
  <c r="E79" i="34"/>
  <c r="B749" i="5" l="1"/>
  <c r="B733" i="5"/>
  <c r="E1100" i="5" s="1"/>
  <c r="C1106" i="5"/>
  <c r="C1107" i="5" s="1"/>
  <c r="B747" i="5"/>
  <c r="B694" i="5"/>
  <c r="D915" i="5" s="1"/>
  <c r="D917" i="5" s="1"/>
  <c r="B692" i="5"/>
  <c r="B511" i="5"/>
  <c r="B1107" i="5"/>
  <c r="F79" i="34"/>
  <c r="A53" i="5"/>
  <c r="A54" i="5" s="1"/>
  <c r="I23" i="86" l="1"/>
  <c r="B842" i="5"/>
  <c r="B843" i="5" s="1"/>
  <c r="B844" i="5" s="1"/>
  <c r="B1130" i="5"/>
  <c r="B1131" i="5" s="1"/>
  <c r="B696" i="5"/>
  <c r="B699" i="5" s="1"/>
  <c r="B879" i="5"/>
  <c r="B880" i="5" s="1"/>
  <c r="C321" i="5"/>
  <c r="D321" i="5" s="1"/>
  <c r="G79" i="34"/>
  <c r="B845" i="5" l="1"/>
  <c r="B846" i="5"/>
  <c r="B881" i="5"/>
  <c r="B882" i="5" s="1"/>
  <c r="B698" i="5"/>
  <c r="D1100" i="5" s="1"/>
  <c r="D1101" i="5" s="1"/>
  <c r="H79" i="34"/>
  <c r="B883" i="5" l="1"/>
  <c r="B887" i="5" s="1"/>
  <c r="B886" i="5"/>
  <c r="I79" i="34"/>
  <c r="B888" i="5" l="1"/>
  <c r="B889" i="5" s="1"/>
  <c r="B891" i="5" s="1"/>
  <c r="B1145" i="5" s="1"/>
  <c r="J13" i="86" s="1"/>
  <c r="I13" i="86" s="1"/>
  <c r="J79" i="34"/>
  <c r="B890" i="5" l="1"/>
  <c r="B1175" i="5" s="1"/>
  <c r="C65" i="34" s="1"/>
  <c r="K79" i="34"/>
  <c r="C34" i="34"/>
  <c r="C35" i="34" s="1"/>
  <c r="L79" i="34" l="1"/>
  <c r="M79" i="34" l="1"/>
  <c r="N79" i="34" l="1"/>
  <c r="O79" i="34" l="1"/>
  <c r="P79" i="34" l="1"/>
  <c r="C51" i="34"/>
  <c r="C32" i="34"/>
  <c r="Q79" i="34" l="1"/>
  <c r="B124" i="34"/>
  <c r="R79" i="34" l="1"/>
  <c r="B100" i="34"/>
  <c r="B104" i="34"/>
  <c r="B105" i="34"/>
  <c r="B99" i="34"/>
  <c r="B90" i="34"/>
  <c r="B92" i="34"/>
  <c r="B93" i="34"/>
  <c r="B94" i="34"/>
  <c r="B89" i="34"/>
  <c r="S79" i="34" l="1"/>
  <c r="A156" i="34"/>
  <c r="D147" i="34"/>
  <c r="E147" i="34" s="1"/>
  <c r="F147" i="34" s="1"/>
  <c r="G147" i="34" s="1"/>
  <c r="H147" i="34" s="1"/>
  <c r="I147" i="34" s="1"/>
  <c r="J147" i="34" s="1"/>
  <c r="K147" i="34" s="1"/>
  <c r="L147" i="34" s="1"/>
  <c r="M147" i="34" s="1"/>
  <c r="N147" i="34" s="1"/>
  <c r="O147" i="34" s="1"/>
  <c r="P147" i="34" s="1"/>
  <c r="Q147" i="34" s="1"/>
  <c r="R147" i="34" s="1"/>
  <c r="S147" i="34" s="1"/>
  <c r="T147" i="34" s="1"/>
  <c r="U147" i="34" s="1"/>
  <c r="V147" i="34" s="1"/>
  <c r="W147" i="34" s="1"/>
  <c r="X147" i="34" s="1"/>
  <c r="Y147" i="34" s="1"/>
  <c r="Z147" i="34" s="1"/>
  <c r="AA147" i="34" s="1"/>
  <c r="AB147" i="34" s="1"/>
  <c r="AC147" i="34" s="1"/>
  <c r="AD147" i="34" s="1"/>
  <c r="AE147" i="34" s="1"/>
  <c r="AF147" i="34" s="1"/>
  <c r="AG147" i="34" s="1"/>
  <c r="AH147" i="34" s="1"/>
  <c r="AI147" i="34" s="1"/>
  <c r="AJ147" i="34" s="1"/>
  <c r="AK147" i="34" s="1"/>
  <c r="AL147" i="34" s="1"/>
  <c r="AM147" i="34" s="1"/>
  <c r="AN147" i="34" s="1"/>
  <c r="AO147" i="34" s="1"/>
  <c r="AP147" i="34" s="1"/>
  <c r="AQ147" i="34" s="1"/>
  <c r="AR147" i="34" s="1"/>
  <c r="AS147" i="34" s="1"/>
  <c r="AT147" i="34" s="1"/>
  <c r="AU147" i="34" s="1"/>
  <c r="AV147" i="34" s="1"/>
  <c r="AW147" i="34" s="1"/>
  <c r="AX147" i="34" s="1"/>
  <c r="AY147" i="34" s="1"/>
  <c r="AZ147" i="34" s="1"/>
  <c r="BA147" i="34" s="1"/>
  <c r="BB147" i="34" s="1"/>
  <c r="BC147" i="34" s="1"/>
  <c r="BD147" i="34" s="1"/>
  <c r="BE147" i="34" s="1"/>
  <c r="BF147" i="34" s="1"/>
  <c r="BG147" i="34" s="1"/>
  <c r="BH147" i="34" s="1"/>
  <c r="BI147" i="34" s="1"/>
  <c r="BJ147" i="34" s="1"/>
  <c r="BK147" i="34" s="1"/>
  <c r="BL147" i="34" s="1"/>
  <c r="BM147" i="34" s="1"/>
  <c r="BN147" i="34" s="1"/>
  <c r="BO147" i="34" s="1"/>
  <c r="BP147" i="34" s="1"/>
  <c r="BQ147" i="34" s="1"/>
  <c r="BR147" i="34" s="1"/>
  <c r="BS147" i="34" s="1"/>
  <c r="BT147" i="34" s="1"/>
  <c r="BU147" i="34" s="1"/>
  <c r="BV147" i="34" s="1"/>
  <c r="BW147" i="34" s="1"/>
  <c r="BX147" i="34" s="1"/>
  <c r="BY147" i="34" s="1"/>
  <c r="BZ147" i="34" s="1"/>
  <c r="CA147" i="34" s="1"/>
  <c r="CB147" i="34" s="1"/>
  <c r="CC147" i="34" s="1"/>
  <c r="CD147" i="34" s="1"/>
  <c r="CE147" i="34" s="1"/>
  <c r="CF147" i="34" s="1"/>
  <c r="CG147" i="34" s="1"/>
  <c r="CH147" i="34" s="1"/>
  <c r="CI147" i="34" s="1"/>
  <c r="CJ147" i="34" s="1"/>
  <c r="CK147" i="34" s="1"/>
  <c r="CL147" i="34" s="1"/>
  <c r="CM147" i="34" s="1"/>
  <c r="CN147" i="34" s="1"/>
  <c r="CO147" i="34" s="1"/>
  <c r="CP147" i="34" s="1"/>
  <c r="CQ147" i="34" s="1"/>
  <c r="CR147" i="34" s="1"/>
  <c r="CS147" i="34" s="1"/>
  <c r="CT147" i="34" s="1"/>
  <c r="CU147" i="34" s="1"/>
  <c r="CV147" i="34" s="1"/>
  <c r="CW147" i="34" s="1"/>
  <c r="CX147" i="34" s="1"/>
  <c r="C146" i="34"/>
  <c r="D146" i="34" s="1"/>
  <c r="E146" i="34" s="1"/>
  <c r="F146" i="34" s="1"/>
  <c r="G146" i="34" s="1"/>
  <c r="H146" i="34" s="1"/>
  <c r="I146" i="34" s="1"/>
  <c r="J146" i="34" s="1"/>
  <c r="K146" i="34" s="1"/>
  <c r="L146" i="34" s="1"/>
  <c r="M146" i="34" s="1"/>
  <c r="N146" i="34" s="1"/>
  <c r="O146" i="34" s="1"/>
  <c r="P146" i="34" s="1"/>
  <c r="Q146" i="34" s="1"/>
  <c r="R146" i="34" s="1"/>
  <c r="S146" i="34" s="1"/>
  <c r="T146" i="34" s="1"/>
  <c r="U146" i="34" s="1"/>
  <c r="V146" i="34" s="1"/>
  <c r="W146" i="34" s="1"/>
  <c r="X146" i="34" s="1"/>
  <c r="Y146" i="34" s="1"/>
  <c r="Z146" i="34" s="1"/>
  <c r="AA146" i="34" s="1"/>
  <c r="AB146" i="34" s="1"/>
  <c r="AC146" i="34" s="1"/>
  <c r="AD146" i="34" s="1"/>
  <c r="AE146" i="34" s="1"/>
  <c r="AF146" i="34" s="1"/>
  <c r="AG146" i="34" s="1"/>
  <c r="AH146" i="34" s="1"/>
  <c r="AI146" i="34" s="1"/>
  <c r="AJ146" i="34" s="1"/>
  <c r="AK146" i="34" s="1"/>
  <c r="AL146" i="34" s="1"/>
  <c r="AM146" i="34" s="1"/>
  <c r="AN146" i="34" s="1"/>
  <c r="AO146" i="34" s="1"/>
  <c r="AP146" i="34" s="1"/>
  <c r="AQ146" i="34" s="1"/>
  <c r="AR146" i="34" s="1"/>
  <c r="AS146" i="34" s="1"/>
  <c r="AT146" i="34" s="1"/>
  <c r="AU146" i="34" s="1"/>
  <c r="AV146" i="34" s="1"/>
  <c r="AW146" i="34" s="1"/>
  <c r="AX146" i="34" s="1"/>
  <c r="AY146" i="34" s="1"/>
  <c r="AZ146" i="34" s="1"/>
  <c r="BA146" i="34" s="1"/>
  <c r="BB146" i="34" s="1"/>
  <c r="BC146" i="34" s="1"/>
  <c r="BD146" i="34" s="1"/>
  <c r="BE146" i="34" s="1"/>
  <c r="BF146" i="34" s="1"/>
  <c r="BG146" i="34" s="1"/>
  <c r="BH146" i="34" s="1"/>
  <c r="BI146" i="34" s="1"/>
  <c r="BJ146" i="34" s="1"/>
  <c r="BK146" i="34" s="1"/>
  <c r="BL146" i="34" s="1"/>
  <c r="BM146" i="34" s="1"/>
  <c r="BN146" i="34" s="1"/>
  <c r="BO146" i="34" s="1"/>
  <c r="BP146" i="34" s="1"/>
  <c r="BQ146" i="34" s="1"/>
  <c r="BR146" i="34" s="1"/>
  <c r="BS146" i="34" s="1"/>
  <c r="BT146" i="34" s="1"/>
  <c r="BU146" i="34" s="1"/>
  <c r="BV146" i="34" s="1"/>
  <c r="BW146" i="34" s="1"/>
  <c r="BX146" i="34" s="1"/>
  <c r="BY146" i="34" s="1"/>
  <c r="BZ146" i="34" s="1"/>
  <c r="CA146" i="34" s="1"/>
  <c r="CB146" i="34" s="1"/>
  <c r="CC146" i="34" s="1"/>
  <c r="CD146" i="34" s="1"/>
  <c r="CE146" i="34" s="1"/>
  <c r="CF146" i="34" s="1"/>
  <c r="CG146" i="34" s="1"/>
  <c r="CH146" i="34" s="1"/>
  <c r="CI146" i="34" s="1"/>
  <c r="CJ146" i="34" s="1"/>
  <c r="CK146" i="34" s="1"/>
  <c r="CL146" i="34" s="1"/>
  <c r="CM146" i="34" s="1"/>
  <c r="CN146" i="34" s="1"/>
  <c r="CO146" i="34" s="1"/>
  <c r="CP146" i="34" s="1"/>
  <c r="CQ146" i="34" s="1"/>
  <c r="CR146" i="34" s="1"/>
  <c r="CS146" i="34" s="1"/>
  <c r="CT146" i="34" s="1"/>
  <c r="CU146" i="34" s="1"/>
  <c r="CV146" i="34" s="1"/>
  <c r="CW146" i="34" s="1"/>
  <c r="CX146" i="34" s="1"/>
  <c r="B142" i="34"/>
  <c r="B138" i="34"/>
  <c r="B136" i="34"/>
  <c r="B135" i="34"/>
  <c r="B134" i="34"/>
  <c r="D128" i="34"/>
  <c r="E128" i="34" s="1"/>
  <c r="F128" i="34" s="1"/>
  <c r="G128" i="34" s="1"/>
  <c r="H128" i="34" s="1"/>
  <c r="I128" i="34" s="1"/>
  <c r="J128" i="34" s="1"/>
  <c r="K128" i="34" s="1"/>
  <c r="L128" i="34" s="1"/>
  <c r="M128" i="34" s="1"/>
  <c r="N128" i="34" s="1"/>
  <c r="O128" i="34" s="1"/>
  <c r="P128" i="34" s="1"/>
  <c r="Q128" i="34" s="1"/>
  <c r="R128" i="34" s="1"/>
  <c r="S128" i="34" s="1"/>
  <c r="T128" i="34" s="1"/>
  <c r="U128" i="34" s="1"/>
  <c r="V128" i="34" s="1"/>
  <c r="W128" i="34" s="1"/>
  <c r="X128" i="34" s="1"/>
  <c r="Y128" i="34" s="1"/>
  <c r="Z128" i="34" s="1"/>
  <c r="AA128" i="34" s="1"/>
  <c r="AB128" i="34" s="1"/>
  <c r="AC128" i="34" s="1"/>
  <c r="AD128" i="34" s="1"/>
  <c r="AE128" i="34" s="1"/>
  <c r="AF128" i="34" s="1"/>
  <c r="AG128" i="34" s="1"/>
  <c r="AH128" i="34" s="1"/>
  <c r="AI128" i="34" s="1"/>
  <c r="AJ128" i="34" s="1"/>
  <c r="AK128" i="34" s="1"/>
  <c r="AL128" i="34" s="1"/>
  <c r="AM128" i="34" s="1"/>
  <c r="AN128" i="34" s="1"/>
  <c r="AO128" i="34" s="1"/>
  <c r="AP128" i="34" s="1"/>
  <c r="AQ128" i="34" s="1"/>
  <c r="AR128" i="34" s="1"/>
  <c r="AS128" i="34" s="1"/>
  <c r="AT128" i="34" s="1"/>
  <c r="AU128" i="34" s="1"/>
  <c r="AV128" i="34" s="1"/>
  <c r="AW128" i="34" s="1"/>
  <c r="AX128" i="34" s="1"/>
  <c r="AY128" i="34" s="1"/>
  <c r="AZ128" i="34" s="1"/>
  <c r="BA128" i="34" s="1"/>
  <c r="BB128" i="34" s="1"/>
  <c r="BC128" i="34" s="1"/>
  <c r="BD128" i="34" s="1"/>
  <c r="BE128" i="34" s="1"/>
  <c r="BF128" i="34" s="1"/>
  <c r="BG128" i="34" s="1"/>
  <c r="BH128" i="34" s="1"/>
  <c r="BI128" i="34" s="1"/>
  <c r="BJ128" i="34" s="1"/>
  <c r="BK128" i="34" s="1"/>
  <c r="BL128" i="34" s="1"/>
  <c r="BM128" i="34" s="1"/>
  <c r="BN128" i="34" s="1"/>
  <c r="BO128" i="34" s="1"/>
  <c r="BP128" i="34" s="1"/>
  <c r="BQ128" i="34" s="1"/>
  <c r="BR128" i="34" s="1"/>
  <c r="BS128" i="34" s="1"/>
  <c r="BT128" i="34" s="1"/>
  <c r="BU128" i="34" s="1"/>
  <c r="BV128" i="34" s="1"/>
  <c r="BW128" i="34" s="1"/>
  <c r="BX128" i="34" s="1"/>
  <c r="BY128" i="34" s="1"/>
  <c r="BZ128" i="34" s="1"/>
  <c r="CA128" i="34" s="1"/>
  <c r="CB128" i="34" s="1"/>
  <c r="CC128" i="34" s="1"/>
  <c r="CD128" i="34" s="1"/>
  <c r="CE128" i="34" s="1"/>
  <c r="CF128" i="34" s="1"/>
  <c r="CG128" i="34" s="1"/>
  <c r="CH128" i="34" s="1"/>
  <c r="CI128" i="34" s="1"/>
  <c r="CJ128" i="34" s="1"/>
  <c r="CK128" i="34" s="1"/>
  <c r="CL128" i="34" s="1"/>
  <c r="CM128" i="34" s="1"/>
  <c r="CN128" i="34" s="1"/>
  <c r="CO128" i="34" s="1"/>
  <c r="CP128" i="34" s="1"/>
  <c r="CQ128" i="34" s="1"/>
  <c r="CR128" i="34" s="1"/>
  <c r="CS128" i="34" s="1"/>
  <c r="CT128" i="34" s="1"/>
  <c r="CU128" i="34" s="1"/>
  <c r="CV128" i="34" s="1"/>
  <c r="CW128" i="34" s="1"/>
  <c r="CX128" i="34" s="1"/>
  <c r="C127" i="34"/>
  <c r="D127" i="34" s="1"/>
  <c r="E127" i="34" s="1"/>
  <c r="F127" i="34" s="1"/>
  <c r="G127" i="34" s="1"/>
  <c r="H127" i="34" s="1"/>
  <c r="I127" i="34" s="1"/>
  <c r="J127" i="34" s="1"/>
  <c r="K127" i="34" s="1"/>
  <c r="L127" i="34" s="1"/>
  <c r="M127" i="34" s="1"/>
  <c r="N127" i="34" s="1"/>
  <c r="O127" i="34" s="1"/>
  <c r="P127" i="34" s="1"/>
  <c r="Q127" i="34" s="1"/>
  <c r="R127" i="34" s="1"/>
  <c r="S127" i="34" s="1"/>
  <c r="T127" i="34" s="1"/>
  <c r="U127" i="34" s="1"/>
  <c r="V127" i="34" s="1"/>
  <c r="W127" i="34" s="1"/>
  <c r="X127" i="34" s="1"/>
  <c r="Y127" i="34" s="1"/>
  <c r="Z127" i="34" s="1"/>
  <c r="AA127" i="34" s="1"/>
  <c r="AB127" i="34" s="1"/>
  <c r="AC127" i="34" s="1"/>
  <c r="AD127" i="34" s="1"/>
  <c r="AE127" i="34" s="1"/>
  <c r="AF127" i="34" s="1"/>
  <c r="AG127" i="34" s="1"/>
  <c r="AH127" i="34" s="1"/>
  <c r="AI127" i="34" s="1"/>
  <c r="AJ127" i="34" s="1"/>
  <c r="AK127" i="34" s="1"/>
  <c r="AL127" i="34" s="1"/>
  <c r="AM127" i="34" s="1"/>
  <c r="AN127" i="34" s="1"/>
  <c r="AO127" i="34" s="1"/>
  <c r="AP127" i="34" s="1"/>
  <c r="AQ127" i="34" s="1"/>
  <c r="AR127" i="34" s="1"/>
  <c r="AS127" i="34" s="1"/>
  <c r="AT127" i="34" s="1"/>
  <c r="AU127" i="34" s="1"/>
  <c r="AV127" i="34" s="1"/>
  <c r="AW127" i="34" s="1"/>
  <c r="AX127" i="34" s="1"/>
  <c r="AY127" i="34" s="1"/>
  <c r="AZ127" i="34" s="1"/>
  <c r="BA127" i="34" s="1"/>
  <c r="BB127" i="34" s="1"/>
  <c r="BC127" i="34" s="1"/>
  <c r="BD127" i="34" s="1"/>
  <c r="BE127" i="34" s="1"/>
  <c r="BF127" i="34" s="1"/>
  <c r="BG127" i="34" s="1"/>
  <c r="BH127" i="34" s="1"/>
  <c r="BI127" i="34" s="1"/>
  <c r="BJ127" i="34" s="1"/>
  <c r="BK127" i="34" s="1"/>
  <c r="BL127" i="34" s="1"/>
  <c r="BM127" i="34" s="1"/>
  <c r="BN127" i="34" s="1"/>
  <c r="BO127" i="34" s="1"/>
  <c r="BP127" i="34" s="1"/>
  <c r="BQ127" i="34" s="1"/>
  <c r="BR127" i="34" s="1"/>
  <c r="BS127" i="34" s="1"/>
  <c r="BT127" i="34" s="1"/>
  <c r="BU127" i="34" s="1"/>
  <c r="BV127" i="34" s="1"/>
  <c r="BW127" i="34" s="1"/>
  <c r="BX127" i="34" s="1"/>
  <c r="BY127" i="34" s="1"/>
  <c r="BZ127" i="34" s="1"/>
  <c r="CA127" i="34" s="1"/>
  <c r="CB127" i="34" s="1"/>
  <c r="CC127" i="34" s="1"/>
  <c r="CD127" i="34" s="1"/>
  <c r="CE127" i="34" s="1"/>
  <c r="CF127" i="34" s="1"/>
  <c r="CG127" i="34" s="1"/>
  <c r="CH127" i="34" s="1"/>
  <c r="CI127" i="34" s="1"/>
  <c r="CJ127" i="34" s="1"/>
  <c r="CK127" i="34" s="1"/>
  <c r="CL127" i="34" s="1"/>
  <c r="CM127" i="34" s="1"/>
  <c r="CN127" i="34" s="1"/>
  <c r="CO127" i="34" s="1"/>
  <c r="CP127" i="34" s="1"/>
  <c r="CQ127" i="34" s="1"/>
  <c r="CR127" i="34" s="1"/>
  <c r="CS127" i="34" s="1"/>
  <c r="CT127" i="34" s="1"/>
  <c r="CU127" i="34" s="1"/>
  <c r="CV127" i="34" s="1"/>
  <c r="CW127" i="34" s="1"/>
  <c r="CX127" i="34" s="1"/>
  <c r="B110" i="34"/>
  <c r="B109" i="34"/>
  <c r="B98" i="34"/>
  <c r="B87" i="34"/>
  <c r="D84" i="34"/>
  <c r="C83" i="34"/>
  <c r="D83" i="34" s="1"/>
  <c r="E83" i="34" s="1"/>
  <c r="F83" i="34" s="1"/>
  <c r="G83" i="34" s="1"/>
  <c r="H83" i="34" s="1"/>
  <c r="I83" i="34" s="1"/>
  <c r="J83" i="34" s="1"/>
  <c r="K83" i="34" s="1"/>
  <c r="L83" i="34" s="1"/>
  <c r="M83" i="34" s="1"/>
  <c r="N83" i="34" s="1"/>
  <c r="O83" i="34" s="1"/>
  <c r="P83" i="34" s="1"/>
  <c r="Q83" i="34" s="1"/>
  <c r="R83" i="34" s="1"/>
  <c r="S83" i="34" s="1"/>
  <c r="T83" i="34" s="1"/>
  <c r="U83" i="34" s="1"/>
  <c r="V83" i="34" s="1"/>
  <c r="W83" i="34" s="1"/>
  <c r="X83" i="34" s="1"/>
  <c r="Y83" i="34" s="1"/>
  <c r="Z83" i="34" s="1"/>
  <c r="AA83" i="34" s="1"/>
  <c r="AB83" i="34" s="1"/>
  <c r="AC83" i="34" s="1"/>
  <c r="AD83" i="34" s="1"/>
  <c r="AE83" i="34" s="1"/>
  <c r="AF83" i="34" s="1"/>
  <c r="AG83" i="34" s="1"/>
  <c r="AH83" i="34" s="1"/>
  <c r="AI83" i="34" s="1"/>
  <c r="AJ83" i="34" s="1"/>
  <c r="AK83" i="34" s="1"/>
  <c r="AL83" i="34" s="1"/>
  <c r="AM83" i="34" s="1"/>
  <c r="AN83" i="34" s="1"/>
  <c r="AO83" i="34" s="1"/>
  <c r="AP83" i="34" s="1"/>
  <c r="AQ83" i="34" s="1"/>
  <c r="AR83" i="34" s="1"/>
  <c r="AS83" i="34" s="1"/>
  <c r="AT83" i="34" s="1"/>
  <c r="AU83" i="34" s="1"/>
  <c r="AV83" i="34" s="1"/>
  <c r="AW83" i="34" s="1"/>
  <c r="AX83" i="34" s="1"/>
  <c r="AY83" i="34" s="1"/>
  <c r="AZ83" i="34" s="1"/>
  <c r="BA83" i="34" s="1"/>
  <c r="BB83" i="34" s="1"/>
  <c r="BC83" i="34" s="1"/>
  <c r="BD83" i="34" s="1"/>
  <c r="BE83" i="34" s="1"/>
  <c r="BF83" i="34" s="1"/>
  <c r="BG83" i="34" s="1"/>
  <c r="BH83" i="34" s="1"/>
  <c r="BI83" i="34" s="1"/>
  <c r="BJ83" i="34" s="1"/>
  <c r="BK83" i="34" s="1"/>
  <c r="BL83" i="34" s="1"/>
  <c r="BM83" i="34" s="1"/>
  <c r="BN83" i="34" s="1"/>
  <c r="BO83" i="34" s="1"/>
  <c r="BP83" i="34" s="1"/>
  <c r="BQ83" i="34" s="1"/>
  <c r="BR83" i="34" s="1"/>
  <c r="BS83" i="34" s="1"/>
  <c r="BT83" i="34" s="1"/>
  <c r="BU83" i="34" s="1"/>
  <c r="BV83" i="34" s="1"/>
  <c r="BW83" i="34" s="1"/>
  <c r="BX83" i="34" s="1"/>
  <c r="BY83" i="34" s="1"/>
  <c r="BZ83" i="34" s="1"/>
  <c r="CA83" i="34" s="1"/>
  <c r="CB83" i="34" s="1"/>
  <c r="CC83" i="34" s="1"/>
  <c r="CD83" i="34" s="1"/>
  <c r="CE83" i="34" s="1"/>
  <c r="CF83" i="34" s="1"/>
  <c r="CG83" i="34" s="1"/>
  <c r="CH83" i="34" s="1"/>
  <c r="CI83" i="34" s="1"/>
  <c r="CJ83" i="34" s="1"/>
  <c r="CK83" i="34" s="1"/>
  <c r="CL83" i="34" s="1"/>
  <c r="CM83" i="34" s="1"/>
  <c r="CN83" i="34" s="1"/>
  <c r="CO83" i="34" s="1"/>
  <c r="CP83" i="34" s="1"/>
  <c r="CQ83" i="34" s="1"/>
  <c r="CR83" i="34" s="1"/>
  <c r="CS83" i="34" s="1"/>
  <c r="CT83" i="34" s="1"/>
  <c r="CU83" i="34" s="1"/>
  <c r="CV83" i="34" s="1"/>
  <c r="CW83" i="34" s="1"/>
  <c r="CX83" i="34" s="1"/>
  <c r="B79" i="34"/>
  <c r="D77" i="34"/>
  <c r="C76" i="34"/>
  <c r="D76" i="34" s="1"/>
  <c r="E76" i="34" s="1"/>
  <c r="F76" i="34" s="1"/>
  <c r="G76" i="34" s="1"/>
  <c r="H76" i="34" s="1"/>
  <c r="I76" i="34" s="1"/>
  <c r="J76" i="34" s="1"/>
  <c r="K76" i="34" s="1"/>
  <c r="L76" i="34" s="1"/>
  <c r="M76" i="34" s="1"/>
  <c r="N76" i="34" s="1"/>
  <c r="O76" i="34" s="1"/>
  <c r="P76" i="34" s="1"/>
  <c r="Q76" i="34" s="1"/>
  <c r="R76" i="34" s="1"/>
  <c r="S76" i="34" s="1"/>
  <c r="T76" i="34" s="1"/>
  <c r="U76" i="34" s="1"/>
  <c r="V76" i="34" s="1"/>
  <c r="W76" i="34" s="1"/>
  <c r="X76" i="34" s="1"/>
  <c r="Y76" i="34" s="1"/>
  <c r="Z76" i="34" s="1"/>
  <c r="AA76" i="34" s="1"/>
  <c r="AB76" i="34" s="1"/>
  <c r="AC76" i="34" s="1"/>
  <c r="AD76" i="34" s="1"/>
  <c r="AE76" i="34" s="1"/>
  <c r="AF76" i="34" s="1"/>
  <c r="AG76" i="34" s="1"/>
  <c r="AH76" i="34" s="1"/>
  <c r="AI76" i="34" s="1"/>
  <c r="AJ76" i="34" s="1"/>
  <c r="AK76" i="34" s="1"/>
  <c r="AL76" i="34" s="1"/>
  <c r="AM76" i="34" s="1"/>
  <c r="AN76" i="34" s="1"/>
  <c r="AO76" i="34" s="1"/>
  <c r="AP76" i="34" s="1"/>
  <c r="AQ76" i="34" s="1"/>
  <c r="AR76" i="34" s="1"/>
  <c r="AS76" i="34" s="1"/>
  <c r="AT76" i="34" s="1"/>
  <c r="AU76" i="34" s="1"/>
  <c r="AV76" i="34" s="1"/>
  <c r="AW76" i="34" s="1"/>
  <c r="AX76" i="34" s="1"/>
  <c r="AY76" i="34" s="1"/>
  <c r="AZ76" i="34" s="1"/>
  <c r="BA76" i="34" s="1"/>
  <c r="BB76" i="34" s="1"/>
  <c r="BC76" i="34" s="1"/>
  <c r="BD76" i="34" s="1"/>
  <c r="BE76" i="34" s="1"/>
  <c r="BF76" i="34" s="1"/>
  <c r="BG76" i="34" s="1"/>
  <c r="BH76" i="34" s="1"/>
  <c r="BI76" i="34" s="1"/>
  <c r="BJ76" i="34" s="1"/>
  <c r="BK76" i="34" s="1"/>
  <c r="BL76" i="34" s="1"/>
  <c r="BM76" i="34" s="1"/>
  <c r="BN76" i="34" s="1"/>
  <c r="BO76" i="34" s="1"/>
  <c r="BP76" i="34" s="1"/>
  <c r="BQ76" i="34" s="1"/>
  <c r="BR76" i="34" s="1"/>
  <c r="BS76" i="34" s="1"/>
  <c r="BT76" i="34" s="1"/>
  <c r="BU76" i="34" s="1"/>
  <c r="BV76" i="34" s="1"/>
  <c r="BW76" i="34" s="1"/>
  <c r="BX76" i="34" s="1"/>
  <c r="BY76" i="34" s="1"/>
  <c r="BZ76" i="34" s="1"/>
  <c r="CA76" i="34" s="1"/>
  <c r="CB76" i="34" s="1"/>
  <c r="CC76" i="34" s="1"/>
  <c r="CD76" i="34" s="1"/>
  <c r="CE76" i="34" s="1"/>
  <c r="CF76" i="34" s="1"/>
  <c r="CG76" i="34" s="1"/>
  <c r="CH76" i="34" s="1"/>
  <c r="CI76" i="34" s="1"/>
  <c r="CJ76" i="34" s="1"/>
  <c r="CK76" i="34" s="1"/>
  <c r="CL76" i="34" s="1"/>
  <c r="CM76" i="34" s="1"/>
  <c r="CN76" i="34" s="1"/>
  <c r="CO76" i="34" s="1"/>
  <c r="CP76" i="34" s="1"/>
  <c r="CQ76" i="34" s="1"/>
  <c r="CR76" i="34" s="1"/>
  <c r="CS76" i="34" s="1"/>
  <c r="CT76" i="34" s="1"/>
  <c r="CU76" i="34" s="1"/>
  <c r="CV76" i="34" s="1"/>
  <c r="CW76" i="34" s="1"/>
  <c r="CX76" i="34" s="1"/>
  <c r="C63" i="34"/>
  <c r="C41" i="34"/>
  <c r="D107" i="34" l="1"/>
  <c r="C105" i="34"/>
  <c r="C106" i="34"/>
  <c r="D102" i="34"/>
  <c r="D103" i="34"/>
  <c r="C103" i="34"/>
  <c r="C102" i="34"/>
  <c r="D101" i="34"/>
  <c r="D99" i="34"/>
  <c r="D100" i="34"/>
  <c r="C99" i="34"/>
  <c r="C100" i="34"/>
  <c r="C101" i="34"/>
  <c r="C104" i="34"/>
  <c r="T79" i="34"/>
  <c r="C43" i="34"/>
  <c r="E77" i="34"/>
  <c r="D80" i="34"/>
  <c r="E84" i="34"/>
  <c r="C130" i="34"/>
  <c r="D130" i="34"/>
  <c r="E107" i="34" l="1"/>
  <c r="E103" i="34"/>
  <c r="E102" i="34"/>
  <c r="C132" i="34"/>
  <c r="E101" i="34"/>
  <c r="E100" i="34"/>
  <c r="E99" i="34"/>
  <c r="C110" i="34"/>
  <c r="C114" i="34" s="1"/>
  <c r="C150" i="34" s="1"/>
  <c r="D123" i="34"/>
  <c r="C123" i="34"/>
  <c r="U79" i="34"/>
  <c r="F77" i="34"/>
  <c r="G77" i="34" s="1"/>
  <c r="H77" i="34" s="1"/>
  <c r="I77" i="34" s="1"/>
  <c r="J77" i="34" s="1"/>
  <c r="K77" i="34" s="1"/>
  <c r="L77" i="34" s="1"/>
  <c r="M77" i="34" s="1"/>
  <c r="N77" i="34" s="1"/>
  <c r="O77" i="34" s="1"/>
  <c r="P77" i="34" s="1"/>
  <c r="Q77" i="34" s="1"/>
  <c r="R77" i="34" s="1"/>
  <c r="S77" i="34" s="1"/>
  <c r="T77" i="34" s="1"/>
  <c r="U77" i="34" s="1"/>
  <c r="V77" i="34" s="1"/>
  <c r="W77" i="34" s="1"/>
  <c r="X77" i="34" s="1"/>
  <c r="Y77" i="34" s="1"/>
  <c r="Z77" i="34" s="1"/>
  <c r="AA77" i="34" s="1"/>
  <c r="AB77" i="34" s="1"/>
  <c r="AC77" i="34" s="1"/>
  <c r="AD77" i="34" s="1"/>
  <c r="AE77" i="34" s="1"/>
  <c r="AF77" i="34" s="1"/>
  <c r="AG77" i="34" s="1"/>
  <c r="AH77" i="34" s="1"/>
  <c r="AI77" i="34" s="1"/>
  <c r="AJ77" i="34" s="1"/>
  <c r="AK77" i="34" s="1"/>
  <c r="AL77" i="34" s="1"/>
  <c r="AM77" i="34" s="1"/>
  <c r="AN77" i="34" s="1"/>
  <c r="AO77" i="34" s="1"/>
  <c r="AP77" i="34" s="1"/>
  <c r="AQ77" i="34" s="1"/>
  <c r="AR77" i="34" s="1"/>
  <c r="AS77" i="34" s="1"/>
  <c r="AT77" i="34" s="1"/>
  <c r="AU77" i="34" s="1"/>
  <c r="AV77" i="34" s="1"/>
  <c r="AW77" i="34" s="1"/>
  <c r="AX77" i="34" s="1"/>
  <c r="AY77" i="34" s="1"/>
  <c r="AZ77" i="34" s="1"/>
  <c r="BA77" i="34" s="1"/>
  <c r="BB77" i="34" s="1"/>
  <c r="BC77" i="34" s="1"/>
  <c r="BD77" i="34" s="1"/>
  <c r="BE77" i="34" s="1"/>
  <c r="BF77" i="34" s="1"/>
  <c r="BG77" i="34" s="1"/>
  <c r="BH77" i="34" s="1"/>
  <c r="BI77" i="34" s="1"/>
  <c r="BJ77" i="34" s="1"/>
  <c r="BK77" i="34" s="1"/>
  <c r="BL77" i="34" s="1"/>
  <c r="BM77" i="34" s="1"/>
  <c r="BN77" i="34" s="1"/>
  <c r="BO77" i="34" s="1"/>
  <c r="BP77" i="34" s="1"/>
  <c r="BQ77" i="34" s="1"/>
  <c r="BR77" i="34" s="1"/>
  <c r="BS77" i="34" s="1"/>
  <c r="BT77" i="34" s="1"/>
  <c r="BU77" i="34" s="1"/>
  <c r="BV77" i="34" s="1"/>
  <c r="BW77" i="34" s="1"/>
  <c r="BX77" i="34" s="1"/>
  <c r="BY77" i="34" s="1"/>
  <c r="BZ77" i="34" s="1"/>
  <c r="CA77" i="34" s="1"/>
  <c r="CB77" i="34" s="1"/>
  <c r="CC77" i="34" s="1"/>
  <c r="CD77" i="34" s="1"/>
  <c r="CE77" i="34" s="1"/>
  <c r="CF77" i="34" s="1"/>
  <c r="CG77" i="34" s="1"/>
  <c r="CH77" i="34" s="1"/>
  <c r="CI77" i="34" s="1"/>
  <c r="CJ77" i="34" s="1"/>
  <c r="CK77" i="34" s="1"/>
  <c r="CL77" i="34" s="1"/>
  <c r="CM77" i="34" s="1"/>
  <c r="CN77" i="34" s="1"/>
  <c r="CO77" i="34" s="1"/>
  <c r="CP77" i="34" s="1"/>
  <c r="CQ77" i="34" s="1"/>
  <c r="CR77" i="34" s="1"/>
  <c r="CS77" i="34" s="1"/>
  <c r="CT77" i="34" s="1"/>
  <c r="CU77" i="34" s="1"/>
  <c r="CV77" i="34" s="1"/>
  <c r="CW77" i="34" s="1"/>
  <c r="CX77" i="34" s="1"/>
  <c r="E80" i="34"/>
  <c r="E123" i="34"/>
  <c r="F84" i="34"/>
  <c r="E130" i="34"/>
  <c r="F107" i="34" l="1"/>
  <c r="F102" i="34"/>
  <c r="F103" i="34"/>
  <c r="F100" i="34"/>
  <c r="F101" i="34"/>
  <c r="F99" i="34"/>
  <c r="V79" i="34"/>
  <c r="C135" i="34"/>
  <c r="C136" i="34" s="1"/>
  <c r="C139" i="34"/>
  <c r="F123" i="34"/>
  <c r="F130" i="34"/>
  <c r="G84" i="34"/>
  <c r="C140" i="34" l="1"/>
  <c r="C149" i="34" s="1"/>
  <c r="G107" i="34"/>
  <c r="G102" i="34"/>
  <c r="G103" i="34"/>
  <c r="G100" i="34"/>
  <c r="G101" i="34"/>
  <c r="G99" i="34"/>
  <c r="W79" i="34"/>
  <c r="G123" i="34"/>
  <c r="G130" i="34"/>
  <c r="H84" i="34"/>
  <c r="H107" i="34" l="1"/>
  <c r="H102" i="34"/>
  <c r="H103" i="34"/>
  <c r="H100" i="34"/>
  <c r="H99" i="34"/>
  <c r="H101" i="34"/>
  <c r="X79" i="34"/>
  <c r="H123" i="34"/>
  <c r="I84" i="34"/>
  <c r="H130" i="34"/>
  <c r="I107" i="34" l="1"/>
  <c r="I102" i="34"/>
  <c r="I103" i="34"/>
  <c r="I99" i="34"/>
  <c r="I100" i="34"/>
  <c r="I101" i="34"/>
  <c r="Y79" i="34"/>
  <c r="I123" i="34"/>
  <c r="J84" i="34"/>
  <c r="I130" i="34"/>
  <c r="J107" i="34" l="1"/>
  <c r="J102" i="34"/>
  <c r="J103" i="34"/>
  <c r="J99" i="34"/>
  <c r="J100" i="34"/>
  <c r="J101" i="34"/>
  <c r="Z79" i="34"/>
  <c r="J123" i="34"/>
  <c r="K84" i="34"/>
  <c r="J130" i="34"/>
  <c r="K107" i="34" l="1"/>
  <c r="K102" i="34"/>
  <c r="K103" i="34"/>
  <c r="K101" i="34"/>
  <c r="K99" i="34"/>
  <c r="K100" i="34"/>
  <c r="AA79" i="34"/>
  <c r="K123" i="34"/>
  <c r="K130" i="34"/>
  <c r="L84" i="34"/>
  <c r="L107" i="34" l="1"/>
  <c r="L103" i="34"/>
  <c r="L102" i="34"/>
  <c r="L101" i="34"/>
  <c r="L99" i="34"/>
  <c r="L100" i="34"/>
  <c r="AB79" i="34"/>
  <c r="L123" i="34"/>
  <c r="L130" i="34"/>
  <c r="M84" i="34"/>
  <c r="M107" i="34" l="1"/>
  <c r="M103" i="34"/>
  <c r="M102" i="34"/>
  <c r="M122" i="34"/>
  <c r="M101" i="34"/>
  <c r="M99" i="34"/>
  <c r="M100" i="34"/>
  <c r="AC79" i="34"/>
  <c r="M123" i="34"/>
  <c r="N84" i="34"/>
  <c r="M130" i="34"/>
  <c r="N107" i="34" l="1"/>
  <c r="N103" i="34"/>
  <c r="N102" i="34"/>
  <c r="N122" i="34"/>
  <c r="N100" i="34"/>
  <c r="N101" i="34"/>
  <c r="N99" i="34"/>
  <c r="AD79" i="34"/>
  <c r="N123" i="34"/>
  <c r="N130" i="34"/>
  <c r="O84" i="34"/>
  <c r="O107" i="34" l="1"/>
  <c r="O103" i="34"/>
  <c r="O102" i="34"/>
  <c r="O122" i="34"/>
  <c r="O100" i="34"/>
  <c r="O101" i="34"/>
  <c r="O99" i="34"/>
  <c r="AE79" i="34"/>
  <c r="O123" i="34"/>
  <c r="O130" i="34"/>
  <c r="P84" i="34"/>
  <c r="P107" i="34" l="1"/>
  <c r="P102" i="34"/>
  <c r="P103" i="34"/>
  <c r="P122" i="34"/>
  <c r="P100" i="34"/>
  <c r="P101" i="34"/>
  <c r="P99" i="34"/>
  <c r="AF79" i="34"/>
  <c r="P123" i="34"/>
  <c r="P130" i="34"/>
  <c r="Q84" i="34"/>
  <c r="Q107" i="34" l="1"/>
  <c r="Q102" i="34"/>
  <c r="Q103" i="34"/>
  <c r="Q122" i="34"/>
  <c r="Q99" i="34"/>
  <c r="Q100" i="34"/>
  <c r="Q101" i="34"/>
  <c r="AG79" i="34"/>
  <c r="Q123" i="34"/>
  <c r="R84" i="34"/>
  <c r="Q130" i="34"/>
  <c r="R107" i="34" l="1"/>
  <c r="R102" i="34"/>
  <c r="R103" i="34"/>
  <c r="R122" i="34"/>
  <c r="R99" i="34"/>
  <c r="R100" i="34"/>
  <c r="R101" i="34"/>
  <c r="AH79" i="34"/>
  <c r="R123" i="34"/>
  <c r="R130" i="34"/>
  <c r="S84" i="34"/>
  <c r="S107" i="34" l="1"/>
  <c r="S102" i="34"/>
  <c r="S103" i="34"/>
  <c r="S122" i="34"/>
  <c r="S101" i="34"/>
  <c r="S99" i="34"/>
  <c r="S100" i="34"/>
  <c r="AI79" i="34"/>
  <c r="S123" i="34"/>
  <c r="T84" i="34"/>
  <c r="S130" i="34"/>
  <c r="T107" i="34" l="1"/>
  <c r="T103" i="34"/>
  <c r="T102" i="34"/>
  <c r="T122" i="34"/>
  <c r="T101" i="34"/>
  <c r="T99" i="34"/>
  <c r="T100" i="34"/>
  <c r="AJ79" i="34"/>
  <c r="T123" i="34"/>
  <c r="U84" i="34"/>
  <c r="T130" i="34"/>
  <c r="U107" i="34" l="1"/>
  <c r="U103" i="34"/>
  <c r="U102" i="34"/>
  <c r="U122" i="34"/>
  <c r="U101" i="34"/>
  <c r="U99" i="34"/>
  <c r="U100" i="34"/>
  <c r="AK79" i="34"/>
  <c r="U123" i="34"/>
  <c r="V84" i="34"/>
  <c r="U130" i="34"/>
  <c r="V107" i="34" l="1"/>
  <c r="V103" i="34"/>
  <c r="V102" i="34"/>
  <c r="V122" i="34"/>
  <c r="V100" i="34"/>
  <c r="V101" i="34"/>
  <c r="V99" i="34"/>
  <c r="AL79" i="34"/>
  <c r="V123" i="34"/>
  <c r="W84" i="34"/>
  <c r="V130" i="34"/>
  <c r="W107" i="34" l="1"/>
  <c r="W103" i="34"/>
  <c r="W102" i="34"/>
  <c r="W100" i="34"/>
  <c r="W101" i="34"/>
  <c r="W99" i="34"/>
  <c r="AM79" i="34"/>
  <c r="X84" i="34"/>
  <c r="W122" i="34"/>
  <c r="W130" i="34"/>
  <c r="W123" i="34"/>
  <c r="X102" i="34" l="1"/>
  <c r="X103" i="34"/>
  <c r="X122" i="34"/>
  <c r="X100" i="34"/>
  <c r="X99" i="34"/>
  <c r="X101" i="34"/>
  <c r="AN79" i="34"/>
  <c r="Y84" i="34"/>
  <c r="X123" i="34"/>
  <c r="X130" i="34"/>
  <c r="Y102" i="34" l="1"/>
  <c r="Y103" i="34"/>
  <c r="Y122" i="34"/>
  <c r="Y99" i="34"/>
  <c r="Y100" i="34"/>
  <c r="Y101" i="34"/>
  <c r="AO79" i="34"/>
  <c r="Z84" i="34"/>
  <c r="Y130" i="34"/>
  <c r="Y123" i="34"/>
  <c r="Z107" i="34" l="1"/>
  <c r="Z102" i="34"/>
  <c r="Z103" i="34"/>
  <c r="Z122" i="34"/>
  <c r="Z99" i="34"/>
  <c r="Z101" i="34"/>
  <c r="Z100" i="34"/>
  <c r="AP79" i="34"/>
  <c r="Z123" i="34"/>
  <c r="AA84" i="34"/>
  <c r="Z130" i="34"/>
  <c r="AA107" i="34" l="1"/>
  <c r="AA103" i="34"/>
  <c r="AA102" i="34"/>
  <c r="AA122" i="34"/>
  <c r="AA101" i="34"/>
  <c r="AA99" i="34"/>
  <c r="AA100" i="34"/>
  <c r="AB84" i="34"/>
  <c r="AA130" i="34"/>
  <c r="AA123" i="34"/>
  <c r="AQ79" i="34"/>
  <c r="AB102" i="34" l="1"/>
  <c r="AB103" i="34"/>
  <c r="AB122" i="34"/>
  <c r="AB101" i="34"/>
  <c r="AB99" i="34"/>
  <c r="AB100" i="34"/>
  <c r="AB130" i="34"/>
  <c r="AC84" i="34"/>
  <c r="AB123" i="34"/>
  <c r="AR79" i="34"/>
  <c r="AC107" i="34" l="1"/>
  <c r="AC103" i="34"/>
  <c r="AC102" i="34"/>
  <c r="AC122" i="34"/>
  <c r="AC101" i="34"/>
  <c r="AC100" i="34"/>
  <c r="AC99" i="34"/>
  <c r="AC130" i="34"/>
  <c r="AC123" i="34"/>
  <c r="AD84" i="34"/>
  <c r="AS79" i="34"/>
  <c r="AD123" i="34" l="1"/>
  <c r="AD103" i="34"/>
  <c r="AD102" i="34"/>
  <c r="AD130" i="34"/>
  <c r="AD122" i="34"/>
  <c r="AD100" i="34"/>
  <c r="AD101" i="34"/>
  <c r="AD99" i="34"/>
  <c r="AE84" i="34"/>
  <c r="AT79" i="34"/>
  <c r="AE107" i="34" l="1"/>
  <c r="AE102" i="34"/>
  <c r="AE103" i="34"/>
  <c r="AE122" i="34"/>
  <c r="AE100" i="34"/>
  <c r="AE101" i="34"/>
  <c r="AE99" i="34"/>
  <c r="AF84" i="34"/>
  <c r="AE130" i="34"/>
  <c r="AE124" i="34"/>
  <c r="AE151" i="34" s="1"/>
  <c r="AE123" i="34"/>
  <c r="AU79" i="34"/>
  <c r="AF107" i="34" l="1"/>
  <c r="AF102" i="34"/>
  <c r="AF103" i="34"/>
  <c r="AF122" i="34"/>
  <c r="AF100" i="34"/>
  <c r="AF99" i="34"/>
  <c r="AF101" i="34"/>
  <c r="AG84" i="34"/>
  <c r="AF123" i="34"/>
  <c r="AF130" i="34"/>
  <c r="AF124" i="34"/>
  <c r="AF151" i="34" s="1"/>
  <c r="AV79" i="34"/>
  <c r="AG102" i="34" l="1"/>
  <c r="AG103" i="34"/>
  <c r="AG122" i="34"/>
  <c r="AG99" i="34"/>
  <c r="AG100" i="34"/>
  <c r="AG101" i="34"/>
  <c r="AG130" i="34"/>
  <c r="AG124" i="34"/>
  <c r="AG151" i="34" s="1"/>
  <c r="AG123" i="34"/>
  <c r="AH84" i="34"/>
  <c r="AW79" i="34"/>
  <c r="AH107" i="34" l="1"/>
  <c r="AH124" i="34"/>
  <c r="AH151" i="34" s="1"/>
  <c r="AH102" i="34"/>
  <c r="AH103" i="34"/>
  <c r="AH123" i="34"/>
  <c r="AH122" i="34"/>
  <c r="AH99" i="34"/>
  <c r="AH100" i="34"/>
  <c r="AH101" i="34"/>
  <c r="AI84" i="34"/>
  <c r="AH130" i="34"/>
  <c r="AX79" i="34"/>
  <c r="AI123" i="34" l="1"/>
  <c r="AI102" i="34"/>
  <c r="AI103" i="34"/>
  <c r="AI130" i="34"/>
  <c r="AJ84" i="34"/>
  <c r="AI124" i="34"/>
  <c r="AI151" i="34" s="1"/>
  <c r="AI122" i="34"/>
  <c r="AI101" i="34"/>
  <c r="AI99" i="34"/>
  <c r="AI100" i="34"/>
  <c r="AY79" i="34"/>
  <c r="AJ107" i="34" l="1"/>
  <c r="AJ101" i="34"/>
  <c r="AJ102" i="34"/>
  <c r="AJ103" i="34"/>
  <c r="AK84" i="34"/>
  <c r="AL84" i="34" s="1"/>
  <c r="AJ124" i="34"/>
  <c r="AJ151" i="34" s="1"/>
  <c r="AJ100" i="34"/>
  <c r="AJ123" i="34"/>
  <c r="AJ99" i="34"/>
  <c r="AJ122" i="34"/>
  <c r="AJ130" i="34"/>
  <c r="AZ79" i="34"/>
  <c r="AK101" i="34" l="1"/>
  <c r="AK107" i="34"/>
  <c r="AL107" i="34"/>
  <c r="AK100" i="34"/>
  <c r="AK99" i="34"/>
  <c r="AK103" i="34"/>
  <c r="AK102" i="34"/>
  <c r="AL103" i="34"/>
  <c r="AL102" i="34"/>
  <c r="AK122" i="34"/>
  <c r="AK130" i="34"/>
  <c r="AK124" i="34"/>
  <c r="AK151" i="34" s="1"/>
  <c r="AK123" i="34"/>
  <c r="AL122" i="34"/>
  <c r="AL100" i="34"/>
  <c r="AL101" i="34"/>
  <c r="AL99" i="34"/>
  <c r="BA79" i="34"/>
  <c r="AL123" i="34"/>
  <c r="AL124" i="34"/>
  <c r="AL151" i="34" s="1"/>
  <c r="AL130" i="34"/>
  <c r="AM84" i="34"/>
  <c r="AM107" i="34" l="1"/>
  <c r="AM102" i="34"/>
  <c r="AM103" i="34"/>
  <c r="AM122" i="34"/>
  <c r="AM100" i="34"/>
  <c r="AM101" i="34"/>
  <c r="AM99" i="34"/>
  <c r="BB79" i="34"/>
  <c r="AM123" i="34"/>
  <c r="AM124" i="34"/>
  <c r="AM151" i="34" s="1"/>
  <c r="AM130" i="34"/>
  <c r="AN84" i="34"/>
  <c r="AN107" i="34" l="1"/>
  <c r="AN102" i="34"/>
  <c r="AN103" i="34"/>
  <c r="AN122" i="34"/>
  <c r="AN100" i="34"/>
  <c r="AN99" i="34"/>
  <c r="AN101" i="34"/>
  <c r="BC79" i="34"/>
  <c r="AN123" i="34"/>
  <c r="AN124" i="34"/>
  <c r="AN151" i="34" s="1"/>
  <c r="AN130" i="34"/>
  <c r="AO84" i="34"/>
  <c r="AO107" i="34" l="1"/>
  <c r="AO102" i="34"/>
  <c r="AO103" i="34"/>
  <c r="AO122" i="34"/>
  <c r="AO99" i="34"/>
  <c r="AO100" i="34"/>
  <c r="AO101" i="34"/>
  <c r="BD79" i="34"/>
  <c r="AO123" i="34"/>
  <c r="AO124" i="34"/>
  <c r="AO151" i="34" s="1"/>
  <c r="AO130" i="34"/>
  <c r="AP84" i="34"/>
  <c r="AP107" i="34" l="1"/>
  <c r="AP102" i="34"/>
  <c r="AP103" i="34"/>
  <c r="AP122" i="34"/>
  <c r="AP99" i="34"/>
  <c r="AP101" i="34"/>
  <c r="AP100" i="34"/>
  <c r="BE79" i="34"/>
  <c r="AP123" i="34"/>
  <c r="AP124" i="34"/>
  <c r="AP151" i="34" s="1"/>
  <c r="AP130" i="34"/>
  <c r="AQ84" i="34"/>
  <c r="AQ107" i="34" l="1"/>
  <c r="AQ103" i="34"/>
  <c r="AQ102" i="34"/>
  <c r="AQ122" i="34"/>
  <c r="AQ101" i="34"/>
  <c r="AQ99" i="34"/>
  <c r="AQ100" i="34"/>
  <c r="BF79" i="34"/>
  <c r="AQ123" i="34"/>
  <c r="AQ124" i="34"/>
  <c r="AQ151" i="34" s="1"/>
  <c r="AQ130" i="34"/>
  <c r="AR84" i="34"/>
  <c r="AR107" i="34" l="1"/>
  <c r="AR103" i="34"/>
  <c r="AR102" i="34"/>
  <c r="AR122" i="34"/>
  <c r="AR101" i="34"/>
  <c r="AR99" i="34"/>
  <c r="AR100" i="34"/>
  <c r="BG79" i="34"/>
  <c r="AR123" i="34"/>
  <c r="AR124" i="34"/>
  <c r="AR151" i="34" s="1"/>
  <c r="AR130" i="34"/>
  <c r="AS84" i="34"/>
  <c r="AS107" i="34" l="1"/>
  <c r="AS103" i="34"/>
  <c r="AS102" i="34"/>
  <c r="AS122" i="34"/>
  <c r="AS101" i="34"/>
  <c r="AS99" i="34"/>
  <c r="AS100" i="34"/>
  <c r="BH79" i="34"/>
  <c r="AS123" i="34"/>
  <c r="AS124" i="34"/>
  <c r="AS151" i="34" s="1"/>
  <c r="AS130" i="34"/>
  <c r="AT84" i="34"/>
  <c r="AT107" i="34" l="1"/>
  <c r="AT103" i="34"/>
  <c r="AT102" i="34"/>
  <c r="AT122" i="34"/>
  <c r="AT100" i="34"/>
  <c r="AT101" i="34"/>
  <c r="AT99" i="34"/>
  <c r="BI79" i="34"/>
  <c r="AT123" i="34"/>
  <c r="AT124" i="34"/>
  <c r="AT151" i="34" s="1"/>
  <c r="AT130" i="34"/>
  <c r="AU84" i="34"/>
  <c r="AU107" i="34" l="1"/>
  <c r="AU103" i="34"/>
  <c r="AU102" i="34"/>
  <c r="AU122" i="34"/>
  <c r="AU100" i="34"/>
  <c r="AU101" i="34"/>
  <c r="AU99" i="34"/>
  <c r="BJ79" i="34"/>
  <c r="AU123" i="34"/>
  <c r="AU124" i="34"/>
  <c r="AU151" i="34" s="1"/>
  <c r="AU130" i="34"/>
  <c r="AV84" i="34"/>
  <c r="AV107" i="34" l="1"/>
  <c r="AV102" i="34"/>
  <c r="AV103" i="34"/>
  <c r="AV122" i="34"/>
  <c r="AV100" i="34"/>
  <c r="AV101" i="34"/>
  <c r="AV99" i="34"/>
  <c r="BK79" i="34"/>
  <c r="AV123" i="34"/>
  <c r="AV124" i="34"/>
  <c r="AV151" i="34" s="1"/>
  <c r="AV130" i="34"/>
  <c r="AW84" i="34"/>
  <c r="AW107" i="34" l="1"/>
  <c r="AW102" i="34"/>
  <c r="AW103" i="34"/>
  <c r="AW122" i="34"/>
  <c r="AW99" i="34"/>
  <c r="AW100" i="34"/>
  <c r="AW101" i="34"/>
  <c r="BL79" i="34"/>
  <c r="AW123" i="34"/>
  <c r="AW124" i="34"/>
  <c r="AW151" i="34" s="1"/>
  <c r="AW130" i="34"/>
  <c r="AX84" i="34"/>
  <c r="AX107" i="34" l="1"/>
  <c r="AX102" i="34"/>
  <c r="AX103" i="34"/>
  <c r="AX122" i="34"/>
  <c r="AX99" i="34"/>
  <c r="AX100" i="34"/>
  <c r="AX101" i="34"/>
  <c r="BM79" i="34"/>
  <c r="AX123" i="34"/>
  <c r="AX124" i="34"/>
  <c r="AX151" i="34" s="1"/>
  <c r="AX130" i="34"/>
  <c r="AY84" i="34"/>
  <c r="AY107" i="34" l="1"/>
  <c r="AY102" i="34"/>
  <c r="AY103" i="34"/>
  <c r="AY122" i="34"/>
  <c r="AY101" i="34"/>
  <c r="AY99" i="34"/>
  <c r="AY100" i="34"/>
  <c r="BN79" i="34"/>
  <c r="AY123" i="34"/>
  <c r="AY124" i="34"/>
  <c r="AY151" i="34" s="1"/>
  <c r="AY130" i="34"/>
  <c r="AZ84" i="34"/>
  <c r="AZ107" i="34" l="1"/>
  <c r="AZ103" i="34"/>
  <c r="AZ102" i="34"/>
  <c r="AZ122" i="34"/>
  <c r="AZ101" i="34"/>
  <c r="AZ99" i="34"/>
  <c r="AZ100" i="34"/>
  <c r="BO79" i="34"/>
  <c r="AZ123" i="34"/>
  <c r="AZ124" i="34"/>
  <c r="AZ151" i="34" s="1"/>
  <c r="AZ130" i="34"/>
  <c r="BA84" i="34"/>
  <c r="BA107" i="34" l="1"/>
  <c r="BA103" i="34"/>
  <c r="BA102" i="34"/>
  <c r="BA122" i="34"/>
  <c r="BA101" i="34"/>
  <c r="BA99" i="34"/>
  <c r="BA100" i="34"/>
  <c r="BP79" i="34"/>
  <c r="BA123" i="34"/>
  <c r="BA124" i="34"/>
  <c r="BA151" i="34" s="1"/>
  <c r="BA130" i="34"/>
  <c r="BB84" i="34"/>
  <c r="BB107" i="34" l="1"/>
  <c r="BB103" i="34"/>
  <c r="BB102" i="34"/>
  <c r="BB122" i="34"/>
  <c r="BB100" i="34"/>
  <c r="BB101" i="34"/>
  <c r="BB99" i="34"/>
  <c r="BQ79" i="34"/>
  <c r="BB123" i="34"/>
  <c r="BB124" i="34"/>
  <c r="BB151" i="34" s="1"/>
  <c r="BB130" i="34"/>
  <c r="BC84" i="34"/>
  <c r="BC102" i="34" l="1"/>
  <c r="BC103" i="34"/>
  <c r="BC122" i="34"/>
  <c r="BC100" i="34"/>
  <c r="BC101" i="34"/>
  <c r="BC99" i="34"/>
  <c r="BR79" i="34"/>
  <c r="BC123" i="34"/>
  <c r="BC124" i="34"/>
  <c r="BC151" i="34" s="1"/>
  <c r="BC130" i="34"/>
  <c r="BD84" i="34"/>
  <c r="BD106" i="34" l="1"/>
  <c r="BD107" i="34"/>
  <c r="BD102" i="34"/>
  <c r="BD103" i="34"/>
  <c r="BD122" i="34"/>
  <c r="BD104" i="34"/>
  <c r="BD100" i="34"/>
  <c r="BD105" i="34"/>
  <c r="BD99" i="34"/>
  <c r="BD101" i="34"/>
  <c r="BS79" i="34"/>
  <c r="BD123" i="34"/>
  <c r="BD124" i="34"/>
  <c r="BD151" i="34" s="1"/>
  <c r="BD130" i="34"/>
  <c r="BE84" i="34"/>
  <c r="BE107" i="34" l="1"/>
  <c r="BE106" i="34"/>
  <c r="BE102" i="34"/>
  <c r="BE103" i="34"/>
  <c r="BE122" i="34"/>
  <c r="BE99" i="34"/>
  <c r="BE104" i="34"/>
  <c r="BE100" i="34"/>
  <c r="BE105" i="34"/>
  <c r="BE101" i="34"/>
  <c r="BT79" i="34"/>
  <c r="BD132" i="34"/>
  <c r="BE123" i="34"/>
  <c r="BE124" i="34"/>
  <c r="BE151" i="34" s="1"/>
  <c r="BE130" i="34"/>
  <c r="BF84" i="34"/>
  <c r="BD135" i="34" l="1"/>
  <c r="BD136" i="34" s="1"/>
  <c r="BF107" i="34"/>
  <c r="BF106" i="34"/>
  <c r="BF102" i="34"/>
  <c r="BF103" i="34"/>
  <c r="BF122" i="34"/>
  <c r="BF99" i="34"/>
  <c r="BF104" i="34"/>
  <c r="BF100" i="34"/>
  <c r="BF105" i="34"/>
  <c r="BF101" i="34"/>
  <c r="BU79" i="34"/>
  <c r="BD139" i="34"/>
  <c r="BD140" i="34" s="1"/>
  <c r="BE132" i="34"/>
  <c r="BF123" i="34"/>
  <c r="BF124" i="34"/>
  <c r="BF151" i="34" s="1"/>
  <c r="BF130" i="34"/>
  <c r="BG84" i="34"/>
  <c r="BE139" i="34" l="1"/>
  <c r="BE140" i="34" s="1"/>
  <c r="BE149" i="34" s="1"/>
  <c r="BG107" i="34"/>
  <c r="BG106" i="34"/>
  <c r="BG102" i="34"/>
  <c r="BG103" i="34"/>
  <c r="BG122" i="34"/>
  <c r="BG101" i="34"/>
  <c r="BG99" i="34"/>
  <c r="BG104" i="34"/>
  <c r="BG100" i="34"/>
  <c r="BG105" i="34"/>
  <c r="BV79" i="34"/>
  <c r="BD149" i="34"/>
  <c r="BF132" i="34"/>
  <c r="BE135" i="34"/>
  <c r="BE136" i="34" s="1"/>
  <c r="BG123" i="34"/>
  <c r="BG124" i="34"/>
  <c r="BG151" i="34" s="1"/>
  <c r="BG130" i="34"/>
  <c r="BH84" i="34"/>
  <c r="BF139" i="34" l="1"/>
  <c r="BF140" i="34" s="1"/>
  <c r="BF149" i="34" s="1"/>
  <c r="BH107" i="34"/>
  <c r="BH106" i="34"/>
  <c r="BH102" i="34"/>
  <c r="BH103" i="34"/>
  <c r="BH122" i="34"/>
  <c r="BH101" i="34"/>
  <c r="BH99" i="34"/>
  <c r="BH104" i="34"/>
  <c r="BH100" i="34"/>
  <c r="BH105" i="34"/>
  <c r="BW79" i="34"/>
  <c r="BF135" i="34"/>
  <c r="BF136" i="34" s="1"/>
  <c r="BG132" i="34"/>
  <c r="BH123" i="34"/>
  <c r="BH124" i="34"/>
  <c r="BH151" i="34" s="1"/>
  <c r="BH130" i="34"/>
  <c r="BI84" i="34"/>
  <c r="BG139" i="34" l="1"/>
  <c r="BG140" i="34" s="1"/>
  <c r="BG149" i="34" s="1"/>
  <c r="BI107" i="34"/>
  <c r="BI106" i="34"/>
  <c r="BI103" i="34"/>
  <c r="BI102" i="34"/>
  <c r="BI122" i="34"/>
  <c r="BI105" i="34"/>
  <c r="BI101" i="34"/>
  <c r="BI100" i="34"/>
  <c r="BI99" i="34"/>
  <c r="BI104" i="34"/>
  <c r="BX79" i="34"/>
  <c r="BG135" i="34"/>
  <c r="BG136" i="34" s="1"/>
  <c r="BH132" i="34"/>
  <c r="BI123" i="34"/>
  <c r="BI124" i="34"/>
  <c r="BI151" i="34" s="1"/>
  <c r="BI130" i="34"/>
  <c r="BJ84" i="34"/>
  <c r="BH139" i="34" l="1"/>
  <c r="BH140" i="34" s="1"/>
  <c r="BH149" i="34" s="1"/>
  <c r="BJ106" i="34"/>
  <c r="BJ107" i="34"/>
  <c r="BJ103" i="34"/>
  <c r="BJ102" i="34"/>
  <c r="BJ122" i="34"/>
  <c r="BJ100" i="34"/>
  <c r="BJ105" i="34"/>
  <c r="BJ101" i="34"/>
  <c r="BJ99" i="34"/>
  <c r="BJ104" i="34"/>
  <c r="BY79" i="34"/>
  <c r="BH135" i="34"/>
  <c r="BH136" i="34" s="1"/>
  <c r="BI132" i="34"/>
  <c r="BJ123" i="34"/>
  <c r="BJ124" i="34"/>
  <c r="BJ151" i="34" s="1"/>
  <c r="BJ130" i="34"/>
  <c r="BK84" i="34"/>
  <c r="BI135" i="34" l="1"/>
  <c r="BI136" i="34" s="1"/>
  <c r="BK106" i="34"/>
  <c r="BK107" i="34"/>
  <c r="BK103" i="34"/>
  <c r="BK102" i="34"/>
  <c r="BK122" i="34"/>
  <c r="BK100" i="34"/>
  <c r="BK105" i="34"/>
  <c r="BK101" i="34"/>
  <c r="BK99" i="34"/>
  <c r="BK104" i="34"/>
  <c r="BZ79" i="34"/>
  <c r="BI139" i="34"/>
  <c r="BI140" i="34" s="1"/>
  <c r="BJ132" i="34"/>
  <c r="BK123" i="34"/>
  <c r="BK124" i="34"/>
  <c r="BK151" i="34" s="1"/>
  <c r="BK130" i="34"/>
  <c r="BL84" i="34"/>
  <c r="BJ135" i="34" l="1"/>
  <c r="BJ136" i="34" s="1"/>
  <c r="BL106" i="34"/>
  <c r="BL107" i="34"/>
  <c r="BL102" i="34"/>
  <c r="BL103" i="34"/>
  <c r="BL122" i="34"/>
  <c r="BL104" i="34"/>
  <c r="BL100" i="34"/>
  <c r="BL105" i="34"/>
  <c r="BL99" i="34"/>
  <c r="BL101" i="34"/>
  <c r="CA79" i="34"/>
  <c r="BI149" i="34"/>
  <c r="BJ139" i="34"/>
  <c r="BJ140" i="34" s="1"/>
  <c r="BK132" i="34"/>
  <c r="BL123" i="34"/>
  <c r="BL124" i="34"/>
  <c r="BL151" i="34" s="1"/>
  <c r="BL130" i="34"/>
  <c r="BM84" i="34"/>
  <c r="BK110" i="34"/>
  <c r="BK135" i="34" l="1"/>
  <c r="BK136" i="34" s="1"/>
  <c r="BM107" i="34"/>
  <c r="BM106" i="34"/>
  <c r="BM102" i="34"/>
  <c r="BM103" i="34"/>
  <c r="BM122" i="34"/>
  <c r="BM99" i="34"/>
  <c r="BM104" i="34"/>
  <c r="BM100" i="34"/>
  <c r="BM105" i="34"/>
  <c r="BM101" i="34"/>
  <c r="BJ149" i="34"/>
  <c r="CB79" i="34"/>
  <c r="BK139" i="34"/>
  <c r="BK140" i="34" s="1"/>
  <c r="BL132" i="34"/>
  <c r="BK114" i="34"/>
  <c r="BK150" i="34" s="1"/>
  <c r="BM123" i="34"/>
  <c r="BM124" i="34"/>
  <c r="BM151" i="34" s="1"/>
  <c r="BL110" i="34"/>
  <c r="BM130" i="34"/>
  <c r="BN84" i="34"/>
  <c r="BL139" i="34" l="1"/>
  <c r="BL140" i="34" s="1"/>
  <c r="BN107" i="34"/>
  <c r="BN106" i="34"/>
  <c r="BN102" i="34"/>
  <c r="BN103" i="34"/>
  <c r="BN122" i="34"/>
  <c r="BN99" i="34"/>
  <c r="BN104" i="34"/>
  <c r="BN100" i="34"/>
  <c r="BN105" i="34"/>
  <c r="BN101" i="34"/>
  <c r="CC79" i="34"/>
  <c r="BL135" i="34"/>
  <c r="BL136" i="34" s="1"/>
  <c r="BK149" i="34"/>
  <c r="BM132" i="34"/>
  <c r="BL114" i="34"/>
  <c r="BL150" i="34" s="1"/>
  <c r="BN123" i="34"/>
  <c r="BN124" i="34"/>
  <c r="BN151" i="34" s="1"/>
  <c r="BN130" i="34"/>
  <c r="BO84" i="34"/>
  <c r="BM110" i="34"/>
  <c r="BM135" i="34" l="1"/>
  <c r="BM136" i="34" s="1"/>
  <c r="BL149" i="34"/>
  <c r="BO107" i="34"/>
  <c r="BO106" i="34"/>
  <c r="BO102" i="34"/>
  <c r="BO103" i="34"/>
  <c r="BO122" i="34"/>
  <c r="BO101" i="34"/>
  <c r="BO99" i="34"/>
  <c r="BO104" i="34"/>
  <c r="BO100" i="34"/>
  <c r="BO105" i="34"/>
  <c r="CD79" i="34"/>
  <c r="BM139" i="34"/>
  <c r="BM140" i="34" s="1"/>
  <c r="BN132" i="34"/>
  <c r="BM114" i="34"/>
  <c r="BM150" i="34" s="1"/>
  <c r="BO123" i="34"/>
  <c r="BO124" i="34"/>
  <c r="BO151" i="34" s="1"/>
  <c r="BO130" i="34"/>
  <c r="BP84" i="34"/>
  <c r="BN110" i="34"/>
  <c r="BN135" i="34" l="1"/>
  <c r="BN136" i="34" s="1"/>
  <c r="BP107" i="34"/>
  <c r="BP106" i="34"/>
  <c r="BP102" i="34"/>
  <c r="BP103" i="34"/>
  <c r="BP122" i="34"/>
  <c r="BP101" i="34"/>
  <c r="BP99" i="34"/>
  <c r="BP104" i="34"/>
  <c r="BP100" i="34"/>
  <c r="BP105" i="34"/>
  <c r="CE79" i="34"/>
  <c r="BN139" i="34"/>
  <c r="BN140" i="34" s="1"/>
  <c r="BM149" i="34"/>
  <c r="BO132" i="34"/>
  <c r="BN114" i="34"/>
  <c r="BN150" i="34" s="1"/>
  <c r="BP123" i="34"/>
  <c r="BP124" i="34"/>
  <c r="BP151" i="34" s="1"/>
  <c r="BO110" i="34"/>
  <c r="BP130" i="34"/>
  <c r="BQ84" i="34"/>
  <c r="BO135" i="34" l="1"/>
  <c r="BO136" i="34" s="1"/>
  <c r="BQ106" i="34"/>
  <c r="BQ107" i="34"/>
  <c r="BQ103" i="34"/>
  <c r="BQ102" i="34"/>
  <c r="BQ122" i="34"/>
  <c r="BQ105" i="34"/>
  <c r="BQ101" i="34"/>
  <c r="BQ99" i="34"/>
  <c r="BQ100" i="34"/>
  <c r="BQ104" i="34"/>
  <c r="CF79" i="34"/>
  <c r="BN149" i="34"/>
  <c r="BO139" i="34"/>
  <c r="BO140" i="34" s="1"/>
  <c r="BP132" i="34"/>
  <c r="BO114" i="34"/>
  <c r="BO150" i="34" s="1"/>
  <c r="BQ123" i="34"/>
  <c r="BQ124" i="34"/>
  <c r="BQ151" i="34" s="1"/>
  <c r="BQ130" i="34"/>
  <c r="BR84" i="34"/>
  <c r="BP110" i="34"/>
  <c r="BP139" i="34" l="1"/>
  <c r="BP140" i="34" s="1"/>
  <c r="BP149" i="34" s="1"/>
  <c r="BR106" i="34"/>
  <c r="BR107" i="34"/>
  <c r="BR103" i="34"/>
  <c r="BR102" i="34"/>
  <c r="BR122" i="34"/>
  <c r="BR100" i="34"/>
  <c r="BR105" i="34"/>
  <c r="BR101" i="34"/>
  <c r="BR99" i="34"/>
  <c r="BR104" i="34"/>
  <c r="BO149" i="34"/>
  <c r="CG79" i="34"/>
  <c r="BP135" i="34"/>
  <c r="BP136" i="34" s="1"/>
  <c r="BQ132" i="34"/>
  <c r="BP114" i="34"/>
  <c r="BP150" i="34" s="1"/>
  <c r="BR123" i="34"/>
  <c r="BR124" i="34"/>
  <c r="BR151" i="34" s="1"/>
  <c r="BQ110" i="34"/>
  <c r="BR130" i="34"/>
  <c r="BS84" i="34"/>
  <c r="BQ139" i="34" l="1"/>
  <c r="BQ140" i="34" s="1"/>
  <c r="BS106" i="34"/>
  <c r="BS107" i="34"/>
  <c r="BS102" i="34"/>
  <c r="BS103" i="34"/>
  <c r="BS122" i="34"/>
  <c r="BS100" i="34"/>
  <c r="BS105" i="34"/>
  <c r="BS101" i="34"/>
  <c r="BS99" i="34"/>
  <c r="BS104" i="34"/>
  <c r="CH79" i="34"/>
  <c r="BQ135" i="34"/>
  <c r="BQ136" i="34" s="1"/>
  <c r="BR132" i="34"/>
  <c r="BQ114" i="34"/>
  <c r="BQ150" i="34" s="1"/>
  <c r="BS123" i="34"/>
  <c r="BS124" i="34"/>
  <c r="BS151" i="34" s="1"/>
  <c r="BR110" i="34"/>
  <c r="BS130" i="34"/>
  <c r="BT84" i="34"/>
  <c r="BR139" i="34" l="1"/>
  <c r="BR140" i="34" s="1"/>
  <c r="BR149" i="34" s="1"/>
  <c r="BQ149" i="34"/>
  <c r="BT106" i="34"/>
  <c r="BT107" i="34"/>
  <c r="BT102" i="34"/>
  <c r="BT103" i="34"/>
  <c r="BT122" i="34"/>
  <c r="BT104" i="34"/>
  <c r="BT100" i="34"/>
  <c r="BT105" i="34"/>
  <c r="BT101" i="34"/>
  <c r="BT99" i="34"/>
  <c r="CI79" i="34"/>
  <c r="BR135" i="34"/>
  <c r="BR136" i="34" s="1"/>
  <c r="BS132" i="34"/>
  <c r="BR114" i="34"/>
  <c r="BR150" i="34" s="1"/>
  <c r="BT123" i="34"/>
  <c r="BT124" i="34"/>
  <c r="BT151" i="34" s="1"/>
  <c r="BT130" i="34"/>
  <c r="BU84" i="34"/>
  <c r="BS110" i="34"/>
  <c r="BU107" i="34" l="1"/>
  <c r="BU106" i="34"/>
  <c r="BU102" i="34"/>
  <c r="BU103" i="34"/>
  <c r="BU122" i="34"/>
  <c r="BU99" i="34"/>
  <c r="BU104" i="34"/>
  <c r="BU100" i="34"/>
  <c r="BU105" i="34"/>
  <c r="BU101" i="34"/>
  <c r="CJ79" i="34"/>
  <c r="BT132" i="34"/>
  <c r="BS135" i="34"/>
  <c r="BS136" i="34" s="1"/>
  <c r="BS139" i="34"/>
  <c r="BS140" i="34" s="1"/>
  <c r="BS114" i="34"/>
  <c r="BS150" i="34" s="1"/>
  <c r="BU123" i="34"/>
  <c r="BU124" i="34"/>
  <c r="BU151" i="34" s="1"/>
  <c r="BU130" i="34"/>
  <c r="BV84" i="34"/>
  <c r="BT110" i="34"/>
  <c r="BT139" i="34" l="1"/>
  <c r="BT140" i="34" s="1"/>
  <c r="BV107" i="34"/>
  <c r="BV106" i="34"/>
  <c r="BV102" i="34"/>
  <c r="BV103" i="34"/>
  <c r="BV122" i="34"/>
  <c r="BV99" i="34"/>
  <c r="BV104" i="34"/>
  <c r="BV100" i="34"/>
  <c r="BV105" i="34"/>
  <c r="BV101" i="34"/>
  <c r="CK79" i="34"/>
  <c r="BS149" i="34"/>
  <c r="BT135" i="34"/>
  <c r="BT136" i="34" s="1"/>
  <c r="BU132" i="34"/>
  <c r="BT114" i="34"/>
  <c r="BT150" i="34" s="1"/>
  <c r="BV123" i="34"/>
  <c r="BV124" i="34"/>
  <c r="BV151" i="34" s="1"/>
  <c r="BU110" i="34"/>
  <c r="BV130" i="34"/>
  <c r="BW84" i="34"/>
  <c r="BU135" i="34" l="1"/>
  <c r="BU136" i="34" s="1"/>
  <c r="BT149" i="34"/>
  <c r="BW107" i="34"/>
  <c r="BW106" i="34"/>
  <c r="BW103" i="34"/>
  <c r="BW102" i="34"/>
  <c r="BW122" i="34"/>
  <c r="BW101" i="34"/>
  <c r="BW99" i="34"/>
  <c r="BW104" i="34"/>
  <c r="BW100" i="34"/>
  <c r="BW105" i="34"/>
  <c r="CL79" i="34"/>
  <c r="BU139" i="34"/>
  <c r="BU140" i="34" s="1"/>
  <c r="BV132" i="34"/>
  <c r="BU114" i="34"/>
  <c r="BU150" i="34" s="1"/>
  <c r="BW123" i="34"/>
  <c r="BW124" i="34"/>
  <c r="BW151" i="34" s="1"/>
  <c r="BW130" i="34"/>
  <c r="BX84" i="34"/>
  <c r="BV110" i="34"/>
  <c r="BV135" i="34" l="1"/>
  <c r="BV136" i="34" s="1"/>
  <c r="BX106" i="34"/>
  <c r="BX107" i="34"/>
  <c r="BX103" i="34"/>
  <c r="BX102" i="34"/>
  <c r="BX122" i="34"/>
  <c r="BX101" i="34"/>
  <c r="BX99" i="34"/>
  <c r="BX104" i="34"/>
  <c r="BX100" i="34"/>
  <c r="BX105" i="34"/>
  <c r="CM79" i="34"/>
  <c r="BV139" i="34"/>
  <c r="BV140" i="34" s="1"/>
  <c r="BU149" i="34"/>
  <c r="BW132" i="34"/>
  <c r="BV114" i="34"/>
  <c r="BV150" i="34" s="1"/>
  <c r="BX123" i="34"/>
  <c r="BX124" i="34"/>
  <c r="BX151" i="34" s="1"/>
  <c r="BW110" i="34"/>
  <c r="BX130" i="34"/>
  <c r="BY84" i="34"/>
  <c r="BW135" i="34" l="1"/>
  <c r="BW136" i="34" s="1"/>
  <c r="BY107" i="34"/>
  <c r="BY106" i="34"/>
  <c r="BY103" i="34"/>
  <c r="BY102" i="34"/>
  <c r="BY122" i="34"/>
  <c r="BY105" i="34"/>
  <c r="BY101" i="34"/>
  <c r="BY99" i="34"/>
  <c r="BY104" i="34"/>
  <c r="BY100" i="34"/>
  <c r="CN79" i="34"/>
  <c r="BV149" i="34"/>
  <c r="BW139" i="34"/>
  <c r="BW140" i="34" s="1"/>
  <c r="BX132" i="34"/>
  <c r="BW114" i="34"/>
  <c r="BW150" i="34" s="1"/>
  <c r="BY123" i="34"/>
  <c r="BY124" i="34"/>
  <c r="BY151" i="34" s="1"/>
  <c r="BY130" i="34"/>
  <c r="BZ84" i="34"/>
  <c r="BX110" i="34"/>
  <c r="BX139" i="34" l="1"/>
  <c r="BX140" i="34" s="1"/>
  <c r="BX149" i="34" s="1"/>
  <c r="BZ106" i="34"/>
  <c r="BZ107" i="34"/>
  <c r="BZ103" i="34"/>
  <c r="BZ102" i="34"/>
  <c r="BZ122" i="34"/>
  <c r="BZ100" i="34"/>
  <c r="BZ105" i="34"/>
  <c r="BZ101" i="34"/>
  <c r="BZ99" i="34"/>
  <c r="BZ104" i="34"/>
  <c r="CO79" i="34"/>
  <c r="BW149" i="34"/>
  <c r="BX135" i="34"/>
  <c r="BX136" i="34" s="1"/>
  <c r="BY132" i="34"/>
  <c r="BX114" i="34"/>
  <c r="BX150" i="34" s="1"/>
  <c r="BZ123" i="34"/>
  <c r="BZ124" i="34"/>
  <c r="BZ151" i="34" s="1"/>
  <c r="BZ130" i="34"/>
  <c r="CA84" i="34"/>
  <c r="BY110" i="34"/>
  <c r="BY139" i="34" l="1"/>
  <c r="BY140" i="34" s="1"/>
  <c r="BY149" i="34" s="1"/>
  <c r="CA106" i="34"/>
  <c r="CA107" i="34"/>
  <c r="CA103" i="34"/>
  <c r="CA102" i="34"/>
  <c r="CA122" i="34"/>
  <c r="CA100" i="34"/>
  <c r="CA105" i="34"/>
  <c r="CA101" i="34"/>
  <c r="CA99" i="34"/>
  <c r="CA104" i="34"/>
  <c r="CP79" i="34"/>
  <c r="BY135" i="34"/>
  <c r="BY136" i="34" s="1"/>
  <c r="BZ132" i="34"/>
  <c r="BY114" i="34"/>
  <c r="BY150" i="34" s="1"/>
  <c r="CA123" i="34"/>
  <c r="CA124" i="34"/>
  <c r="CA151" i="34" s="1"/>
  <c r="BZ110" i="34"/>
  <c r="CA130" i="34"/>
  <c r="CB84" i="34"/>
  <c r="BZ135" i="34" l="1"/>
  <c r="BZ136" i="34" s="1"/>
  <c r="CB106" i="34"/>
  <c r="CB107" i="34"/>
  <c r="CB102" i="34"/>
  <c r="CB103" i="34"/>
  <c r="CB122" i="34"/>
  <c r="CB104" i="34"/>
  <c r="CB100" i="34"/>
  <c r="CB99" i="34"/>
  <c r="CB105" i="34"/>
  <c r="CB101" i="34"/>
  <c r="CQ79" i="34"/>
  <c r="BZ139" i="34"/>
  <c r="CA132" i="34"/>
  <c r="BZ114" i="34"/>
  <c r="BZ150" i="34" s="1"/>
  <c r="CB123" i="34"/>
  <c r="CB124" i="34"/>
  <c r="CB151" i="34" s="1"/>
  <c r="CB130" i="34"/>
  <c r="CC84" i="34"/>
  <c r="CA110" i="34"/>
  <c r="BZ140" i="34" l="1"/>
  <c r="BZ149" i="34" s="1"/>
  <c r="CA139" i="34"/>
  <c r="CA140" i="34" s="1"/>
  <c r="CA149" i="34" s="1"/>
  <c r="CC106" i="34"/>
  <c r="CC107" i="34"/>
  <c r="CC102" i="34"/>
  <c r="CC103" i="34"/>
  <c r="CC122" i="34"/>
  <c r="CC99" i="34"/>
  <c r="CC104" i="34"/>
  <c r="CC100" i="34"/>
  <c r="CC105" i="34"/>
  <c r="CC101" i="34"/>
  <c r="CR79" i="34"/>
  <c r="CB132" i="34"/>
  <c r="CA135" i="34"/>
  <c r="CA136" i="34" s="1"/>
  <c r="CA114" i="34"/>
  <c r="CA150" i="34" s="1"/>
  <c r="CC123" i="34"/>
  <c r="CC124" i="34"/>
  <c r="CC151" i="34" s="1"/>
  <c r="CB110" i="34"/>
  <c r="CC130" i="34"/>
  <c r="CD84" i="34"/>
  <c r="CB135" i="34" l="1"/>
  <c r="CB136" i="34" s="1"/>
  <c r="CD106" i="34"/>
  <c r="CD107" i="34"/>
  <c r="CD102" i="34"/>
  <c r="CD103" i="34"/>
  <c r="CD122" i="34"/>
  <c r="CD99" i="34"/>
  <c r="CD104" i="34"/>
  <c r="CD100" i="34"/>
  <c r="CD105" i="34"/>
  <c r="CD101" i="34"/>
  <c r="CS79" i="34"/>
  <c r="CB139" i="34"/>
  <c r="CB140" i="34" s="1"/>
  <c r="CC132" i="34"/>
  <c r="CB114" i="34"/>
  <c r="CB150" i="34" s="1"/>
  <c r="CD123" i="34"/>
  <c r="CD124" i="34"/>
  <c r="CD151" i="34" s="1"/>
  <c r="CD130" i="34"/>
  <c r="CE84" i="34"/>
  <c r="CC110" i="34"/>
  <c r="CC139" i="34" l="1"/>
  <c r="CC140" i="34" s="1"/>
  <c r="CC149" i="34" s="1"/>
  <c r="CE107" i="34"/>
  <c r="CE106" i="34"/>
  <c r="CE103" i="34"/>
  <c r="CE102" i="34"/>
  <c r="CE122" i="34"/>
  <c r="CE101" i="34"/>
  <c r="CE99" i="34"/>
  <c r="CE104" i="34"/>
  <c r="CE100" i="34"/>
  <c r="CE105" i="34"/>
  <c r="CT79" i="34"/>
  <c r="CC135" i="34"/>
  <c r="CC136" i="34" s="1"/>
  <c r="CB149" i="34"/>
  <c r="CD132" i="34"/>
  <c r="CC114" i="34"/>
  <c r="CC150" i="34" s="1"/>
  <c r="CE123" i="34"/>
  <c r="CE124" i="34"/>
  <c r="CE151" i="34" s="1"/>
  <c r="CE130" i="34"/>
  <c r="CF84" i="34"/>
  <c r="CD110" i="34"/>
  <c r="CD139" i="34" l="1"/>
  <c r="CD140" i="34" s="1"/>
  <c r="CD149" i="34" s="1"/>
  <c r="CF107" i="34"/>
  <c r="CF106" i="34"/>
  <c r="CF103" i="34"/>
  <c r="CF102" i="34"/>
  <c r="CF122" i="34"/>
  <c r="CF101" i="34"/>
  <c r="CF99" i="34"/>
  <c r="CF104" i="34"/>
  <c r="CF100" i="34"/>
  <c r="CF105" i="34"/>
  <c r="CU79" i="34"/>
  <c r="CD135" i="34"/>
  <c r="CD136" i="34" s="1"/>
  <c r="CE132" i="34"/>
  <c r="CD114" i="34"/>
  <c r="CD150" i="34" s="1"/>
  <c r="CF123" i="34"/>
  <c r="CF124" i="34"/>
  <c r="CF151" i="34" s="1"/>
  <c r="CF130" i="34"/>
  <c r="CG84" i="34"/>
  <c r="CE110" i="34"/>
  <c r="CE135" i="34" l="1"/>
  <c r="CE136" i="34" s="1"/>
  <c r="CG107" i="34"/>
  <c r="CG106" i="34"/>
  <c r="CG103" i="34"/>
  <c r="CG102" i="34"/>
  <c r="CG122" i="34"/>
  <c r="CG105" i="34"/>
  <c r="CG101" i="34"/>
  <c r="CG100" i="34"/>
  <c r="CG99" i="34"/>
  <c r="CG104" i="34"/>
  <c r="CV79" i="34"/>
  <c r="CE139" i="34"/>
  <c r="CE140" i="34" s="1"/>
  <c r="CF132" i="34"/>
  <c r="CE114" i="34"/>
  <c r="CE150" i="34" s="1"/>
  <c r="CG123" i="34"/>
  <c r="CG124" i="34"/>
  <c r="CG151" i="34" s="1"/>
  <c r="CG130" i="34"/>
  <c r="CH84" i="34"/>
  <c r="CF110" i="34"/>
  <c r="CF139" i="34" l="1"/>
  <c r="CF140" i="34" s="1"/>
  <c r="CF149" i="34" s="1"/>
  <c r="CH106" i="34"/>
  <c r="CH107" i="34"/>
  <c r="CH103" i="34"/>
  <c r="CH102" i="34"/>
  <c r="CH122" i="34"/>
  <c r="CH100" i="34"/>
  <c r="CH105" i="34"/>
  <c r="CH101" i="34"/>
  <c r="CH99" i="34"/>
  <c r="CH104" i="34"/>
  <c r="CW79" i="34"/>
  <c r="CE149" i="34"/>
  <c r="CF135" i="34"/>
  <c r="CF136" i="34" s="1"/>
  <c r="CG132" i="34"/>
  <c r="CF114" i="34"/>
  <c r="CF150" i="34" s="1"/>
  <c r="CH123" i="34"/>
  <c r="CH124" i="34"/>
  <c r="CH151" i="34" s="1"/>
  <c r="CH130" i="34"/>
  <c r="CI84" i="34"/>
  <c r="CG110" i="34"/>
  <c r="CG139" i="34" l="1"/>
  <c r="CG140" i="34" s="1"/>
  <c r="CG149" i="34" s="1"/>
  <c r="CI106" i="34"/>
  <c r="CI107" i="34"/>
  <c r="CI102" i="34"/>
  <c r="CI103" i="34"/>
  <c r="CI122" i="34"/>
  <c r="CI100" i="34"/>
  <c r="CI105" i="34"/>
  <c r="CI101" i="34"/>
  <c r="CI99" i="34"/>
  <c r="CI104" i="34"/>
  <c r="CX79" i="34"/>
  <c r="CG135" i="34"/>
  <c r="CG136" i="34" s="1"/>
  <c r="CH132" i="34"/>
  <c r="CG114" i="34"/>
  <c r="CG150" i="34" s="1"/>
  <c r="CI123" i="34"/>
  <c r="CI124" i="34"/>
  <c r="CI151" i="34" s="1"/>
  <c r="CH110" i="34"/>
  <c r="CI130" i="34"/>
  <c r="CJ84" i="34"/>
  <c r="CH139" i="34" l="1"/>
  <c r="CH140" i="34" s="1"/>
  <c r="CH149" i="34" s="1"/>
  <c r="CJ107" i="34"/>
  <c r="CJ106" i="34"/>
  <c r="CJ102" i="34"/>
  <c r="CJ103" i="34"/>
  <c r="CJ122" i="34"/>
  <c r="CJ104" i="34"/>
  <c r="CJ100" i="34"/>
  <c r="CJ105" i="34"/>
  <c r="CJ99" i="34"/>
  <c r="CJ101" i="34"/>
  <c r="CH135" i="34"/>
  <c r="CH136" i="34" s="1"/>
  <c r="CI132" i="34"/>
  <c r="CH114" i="34"/>
  <c r="CH150" i="34" s="1"/>
  <c r="CJ123" i="34"/>
  <c r="CJ124" i="34"/>
  <c r="CJ151" i="34" s="1"/>
  <c r="CI110" i="34"/>
  <c r="CJ130" i="34"/>
  <c r="CK84" i="34"/>
  <c r="CI135" i="34" l="1"/>
  <c r="CI136" i="34" s="1"/>
  <c r="CK107" i="34"/>
  <c r="CK106" i="34"/>
  <c r="CK102" i="34"/>
  <c r="CK103" i="34"/>
  <c r="CK122" i="34"/>
  <c r="CK99" i="34"/>
  <c r="CK104" i="34"/>
  <c r="CK100" i="34"/>
  <c r="CK105" i="34"/>
  <c r="CK101" i="34"/>
  <c r="CI139" i="34"/>
  <c r="CI140" i="34" s="1"/>
  <c r="CJ132" i="34"/>
  <c r="CI114" i="34"/>
  <c r="CI150" i="34" s="1"/>
  <c r="CK123" i="34"/>
  <c r="CK124" i="34"/>
  <c r="CK151" i="34" s="1"/>
  <c r="CK130" i="34"/>
  <c r="CL84" i="34"/>
  <c r="CJ110" i="34"/>
  <c r="CJ139" i="34" l="1"/>
  <c r="CJ140" i="34" s="1"/>
  <c r="CJ149" i="34" s="1"/>
  <c r="CL107" i="34"/>
  <c r="CL106" i="34"/>
  <c r="CL102" i="34"/>
  <c r="CL103" i="34"/>
  <c r="CL122" i="34"/>
  <c r="CL99" i="34"/>
  <c r="CL104" i="34"/>
  <c r="CL100" i="34"/>
  <c r="CL105" i="34"/>
  <c r="CL101" i="34"/>
  <c r="CI149" i="34"/>
  <c r="CJ135" i="34"/>
  <c r="CJ136" i="34" s="1"/>
  <c r="CK132" i="34"/>
  <c r="CJ114" i="34"/>
  <c r="CJ150" i="34" s="1"/>
  <c r="CL123" i="34"/>
  <c r="CL124" i="34"/>
  <c r="CL151" i="34" s="1"/>
  <c r="CK110" i="34"/>
  <c r="CL130" i="34"/>
  <c r="CM84" i="34"/>
  <c r="CK135" i="34" l="1"/>
  <c r="CK136" i="34" s="1"/>
  <c r="CM107" i="34"/>
  <c r="CM106" i="34"/>
  <c r="CM102" i="34"/>
  <c r="CM103" i="34"/>
  <c r="CM122" i="34"/>
  <c r="CM101" i="34"/>
  <c r="CM99" i="34"/>
  <c r="CM104" i="34"/>
  <c r="CM100" i="34"/>
  <c r="CM105" i="34"/>
  <c r="CK139" i="34"/>
  <c r="CK140" i="34" s="1"/>
  <c r="CL132" i="34"/>
  <c r="CK114" i="34"/>
  <c r="CK150" i="34" s="1"/>
  <c r="CM123" i="34"/>
  <c r="CM124" i="34"/>
  <c r="CM151" i="34" s="1"/>
  <c r="CM130" i="34"/>
  <c r="CN84" i="34"/>
  <c r="CL110" i="34"/>
  <c r="CL139" i="34" l="1"/>
  <c r="CL140" i="34" s="1"/>
  <c r="CL149" i="34" s="1"/>
  <c r="CN107" i="34"/>
  <c r="CN106" i="34"/>
  <c r="CN103" i="34"/>
  <c r="CN102" i="34"/>
  <c r="CN122" i="34"/>
  <c r="CN101" i="34"/>
  <c r="CN99" i="34"/>
  <c r="CN104" i="34"/>
  <c r="CN100" i="34"/>
  <c r="CN105" i="34"/>
  <c r="CL135" i="34"/>
  <c r="CL136" i="34" s="1"/>
  <c r="CK149" i="34"/>
  <c r="CM132" i="34"/>
  <c r="CL114" i="34"/>
  <c r="CL150" i="34" s="1"/>
  <c r="CN123" i="34"/>
  <c r="CN124" i="34"/>
  <c r="CN151" i="34" s="1"/>
  <c r="CM110" i="34"/>
  <c r="CN130" i="34"/>
  <c r="CO84" i="34"/>
  <c r="CM135" i="34" l="1"/>
  <c r="CM136" i="34" s="1"/>
  <c r="CO106" i="34"/>
  <c r="CO107" i="34"/>
  <c r="CO103" i="34"/>
  <c r="CO102" i="34"/>
  <c r="CO122" i="34"/>
  <c r="CO105" i="34"/>
  <c r="CO101" i="34"/>
  <c r="CO99" i="34"/>
  <c r="CO104" i="34"/>
  <c r="CO100" i="34"/>
  <c r="CM139" i="34"/>
  <c r="CM140" i="34" s="1"/>
  <c r="CN132" i="34"/>
  <c r="CM114" i="34"/>
  <c r="CM150" i="34" s="1"/>
  <c r="CO123" i="34"/>
  <c r="CO124" i="34"/>
  <c r="CO151" i="34" s="1"/>
  <c r="CN110" i="34"/>
  <c r="CO130" i="34"/>
  <c r="CP84" i="34"/>
  <c r="CN139" i="34" l="1"/>
  <c r="CN140" i="34" s="1"/>
  <c r="CN149" i="34" s="1"/>
  <c r="CP106" i="34"/>
  <c r="CP107" i="34"/>
  <c r="CP103" i="34"/>
  <c r="CP102" i="34"/>
  <c r="CP122" i="34"/>
  <c r="CP100" i="34"/>
  <c r="CP105" i="34"/>
  <c r="CP101" i="34"/>
  <c r="CP99" i="34"/>
  <c r="CP104" i="34"/>
  <c r="CM149" i="34"/>
  <c r="CN135" i="34"/>
  <c r="CN136" i="34" s="1"/>
  <c r="CO132" i="34"/>
  <c r="CN114" i="34"/>
  <c r="CN150" i="34" s="1"/>
  <c r="CP123" i="34"/>
  <c r="CP124" i="34"/>
  <c r="CP151" i="34" s="1"/>
  <c r="CP130" i="34"/>
  <c r="CQ84" i="34"/>
  <c r="CO110" i="34"/>
  <c r="CO139" i="34" l="1"/>
  <c r="CO140" i="34" s="1"/>
  <c r="CO149" i="34" s="1"/>
  <c r="CQ106" i="34"/>
  <c r="CQ107" i="34"/>
  <c r="CQ103" i="34"/>
  <c r="CQ102" i="34"/>
  <c r="CQ122" i="34"/>
  <c r="CQ100" i="34"/>
  <c r="CQ105" i="34"/>
  <c r="CQ101" i="34"/>
  <c r="CQ99" i="34"/>
  <c r="CQ104" i="34"/>
  <c r="CO135" i="34"/>
  <c r="CO136" i="34" s="1"/>
  <c r="CP132" i="34"/>
  <c r="CO114" i="34"/>
  <c r="CO150" i="34" s="1"/>
  <c r="CQ123" i="34"/>
  <c r="CQ124" i="34"/>
  <c r="CQ151" i="34" s="1"/>
  <c r="CQ130" i="34"/>
  <c r="CR84" i="34"/>
  <c r="CP110" i="34"/>
  <c r="CP139" i="34" l="1"/>
  <c r="CP140" i="34" s="1"/>
  <c r="CP149" i="34" s="1"/>
  <c r="CR106" i="34"/>
  <c r="CR107" i="34"/>
  <c r="CR103" i="34"/>
  <c r="CR102" i="34"/>
  <c r="CR122" i="34"/>
  <c r="CR104" i="34"/>
  <c r="CR100" i="34"/>
  <c r="CR105" i="34"/>
  <c r="CR101" i="34"/>
  <c r="CR99" i="34"/>
  <c r="CP135" i="34"/>
  <c r="CP136" i="34" s="1"/>
  <c r="CQ132" i="34"/>
  <c r="CP114" i="34"/>
  <c r="CP150" i="34" s="1"/>
  <c r="CR123" i="34"/>
  <c r="CR124" i="34"/>
  <c r="CR151" i="34" s="1"/>
  <c r="CQ110" i="34"/>
  <c r="CR130" i="34"/>
  <c r="CS84" i="34"/>
  <c r="CQ135" i="34" l="1"/>
  <c r="CQ136" i="34" s="1"/>
  <c r="CS107" i="34"/>
  <c r="CS106" i="34"/>
  <c r="CS102" i="34"/>
  <c r="CS103" i="34"/>
  <c r="CS122" i="34"/>
  <c r="CS99" i="34"/>
  <c r="CS104" i="34"/>
  <c r="CS100" i="34"/>
  <c r="CS105" i="34"/>
  <c r="CS101" i="34"/>
  <c r="CQ139" i="34"/>
  <c r="CQ140" i="34" s="1"/>
  <c r="CR132" i="34"/>
  <c r="CQ114" i="34"/>
  <c r="CQ150" i="34" s="1"/>
  <c r="CS123" i="34"/>
  <c r="CS124" i="34"/>
  <c r="CS151" i="34" s="1"/>
  <c r="CR110" i="34"/>
  <c r="CS130" i="34"/>
  <c r="CT84" i="34"/>
  <c r="CR139" i="34" l="1"/>
  <c r="CR140" i="34" s="1"/>
  <c r="CR149" i="34" s="1"/>
  <c r="CT107" i="34"/>
  <c r="CT106" i="34"/>
  <c r="CT103" i="34"/>
  <c r="CT102" i="34"/>
  <c r="CT122" i="34"/>
  <c r="CT99" i="34"/>
  <c r="CT104" i="34"/>
  <c r="CT100" i="34"/>
  <c r="CT105" i="34"/>
  <c r="CT101" i="34"/>
  <c r="CQ149" i="34"/>
  <c r="CR135" i="34"/>
  <c r="CR136" i="34" s="1"/>
  <c r="CS132" i="34"/>
  <c r="CR114" i="34"/>
  <c r="CR150" i="34" s="1"/>
  <c r="CT123" i="34"/>
  <c r="CT124" i="34"/>
  <c r="CT151" i="34" s="1"/>
  <c r="CS110" i="34"/>
  <c r="CT130" i="34"/>
  <c r="CU84" i="34"/>
  <c r="CS139" i="34" l="1"/>
  <c r="CS140" i="34" s="1"/>
  <c r="CS149" i="34" s="1"/>
  <c r="CU107" i="34"/>
  <c r="CU106" i="34"/>
  <c r="CU102" i="34"/>
  <c r="CU103" i="34"/>
  <c r="CU122" i="34"/>
  <c r="CU101" i="34"/>
  <c r="CU99" i="34"/>
  <c r="CU104" i="34"/>
  <c r="CU100" i="34"/>
  <c r="CU105" i="34"/>
  <c r="CS135" i="34"/>
  <c r="CS136" i="34" s="1"/>
  <c r="CT132" i="34"/>
  <c r="CS114" i="34"/>
  <c r="CS150" i="34" s="1"/>
  <c r="CU123" i="34"/>
  <c r="CU124" i="34"/>
  <c r="CU151" i="34" s="1"/>
  <c r="CT110" i="34"/>
  <c r="CU130" i="34"/>
  <c r="CV84" i="34"/>
  <c r="CT135" i="34" l="1"/>
  <c r="CT136" i="34" s="1"/>
  <c r="CV106" i="34"/>
  <c r="CV107" i="34"/>
  <c r="CV102" i="34"/>
  <c r="CV103" i="34"/>
  <c r="CV122" i="34"/>
  <c r="CV101" i="34"/>
  <c r="CV99" i="34"/>
  <c r="CV104" i="34"/>
  <c r="CV100" i="34"/>
  <c r="CV105" i="34"/>
  <c r="CT139" i="34"/>
  <c r="CU132" i="34"/>
  <c r="CT114" i="34"/>
  <c r="CT150" i="34" s="1"/>
  <c r="CV123" i="34"/>
  <c r="CV124" i="34"/>
  <c r="CV151" i="34" s="1"/>
  <c r="CU110" i="34"/>
  <c r="CV130" i="34"/>
  <c r="CW84" i="34"/>
  <c r="CT140" i="34" l="1"/>
  <c r="CT149" i="34" s="1"/>
  <c r="CU135" i="34"/>
  <c r="CU136" i="34" s="1"/>
  <c r="CW106" i="34"/>
  <c r="CW107" i="34"/>
  <c r="CW103" i="34"/>
  <c r="CW102" i="34"/>
  <c r="CW122" i="34"/>
  <c r="CW105" i="34"/>
  <c r="CW101" i="34"/>
  <c r="CW100" i="34"/>
  <c r="CW99" i="34"/>
  <c r="CW104" i="34"/>
  <c r="CU139" i="34"/>
  <c r="CU140" i="34" s="1"/>
  <c r="CV132" i="34"/>
  <c r="CU114" i="34"/>
  <c r="CU150" i="34" s="1"/>
  <c r="CW123" i="34"/>
  <c r="CW124" i="34"/>
  <c r="CW151" i="34" s="1"/>
  <c r="CW130" i="34"/>
  <c r="CX84" i="34"/>
  <c r="CV110" i="34"/>
  <c r="CV139" i="34" l="1"/>
  <c r="CV140" i="34" s="1"/>
  <c r="CX106" i="34"/>
  <c r="CX107" i="34"/>
  <c r="CX103" i="34"/>
  <c r="A103" i="34" s="1"/>
  <c r="CX102" i="34"/>
  <c r="A102" i="34" s="1"/>
  <c r="CX122" i="34"/>
  <c r="CX100" i="34"/>
  <c r="CX105" i="34"/>
  <c r="CX101" i="34"/>
  <c r="A101" i="34" s="1"/>
  <c r="CX99" i="34"/>
  <c r="CX104" i="34"/>
  <c r="CU149" i="34"/>
  <c r="CV135" i="34"/>
  <c r="CV136" i="34" s="1"/>
  <c r="CW132" i="34"/>
  <c r="CV114" i="34"/>
  <c r="CV150" i="34" s="1"/>
  <c r="CX123" i="34"/>
  <c r="A123" i="34" s="1"/>
  <c r="CX124" i="34"/>
  <c r="CX151" i="34" s="1"/>
  <c r="CX130" i="34"/>
  <c r="CW110" i="34"/>
  <c r="CW139" i="34" l="1"/>
  <c r="CW140" i="34" s="1"/>
  <c r="CW149" i="34" s="1"/>
  <c r="CV149" i="34"/>
  <c r="CW135" i="34"/>
  <c r="CW136" i="34" s="1"/>
  <c r="CX132" i="34"/>
  <c r="CW114" i="34"/>
  <c r="CW150" i="34" s="1"/>
  <c r="CX110" i="34"/>
  <c r="CX135" i="34" l="1"/>
  <c r="CX136" i="34" s="1"/>
  <c r="CX139" i="34"/>
  <c r="CX114" i="34"/>
  <c r="CX150" i="34" s="1"/>
  <c r="CX140" i="34" l="1"/>
  <c r="CX149" i="34" s="1"/>
  <c r="B10" i="5"/>
  <c r="F12" i="86" l="1"/>
  <c r="A58" i="5" l="1"/>
  <c r="A60" i="5" l="1"/>
  <c r="B772" i="5" l="1"/>
  <c r="B775" i="5" s="1"/>
  <c r="A99" i="34" l="1"/>
  <c r="B258" i="5" l="1"/>
  <c r="B259" i="5" s="1"/>
  <c r="B266" i="5" s="1"/>
  <c r="B267" i="5" s="1"/>
  <c r="B270" i="5" s="1"/>
  <c r="D918" i="5" l="1"/>
  <c r="D928" i="5" s="1"/>
  <c r="D930" i="5" s="1"/>
  <c r="B1011" i="5"/>
  <c r="B1014" i="5" s="1"/>
  <c r="B1037" i="5" s="1"/>
  <c r="B1050" i="5" s="1"/>
  <c r="C918" i="5"/>
  <c r="C928" i="5" s="1"/>
  <c r="C930" i="5" s="1"/>
  <c r="C938" i="5" s="1"/>
  <c r="C1011" i="5"/>
  <c r="C1014" i="5" s="1"/>
  <c r="C1037" i="5" s="1"/>
  <c r="C1050" i="5" s="1"/>
  <c r="B7" i="5"/>
  <c r="B918" i="5"/>
  <c r="D938" i="5" l="1"/>
  <c r="B633" i="5"/>
  <c r="B637" i="5" s="1"/>
  <c r="B639" i="5"/>
  <c r="B641" i="5" s="1"/>
  <c r="B652" i="5" s="1"/>
  <c r="B297" i="5"/>
  <c r="B298" i="5" s="1"/>
  <c r="B301" i="5" s="1"/>
  <c r="B310" i="5" s="1"/>
  <c r="B922" i="5"/>
  <c r="D995" i="5" l="1"/>
  <c r="D997" i="5" s="1"/>
  <c r="D994" i="5"/>
  <c r="D996" i="5" s="1"/>
  <c r="C1102" i="5"/>
  <c r="C1103" i="5" s="1"/>
  <c r="B1126" i="5" s="1"/>
  <c r="B1127" i="5" s="1"/>
  <c r="C1100" i="5"/>
  <c r="E1101" i="5"/>
  <c r="C994" i="5"/>
  <c r="C996" i="5" s="1"/>
  <c r="C995" i="5"/>
  <c r="C997" i="5" s="1"/>
  <c r="B338" i="5"/>
  <c r="B339" i="5" s="1"/>
  <c r="B340" i="5" s="1"/>
  <c r="C338" i="5"/>
  <c r="C339" i="5" s="1"/>
  <c r="C340" i="5" s="1"/>
  <c r="F338" i="5"/>
  <c r="F339" i="5" s="1"/>
  <c r="F340" i="5" s="1"/>
  <c r="E338" i="5"/>
  <c r="E339" i="5" s="1"/>
  <c r="E340" i="5" s="1"/>
  <c r="E320" i="5"/>
  <c r="D338" i="5"/>
  <c r="D339" i="5" s="1"/>
  <c r="D340" i="5" s="1"/>
  <c r="G338" i="5"/>
  <c r="G339" i="5" s="1"/>
  <c r="G340" i="5" s="1"/>
  <c r="B351" i="5"/>
  <c r="C351" i="5" s="1"/>
  <c r="D351" i="5" s="1"/>
  <c r="E323" i="5"/>
  <c r="B350" i="5"/>
  <c r="C350" i="5" s="1"/>
  <c r="D350" i="5" s="1"/>
  <c r="E324" i="5"/>
  <c r="E326" i="5"/>
  <c r="E327" i="5"/>
  <c r="E321" i="5"/>
  <c r="B927" i="5"/>
  <c r="B928" i="5" s="1"/>
  <c r="B930" i="5" s="1"/>
  <c r="B1000" i="5" s="1"/>
  <c r="D352" i="5" l="1"/>
  <c r="B341" i="5"/>
  <c r="F325" i="5"/>
  <c r="G325" i="5" s="1"/>
  <c r="F322" i="5"/>
  <c r="G322" i="5" s="1"/>
  <c r="F319" i="5"/>
  <c r="G319" i="5" s="1"/>
  <c r="F301" i="5"/>
  <c r="H301" i="5"/>
  <c r="H310" i="5" s="1"/>
  <c r="H311" i="5" s="1"/>
  <c r="B938" i="5"/>
  <c r="B1003" i="5" l="1"/>
  <c r="B1005" i="5" s="1"/>
  <c r="B1141" i="5" s="1"/>
  <c r="B994" i="5"/>
  <c r="C1101" i="5"/>
  <c r="B1124" i="5" s="1"/>
  <c r="B1125" i="5" s="1"/>
  <c r="B995" i="5"/>
  <c r="C301" i="5"/>
  <c r="B311" i="5"/>
  <c r="F310" i="5"/>
  <c r="F311" i="5" s="1"/>
  <c r="G301" i="5"/>
  <c r="G310" i="5" s="1"/>
  <c r="G311" i="5" s="1"/>
  <c r="B1013" i="5"/>
  <c r="B1018" i="5" s="1"/>
  <c r="B1020" i="5" s="1"/>
  <c r="B1022" i="5" s="1"/>
  <c r="C1013" i="5"/>
  <c r="C1018" i="5" s="1"/>
  <c r="C1020" i="5" s="1"/>
  <c r="C1022" i="5" s="1"/>
  <c r="C1036" i="5" s="1"/>
  <c r="C1049" i="5" s="1"/>
  <c r="B1024" i="5" l="1"/>
  <c r="B1028" i="5" s="1"/>
  <c r="B1044" i="5" s="1"/>
  <c r="C310" i="5"/>
  <c r="C311" i="5" s="1"/>
  <c r="D301" i="5"/>
  <c r="C1032" i="5"/>
  <c r="C1047" i="5" s="1"/>
  <c r="C1034" i="5"/>
  <c r="C1048" i="5" s="1"/>
  <c r="C1024" i="5"/>
  <c r="C1031" i="5" s="1"/>
  <c r="C1046" i="5" s="1"/>
  <c r="B1036" i="5"/>
  <c r="B1049" i="5" s="1"/>
  <c r="B1034" i="5"/>
  <c r="B1048" i="5" s="1"/>
  <c r="B1032" i="5"/>
  <c r="B1059" i="5" s="1"/>
  <c r="N95" i="34"/>
  <c r="B1025" i="5" l="1"/>
  <c r="B1029" i="5"/>
  <c r="B1045" i="5" s="1"/>
  <c r="B1031" i="5"/>
  <c r="B1046" i="5" s="1"/>
  <c r="B1066" i="5"/>
  <c r="B1088" i="5"/>
  <c r="B1089" i="5" s="1"/>
  <c r="C1038" i="5"/>
  <c r="C1051" i="5" s="1"/>
  <c r="C1059" i="5"/>
  <c r="C1029" i="5"/>
  <c r="C1045" i="5" s="1"/>
  <c r="E301" i="5"/>
  <c r="E310" i="5" s="1"/>
  <c r="E311" i="5" s="1"/>
  <c r="D310" i="5"/>
  <c r="D311" i="5" s="1"/>
  <c r="C1025" i="5"/>
  <c r="B1038" i="5"/>
  <c r="B1051" i="5" s="1"/>
  <c r="C1028" i="5"/>
  <c r="C1044" i="5" s="1"/>
  <c r="B1060" i="5"/>
  <c r="B1061" i="5" s="1"/>
  <c r="B1064" i="5" s="1"/>
  <c r="B1047" i="5"/>
  <c r="B1074" i="5"/>
  <c r="B1075" i="5" s="1"/>
  <c r="AK95" i="34"/>
  <c r="AJ95" i="34"/>
  <c r="AW95" i="34"/>
  <c r="BU95" i="34"/>
  <c r="BZ95" i="34"/>
  <c r="BM95" i="34"/>
  <c r="CF95" i="34"/>
  <c r="L95" i="34"/>
  <c r="CP95" i="34"/>
  <c r="AD95" i="34"/>
  <c r="E95" i="34"/>
  <c r="CD95" i="34"/>
  <c r="CS95" i="34"/>
  <c r="S95" i="34"/>
  <c r="CU95" i="34"/>
  <c r="U95" i="34"/>
  <c r="BX95" i="34"/>
  <c r="CE95" i="34"/>
  <c r="CN95" i="34"/>
  <c r="AY95" i="34"/>
  <c r="I95" i="34"/>
  <c r="CK95" i="34"/>
  <c r="CT95" i="34"/>
  <c r="AO95" i="34"/>
  <c r="CL95" i="34"/>
  <c r="AN95" i="34"/>
  <c r="CQ95" i="34"/>
  <c r="BA95" i="34"/>
  <c r="R95" i="34"/>
  <c r="Q95" i="34"/>
  <c r="CI95" i="34"/>
  <c r="BB95" i="34"/>
  <c r="BN95" i="34"/>
  <c r="CH95" i="34"/>
  <c r="CJ95" i="34"/>
  <c r="AG95" i="34"/>
  <c r="CB95" i="34"/>
  <c r="BW95" i="34"/>
  <c r="Y95" i="34"/>
  <c r="V95" i="34"/>
  <c r="BE95" i="34"/>
  <c r="BO95" i="34"/>
  <c r="AH95" i="34"/>
  <c r="AL95" i="34"/>
  <c r="Z95" i="34"/>
  <c r="AE95" i="34"/>
  <c r="AZ95" i="34"/>
  <c r="CO95" i="34"/>
  <c r="AR95" i="34"/>
  <c r="BP95" i="34"/>
  <c r="BI95" i="34"/>
  <c r="BS95" i="34"/>
  <c r="AU95" i="34"/>
  <c r="X95" i="34"/>
  <c r="K95" i="34"/>
  <c r="CA95" i="34"/>
  <c r="AP95" i="34"/>
  <c r="BR95" i="34"/>
  <c r="BD95" i="34"/>
  <c r="AV95" i="34"/>
  <c r="BV95" i="34"/>
  <c r="AC95" i="34"/>
  <c r="BK95" i="34"/>
  <c r="AM95" i="34"/>
  <c r="AA95" i="34"/>
  <c r="T95" i="34"/>
  <c r="BG95" i="34"/>
  <c r="P95" i="34"/>
  <c r="BY95" i="34"/>
  <c r="BF95" i="34"/>
  <c r="J95" i="34"/>
  <c r="CX95" i="34"/>
  <c r="AX95" i="34"/>
  <c r="BL95" i="34"/>
  <c r="CC95" i="34"/>
  <c r="D95" i="34"/>
  <c r="CG95" i="34"/>
  <c r="CW95" i="34"/>
  <c r="BH95" i="34"/>
  <c r="H95" i="34"/>
  <c r="AQ95" i="34"/>
  <c r="CM95" i="34"/>
  <c r="W95" i="34"/>
  <c r="G95" i="34"/>
  <c r="BJ95" i="34"/>
  <c r="AF95" i="34"/>
  <c r="AT95" i="34"/>
  <c r="CR95" i="34"/>
  <c r="M95" i="34"/>
  <c r="CV95" i="34"/>
  <c r="C95" i="34"/>
  <c r="BT95" i="34"/>
  <c r="BQ95" i="34"/>
  <c r="BC95" i="34"/>
  <c r="AB95" i="34"/>
  <c r="O95" i="34"/>
  <c r="F95" i="34"/>
  <c r="AI95" i="34"/>
  <c r="AS95" i="34"/>
  <c r="B1067" i="5" l="1"/>
  <c r="B1068" i="5" s="1"/>
  <c r="B1069" i="5" s="1"/>
  <c r="C1066" i="5"/>
  <c r="C1088" i="5"/>
  <c r="C1089" i="5" s="1"/>
  <c r="B1096" i="5" s="1"/>
  <c r="B1170" i="5" s="1"/>
  <c r="B312" i="5"/>
  <c r="B362" i="5" s="1"/>
  <c r="C1060" i="5"/>
  <c r="C1078" i="5" s="1"/>
  <c r="C1080" i="5" s="1"/>
  <c r="C1082" i="5" s="1"/>
  <c r="C1074" i="5"/>
  <c r="C1075" i="5" s="1"/>
  <c r="C1055" i="5"/>
  <c r="C1057" i="5" s="1"/>
  <c r="B1055" i="5"/>
  <c r="B1057" i="5" s="1"/>
  <c r="B1078" i="5"/>
  <c r="B1080" i="5" s="1"/>
  <c r="B1082" i="5" s="1"/>
  <c r="A95" i="34"/>
  <c r="B1092" i="5" l="1"/>
  <c r="B1094" i="5" s="1"/>
  <c r="B1071" i="5"/>
  <c r="B1072" i="5" s="1"/>
  <c r="B1083" i="5" s="1"/>
  <c r="B1084" i="5" s="1"/>
  <c r="B1085" i="5" s="1"/>
  <c r="B1155" i="5"/>
  <c r="C1061" i="5"/>
  <c r="C1064" i="5" s="1"/>
  <c r="C1067" i="5" s="1"/>
  <c r="C1068" i="5" s="1"/>
  <c r="C1069" i="5" s="1"/>
  <c r="B1160" i="5" l="1"/>
  <c r="B1114" i="5"/>
  <c r="C1071" i="5"/>
  <c r="C1072" i="5" s="1"/>
  <c r="C1083" i="5" s="1"/>
  <c r="C1084" i="5" s="1"/>
  <c r="C1085" i="5" s="1"/>
  <c r="B1095" i="5" l="1"/>
  <c r="B1146" i="5" s="1"/>
  <c r="B170" i="5"/>
  <c r="C57" i="34"/>
  <c r="BH93" i="34" s="1"/>
  <c r="C52" i="34"/>
  <c r="C88" i="34" s="1"/>
  <c r="BN93" i="34" l="1"/>
  <c r="AM93" i="34"/>
  <c r="U93" i="34"/>
  <c r="AZ93" i="34"/>
  <c r="CL93" i="34"/>
  <c r="P93" i="34"/>
  <c r="D93" i="34"/>
  <c r="BV93" i="34"/>
  <c r="BU93" i="34"/>
  <c r="I93" i="34"/>
  <c r="AT93" i="34"/>
  <c r="BM93" i="34"/>
  <c r="CG93" i="34"/>
  <c r="BY93" i="34"/>
  <c r="CE93" i="34"/>
  <c r="CR93" i="34"/>
  <c r="S93" i="34"/>
  <c r="CD93" i="34"/>
  <c r="AL93" i="34"/>
  <c r="M93" i="34"/>
  <c r="K93" i="34"/>
  <c r="CX93" i="34"/>
  <c r="AV93" i="34"/>
  <c r="BK93" i="34"/>
  <c r="CP93" i="34"/>
  <c r="AD93" i="34"/>
  <c r="AR93" i="34"/>
  <c r="BW93" i="34"/>
  <c r="X93" i="34"/>
  <c r="BQ93" i="34"/>
  <c r="BR93" i="34"/>
  <c r="BL93" i="34"/>
  <c r="BC93" i="34"/>
  <c r="BE93" i="34"/>
  <c r="W93" i="34"/>
  <c r="BP93" i="34"/>
  <c r="CC93" i="34"/>
  <c r="BS93" i="34"/>
  <c r="V93" i="34"/>
  <c r="CA93" i="34"/>
  <c r="AY93" i="34"/>
  <c r="Z93" i="34"/>
  <c r="CN93" i="34"/>
  <c r="AO93" i="34"/>
  <c r="AX93" i="34"/>
  <c r="AS93" i="34"/>
  <c r="AH93" i="34"/>
  <c r="AI93" i="34"/>
  <c r="BB93" i="34"/>
  <c r="AN93" i="34"/>
  <c r="AB93" i="34"/>
  <c r="BZ93" i="34"/>
  <c r="CI93" i="34"/>
  <c r="BX93" i="34"/>
  <c r="CK93" i="34"/>
  <c r="CJ93" i="34"/>
  <c r="CO93" i="34"/>
  <c r="CT93" i="34"/>
  <c r="BG93" i="34"/>
  <c r="N93" i="34"/>
  <c r="AP93" i="34"/>
  <c r="L93" i="34"/>
  <c r="Y93" i="34"/>
  <c r="H93" i="34"/>
  <c r="CM93" i="34"/>
  <c r="CV93" i="34"/>
  <c r="AF93" i="34"/>
  <c r="BT93" i="34"/>
  <c r="BA93" i="34"/>
  <c r="BD93" i="34"/>
  <c r="AQ93" i="34"/>
  <c r="BJ93" i="34"/>
  <c r="C93" i="34"/>
  <c r="AA93" i="34"/>
  <c r="AJ93" i="34"/>
  <c r="AW93" i="34"/>
  <c r="G93" i="34"/>
  <c r="CF93" i="34"/>
  <c r="CS93" i="34"/>
  <c r="E93" i="34"/>
  <c r="CW93" i="34"/>
  <c r="BF93" i="34"/>
  <c r="BO93" i="34"/>
  <c r="CH93" i="34"/>
  <c r="R93" i="34"/>
  <c r="T93" i="34"/>
  <c r="AG93" i="34"/>
  <c r="AE93" i="34"/>
  <c r="AK93" i="34"/>
  <c r="O93" i="34"/>
  <c r="CQ93" i="34"/>
  <c r="BI93" i="34"/>
  <c r="J93" i="34"/>
  <c r="AU93" i="34"/>
  <c r="F93" i="34"/>
  <c r="CB93" i="34"/>
  <c r="CU93" i="34"/>
  <c r="Q93" i="34"/>
  <c r="AC93" i="34"/>
  <c r="A93" i="34" l="1"/>
  <c r="BH80" i="34" l="1"/>
  <c r="S80" i="34"/>
  <c r="I80" i="34"/>
  <c r="W80" i="34"/>
  <c r="BK80" i="34"/>
  <c r="BZ80" i="34"/>
  <c r="N80" i="34"/>
  <c r="AZ80" i="34"/>
  <c r="CL80" i="34"/>
  <c r="Z80" i="34"/>
  <c r="O80" i="34"/>
  <c r="AC80" i="34"/>
  <c r="AE80" i="34"/>
  <c r="AF80" i="34"/>
  <c r="AG80" i="34"/>
  <c r="BL80" i="34"/>
  <c r="AV80" i="34"/>
  <c r="BW80" i="34"/>
  <c r="BR80" i="34"/>
  <c r="F80" i="34"/>
  <c r="AR80" i="34"/>
  <c r="R80" i="34"/>
  <c r="AA80" i="34"/>
  <c r="BO80" i="34"/>
  <c r="AQ80" i="34"/>
  <c r="AS80" i="34"/>
  <c r="AU80" i="34"/>
  <c r="BJ80" i="34"/>
  <c r="AJ80" i="34"/>
  <c r="J80" i="34"/>
  <c r="BD80" i="34"/>
  <c r="M80" i="34"/>
  <c r="BT80" i="34"/>
  <c r="AP80" i="34"/>
  <c r="H80" i="34"/>
  <c r="CH80" i="34"/>
  <c r="CK80" i="34"/>
  <c r="U80" i="34"/>
  <c r="CD80" i="34"/>
  <c r="AN80" i="34"/>
  <c r="BG80" i="34"/>
  <c r="CW80" i="34"/>
  <c r="BB80" i="34"/>
  <c r="CN80" i="34"/>
  <c r="BN80" i="34"/>
  <c r="P80" i="34"/>
  <c r="BQ80" i="34"/>
  <c r="AD80" i="34"/>
  <c r="G80" i="34"/>
  <c r="BU80" i="34"/>
  <c r="CJ80" i="34"/>
  <c r="CV80" i="34"/>
  <c r="BV80" i="34"/>
  <c r="CO80" i="34"/>
  <c r="BE80" i="34"/>
  <c r="CU80" i="34"/>
  <c r="AB80" i="34"/>
  <c r="BA80" i="34"/>
  <c r="BS80" i="34"/>
  <c r="V80" i="34"/>
  <c r="AH80" i="34"/>
  <c r="Q80" i="34"/>
  <c r="AW80" i="34"/>
  <c r="AI80" i="34"/>
  <c r="K80" i="34"/>
  <c r="Y80" i="34"/>
  <c r="AT80" i="34"/>
  <c r="CF80" i="34"/>
  <c r="T80" i="34"/>
  <c r="BF80" i="34"/>
  <c r="AM80" i="34"/>
  <c r="BM80" i="34"/>
  <c r="AO80" i="34"/>
  <c r="CC80" i="34"/>
  <c r="CE80" i="34"/>
  <c r="CG80" i="34"/>
  <c r="L80" i="34"/>
  <c r="CA80" i="34"/>
  <c r="CQ80" i="34"/>
  <c r="CS80" i="34"/>
  <c r="CI80" i="34"/>
  <c r="AK80" i="34"/>
  <c r="BP80" i="34"/>
  <c r="CM80" i="34"/>
  <c r="BI80" i="34"/>
  <c r="X80" i="34"/>
  <c r="CX80" i="34"/>
  <c r="AL80" i="34"/>
  <c r="BX80" i="34"/>
  <c r="AX80" i="34"/>
  <c r="AY80" i="34"/>
  <c r="BC80" i="34"/>
  <c r="CR80" i="34"/>
  <c r="CP80" i="34"/>
  <c r="BY80" i="34"/>
  <c r="CB80" i="34"/>
  <c r="CT80" i="34"/>
  <c r="C80" i="34"/>
  <c r="C118" i="34" s="1"/>
  <c r="BQ118" i="34" l="1"/>
  <c r="BQ143" i="34"/>
  <c r="CP118" i="34"/>
  <c r="CP143" i="34"/>
  <c r="CA118" i="34"/>
  <c r="CA143" i="34"/>
  <c r="BF143" i="34"/>
  <c r="CO118" i="34"/>
  <c r="CO143" i="34"/>
  <c r="BZ118" i="34"/>
  <c r="BZ143" i="34"/>
  <c r="CX118" i="34"/>
  <c r="CX143" i="34"/>
  <c r="CD118" i="34"/>
  <c r="CD143" i="34"/>
  <c r="CR118" i="34"/>
  <c r="CR143" i="34"/>
  <c r="BV118" i="34"/>
  <c r="BV143" i="34"/>
  <c r="BK118" i="34"/>
  <c r="BK143" i="34"/>
  <c r="CM118" i="34"/>
  <c r="CM143" i="34"/>
  <c r="CG118" i="34"/>
  <c r="CG143" i="34"/>
  <c r="CF118" i="34"/>
  <c r="CF143" i="34"/>
  <c r="CV118" i="34"/>
  <c r="CV143" i="34"/>
  <c r="CN118" i="34"/>
  <c r="CN143" i="34"/>
  <c r="CH118" i="34"/>
  <c r="CH143" i="34"/>
  <c r="BJ143" i="34"/>
  <c r="BP118" i="34"/>
  <c r="BP143" i="34"/>
  <c r="CE118" i="34"/>
  <c r="CE143" i="34"/>
  <c r="BS118" i="34"/>
  <c r="BS143" i="34"/>
  <c r="CJ118" i="34"/>
  <c r="CJ143" i="34"/>
  <c r="BR118" i="34"/>
  <c r="BR143" i="34"/>
  <c r="BE143" i="34"/>
  <c r="C143" i="34"/>
  <c r="CC118" i="34"/>
  <c r="CC143" i="34"/>
  <c r="BU118" i="34"/>
  <c r="BU143" i="34"/>
  <c r="CW118" i="34"/>
  <c r="CW143" i="34"/>
  <c r="BW118" i="34"/>
  <c r="BW143" i="34"/>
  <c r="BY118" i="34"/>
  <c r="BY143" i="34"/>
  <c r="BD143" i="34"/>
  <c r="BI143" i="34"/>
  <c r="BN118" i="34"/>
  <c r="BN143" i="34"/>
  <c r="CT118" i="34"/>
  <c r="CT143" i="34"/>
  <c r="BX118" i="34"/>
  <c r="BX143" i="34"/>
  <c r="CI118" i="34"/>
  <c r="CI143" i="34"/>
  <c r="BG143" i="34"/>
  <c r="BT118" i="34"/>
  <c r="BT143" i="34"/>
  <c r="CL118" i="34"/>
  <c r="CL143" i="34"/>
  <c r="BH143" i="34"/>
  <c r="CQ118" i="34"/>
  <c r="CQ143" i="34"/>
  <c r="CK118" i="34"/>
  <c r="CK143" i="34"/>
  <c r="CB118" i="34"/>
  <c r="CB143" i="34"/>
  <c r="CS118" i="34"/>
  <c r="CS143" i="34"/>
  <c r="BM118" i="34"/>
  <c r="BM143" i="34"/>
  <c r="CU118" i="34"/>
  <c r="CU143" i="34"/>
  <c r="BO118" i="34"/>
  <c r="BO143" i="34"/>
  <c r="BL118" i="34"/>
  <c r="BL143" i="34"/>
  <c r="CO152" i="34"/>
  <c r="CO153" i="34" s="1"/>
  <c r="BZ152" i="34"/>
  <c r="BZ153" i="34" s="1"/>
  <c r="CK152" i="34"/>
  <c r="CK153" i="34" s="1"/>
  <c r="CP152" i="34"/>
  <c r="CP153" i="34" s="1"/>
  <c r="CR152" i="34"/>
  <c r="CR153" i="34" s="1"/>
  <c r="CV152" i="34"/>
  <c r="CV153" i="34" s="1"/>
  <c r="CH152" i="34"/>
  <c r="CH153" i="34" s="1"/>
  <c r="BQ152" i="34"/>
  <c r="BQ153" i="34" s="1"/>
  <c r="CC152" i="34"/>
  <c r="CC153" i="34" s="1"/>
  <c r="BS152" i="34"/>
  <c r="BS153" i="34" s="1"/>
  <c r="CJ152" i="34"/>
  <c r="CJ153" i="34" s="1"/>
  <c r="BR152" i="34"/>
  <c r="BR153" i="34" s="1"/>
  <c r="CT152" i="34"/>
  <c r="CT153" i="34" s="1"/>
  <c r="BX152" i="34"/>
  <c r="BX153" i="34" s="1"/>
  <c r="CI152" i="34"/>
  <c r="CI153" i="34" s="1"/>
  <c r="CB152" i="34"/>
  <c r="CB153" i="34" s="1"/>
  <c r="BT152" i="34"/>
  <c r="BT153" i="34" s="1"/>
  <c r="BY152" i="34"/>
  <c r="BY153" i="34" s="1"/>
  <c r="CX152" i="34"/>
  <c r="CX153" i="34" s="1"/>
  <c r="CU152" i="34"/>
  <c r="CU153" i="34" s="1"/>
  <c r="BO152" i="34"/>
  <c r="BO153" i="34" s="1"/>
  <c r="A100" i="34" l="1"/>
  <c r="BU152" i="34"/>
  <c r="BU153" i="34" s="1"/>
  <c r="BV152" i="34"/>
  <c r="BV153" i="34" s="1"/>
  <c r="CF152" i="34"/>
  <c r="CF153" i="34" s="1"/>
  <c r="BW152" i="34"/>
  <c r="BW153" i="34" s="1"/>
  <c r="CE152" i="34"/>
  <c r="CE153" i="34" s="1"/>
  <c r="BK152" i="34"/>
  <c r="BK153" i="34" s="1"/>
  <c r="CQ152" i="34"/>
  <c r="CQ153" i="34" s="1"/>
  <c r="BP152" i="34"/>
  <c r="BP153" i="34" s="1"/>
  <c r="CG152" i="34"/>
  <c r="CG153" i="34" s="1"/>
  <c r="BM152" i="34"/>
  <c r="BM153" i="34" s="1"/>
  <c r="CN152" i="34"/>
  <c r="CN153" i="34" s="1"/>
  <c r="CA152" i="34"/>
  <c r="CA153" i="34" s="1"/>
  <c r="CW152" i="34"/>
  <c r="CW153" i="34" s="1"/>
  <c r="BN152" i="34"/>
  <c r="BN153" i="34" s="1"/>
  <c r="CM152" i="34"/>
  <c r="CM153" i="34" s="1"/>
  <c r="CD152" i="34"/>
  <c r="CD153" i="34" s="1"/>
  <c r="BL152" i="34"/>
  <c r="BL153" i="34" s="1"/>
  <c r="CL152" i="34"/>
  <c r="CL153" i="34" s="1"/>
  <c r="CS152" i="34"/>
  <c r="CS153" i="34" s="1"/>
  <c r="BD110" i="34" l="1"/>
  <c r="BD118" i="34" s="1"/>
  <c r="BH110" i="34"/>
  <c r="BH118" i="34" s="1"/>
  <c r="BF110" i="34"/>
  <c r="BF118" i="34" s="1"/>
  <c r="BE110" i="34"/>
  <c r="BE114" i="34" s="1"/>
  <c r="BE150" i="34" s="1"/>
  <c r="BE152" i="34" s="1"/>
  <c r="BE153" i="34" s="1"/>
  <c r="BJ110" i="34"/>
  <c r="BJ114" i="34" s="1"/>
  <c r="BJ150" i="34" s="1"/>
  <c r="BJ152" i="34" s="1"/>
  <c r="BJ153" i="34" s="1"/>
  <c r="BG110" i="34"/>
  <c r="BG118" i="34" s="1"/>
  <c r="BI110" i="34"/>
  <c r="BD114" i="34" l="1"/>
  <c r="BD150" i="34" s="1"/>
  <c r="BD152" i="34" s="1"/>
  <c r="BD153" i="34" s="1"/>
  <c r="BJ118" i="34"/>
  <c r="BH114" i="34"/>
  <c r="BH150" i="34" s="1"/>
  <c r="BH152" i="34" s="1"/>
  <c r="BH153" i="34" s="1"/>
  <c r="BF114" i="34"/>
  <c r="BF150" i="34" s="1"/>
  <c r="BF152" i="34" s="1"/>
  <c r="BF153" i="34" s="1"/>
  <c r="BE118" i="34"/>
  <c r="BG114" i="34"/>
  <c r="BG150" i="34" s="1"/>
  <c r="BG152" i="34" s="1"/>
  <c r="BG153" i="34" s="1"/>
  <c r="BI114" i="34"/>
  <c r="BI150" i="34" s="1"/>
  <c r="BI152" i="34" s="1"/>
  <c r="BI153" i="34" s="1"/>
  <c r="BI118" i="34"/>
  <c r="BC88" i="34" l="1"/>
  <c r="AD88" i="34"/>
  <c r="CD88" i="34"/>
  <c r="BQ88" i="34"/>
  <c r="AH88" i="34"/>
  <c r="Q88" i="34"/>
  <c r="CA88" i="34"/>
  <c r="CF88" i="34"/>
  <c r="N88" i="34"/>
  <c r="E88" i="34"/>
  <c r="BF88" i="34"/>
  <c r="H88" i="34"/>
  <c r="CH88" i="34"/>
  <c r="BT88" i="34"/>
  <c r="AO88" i="34"/>
  <c r="G88" i="34"/>
  <c r="AZ88" i="34"/>
  <c r="CG88" i="34"/>
  <c r="X88" i="34"/>
  <c r="K88" i="34"/>
  <c r="AN88" i="34"/>
  <c r="BE88" i="34"/>
  <c r="BL88" i="34"/>
  <c r="AR88" i="34"/>
  <c r="CU88" i="34"/>
  <c r="AX88" i="34"/>
  <c r="BJ88" i="34"/>
  <c r="CB88" i="34"/>
  <c r="CI88" i="34"/>
  <c r="L88" i="34"/>
  <c r="CJ88" i="34"/>
  <c r="F88" i="34"/>
  <c r="AF88" i="34"/>
  <c r="BS88" i="34"/>
  <c r="CE88" i="34"/>
  <c r="CM88" i="34"/>
  <c r="P88" i="34"/>
  <c r="T88" i="34"/>
  <c r="BZ88" i="34"/>
  <c r="CV88" i="34"/>
  <c r="BW88" i="34"/>
  <c r="AB88" i="34"/>
  <c r="Z88" i="34"/>
  <c r="AU88" i="34"/>
  <c r="AA88" i="34"/>
  <c r="W88" i="34"/>
  <c r="AL88" i="34"/>
  <c r="AK88" i="34"/>
  <c r="AT88" i="34"/>
  <c r="I88" i="34"/>
  <c r="CQ88" i="34"/>
  <c r="CT88" i="34"/>
  <c r="AE88" i="34"/>
  <c r="BP88" i="34"/>
  <c r="BD88" i="34"/>
  <c r="AJ88" i="34"/>
  <c r="AV88" i="34"/>
  <c r="CK88" i="34"/>
  <c r="M88" i="34"/>
  <c r="BX88" i="34"/>
  <c r="BK88" i="34"/>
  <c r="CC88" i="34"/>
  <c r="BB88" i="34"/>
  <c r="AS88" i="34"/>
  <c r="U88" i="34"/>
  <c r="AM88" i="34"/>
  <c r="BA88" i="34"/>
  <c r="S88" i="34"/>
  <c r="AQ88" i="34"/>
  <c r="BU88" i="34"/>
  <c r="BN88" i="34"/>
  <c r="CR88" i="34"/>
  <c r="AG88" i="34"/>
  <c r="CO88" i="34"/>
  <c r="BM88" i="34"/>
  <c r="BI88" i="34"/>
  <c r="BO88" i="34"/>
  <c r="CN88" i="34"/>
  <c r="BY88" i="34"/>
  <c r="V88" i="34"/>
  <c r="R88" i="34"/>
  <c r="D88" i="34"/>
  <c r="CX88" i="34"/>
  <c r="BH88" i="34"/>
  <c r="BR88" i="34"/>
  <c r="BG88" i="34"/>
  <c r="AC88" i="34"/>
  <c r="AW88" i="34"/>
  <c r="AP88" i="34"/>
  <c r="CP88" i="34"/>
  <c r="CL88" i="34"/>
  <c r="AI88" i="34"/>
  <c r="Y88" i="34"/>
  <c r="J88" i="34"/>
  <c r="AY88" i="34"/>
  <c r="BV88" i="34"/>
  <c r="CW88" i="34"/>
  <c r="O88" i="34"/>
  <c r="CS88" i="34"/>
  <c r="A88" i="34" l="1"/>
  <c r="B41" i="5" l="1"/>
  <c r="B758" i="5" l="1"/>
  <c r="B759" i="5" s="1"/>
  <c r="B763" i="5" s="1"/>
  <c r="B42" i="5"/>
  <c r="B90" i="5" l="1"/>
  <c r="G545" i="5" s="1"/>
  <c r="B91" i="5"/>
  <c r="F545" i="5" s="1"/>
  <c r="B97" i="5"/>
  <c r="B766" i="5" s="1"/>
  <c r="B767" i="5" s="1"/>
  <c r="C545" i="5" l="1"/>
  <c r="B545" i="5"/>
  <c r="D545" i="5"/>
  <c r="B575" i="5" s="1"/>
  <c r="E545" i="5"/>
  <c r="B774" i="5" l="1"/>
  <c r="B776" i="5" s="1"/>
  <c r="AF236" i="5" a="1"/>
  <c r="AF236" i="5" s="1"/>
  <c r="AF233" i="5" a="1"/>
  <c r="AF233" i="5" s="1"/>
  <c r="AF234" i="5" a="1"/>
  <c r="AF234" i="5" s="1"/>
  <c r="AF235" i="5" a="1"/>
  <c r="AF235" i="5" s="1"/>
  <c r="AF232" i="5" a="1"/>
  <c r="AF232" i="5" s="1"/>
  <c r="AH236" i="5" a="1"/>
  <c r="AH236" i="5" s="1"/>
  <c r="AH235" i="5" a="1"/>
  <c r="AH235" i="5" s="1"/>
  <c r="AH233" i="5" a="1"/>
  <c r="AH233" i="5" s="1"/>
  <c r="AH234" i="5" a="1"/>
  <c r="AH234" i="5" s="1"/>
  <c r="AH232" i="5" a="1"/>
  <c r="AH232" i="5" s="1"/>
  <c r="B780" i="5" l="1"/>
  <c r="B783" i="5" s="1"/>
  <c r="B786" i="5" s="1"/>
  <c r="B777" i="5"/>
  <c r="B778" i="5" s="1"/>
  <c r="AH242" i="5"/>
  <c r="AF242" i="5"/>
  <c r="B28" i="5" s="1"/>
  <c r="B29" i="5" s="1"/>
  <c r="B1129" i="5" s="1"/>
  <c r="B787" i="5" l="1"/>
  <c r="B788" i="5"/>
  <c r="B30" i="5"/>
  <c r="B1118" i="5" s="1"/>
  <c r="B1121" i="5" s="1"/>
  <c r="B1135" i="5" s="1"/>
  <c r="B784" i="5" l="1"/>
  <c r="B31" i="5"/>
  <c r="B1112" i="5"/>
  <c r="B1115" i="5" s="1"/>
  <c r="B1134" i="5" s="1"/>
  <c r="B1136" i="5" s="1"/>
  <c r="B1181" i="5" s="1"/>
  <c r="C71" i="34" l="1"/>
  <c r="D106" i="34" s="1"/>
  <c r="AE106" i="34" l="1"/>
  <c r="AF106" i="34"/>
  <c r="AG106" i="34"/>
  <c r="AH106" i="34"/>
  <c r="AI106" i="34"/>
  <c r="AJ106" i="34"/>
  <c r="AK106" i="34"/>
  <c r="AL106" i="34"/>
  <c r="AM106" i="34"/>
  <c r="AN106" i="34"/>
  <c r="AO106" i="34"/>
  <c r="AP106" i="34"/>
  <c r="AQ106" i="34"/>
  <c r="AR106" i="34"/>
  <c r="AS106" i="34"/>
  <c r="AT106" i="34"/>
  <c r="AU106" i="34"/>
  <c r="AV106" i="34"/>
  <c r="AW106" i="34"/>
  <c r="AX106" i="34"/>
  <c r="AY106" i="34"/>
  <c r="AZ106" i="34"/>
  <c r="BA106" i="34"/>
  <c r="BB106" i="34"/>
  <c r="BC106" i="34"/>
  <c r="Z106" i="34"/>
  <c r="AA106" i="34"/>
  <c r="AB106" i="34"/>
  <c r="AC106" i="34"/>
  <c r="AD106" i="34"/>
  <c r="F106" i="34"/>
  <c r="E106" i="34"/>
  <c r="X106" i="34"/>
  <c r="W106" i="34"/>
  <c r="U106" i="34"/>
  <c r="T106" i="34"/>
  <c r="S106" i="34"/>
  <c r="R106" i="34"/>
  <c r="Q106" i="34"/>
  <c r="Y106" i="34"/>
  <c r="L106" i="34"/>
  <c r="P106" i="34"/>
  <c r="O106" i="34"/>
  <c r="M106" i="34"/>
  <c r="K106" i="34"/>
  <c r="J106" i="34"/>
  <c r="H106" i="34"/>
  <c r="G106" i="34"/>
  <c r="I106" i="34"/>
  <c r="V106" i="34"/>
  <c r="N106" i="34"/>
  <c r="B791" i="5"/>
  <c r="B792" i="5" s="1"/>
  <c r="B1147" i="5" s="1"/>
  <c r="AC4" i="11" l="1"/>
  <c r="A106" i="34"/>
  <c r="J15" i="86" l="1"/>
  <c r="I15" i="86" s="1"/>
  <c r="L122" i="34"/>
  <c r="H122" i="34"/>
  <c r="I122" i="34"/>
  <c r="J122" i="34"/>
  <c r="K122" i="34"/>
  <c r="B955" i="5"/>
  <c r="B953" i="5" s="1"/>
  <c r="B484" i="5" l="1"/>
  <c r="B952" i="5"/>
  <c r="B956" i="5" s="1"/>
  <c r="B1159" i="5" l="1"/>
  <c r="B567" i="5"/>
  <c r="B570" i="5" s="1"/>
  <c r="B485" i="5"/>
  <c r="B486" i="5" s="1"/>
  <c r="B499" i="5"/>
  <c r="B501" i="5" s="1"/>
  <c r="C499" i="5"/>
  <c r="C501" i="5" s="1"/>
  <c r="B750" i="5"/>
  <c r="B957" i="5"/>
  <c r="B958" i="5" s="1"/>
  <c r="B982" i="5" s="1"/>
  <c r="B947" i="5"/>
  <c r="B973" i="5" s="1"/>
  <c r="B975" i="5" s="1"/>
  <c r="B976" i="5" s="1"/>
  <c r="B977" i="5" s="1"/>
  <c r="B978" i="5" s="1"/>
  <c r="B1144" i="5" l="1"/>
  <c r="B1169" i="5"/>
  <c r="B1171" i="5" s="1"/>
  <c r="B1182" i="5" s="1"/>
  <c r="B504" i="5"/>
  <c r="B506" i="5"/>
  <c r="B1157" i="5"/>
  <c r="B494" i="5"/>
  <c r="B1142" i="5" s="1"/>
  <c r="B984" i="5"/>
  <c r="B985" i="5" s="1"/>
  <c r="B986" i="5" s="1"/>
  <c r="B987" i="5" s="1"/>
  <c r="B997" i="5" s="1"/>
  <c r="C506" i="5"/>
  <c r="C504" i="5"/>
  <c r="B512" i="5"/>
  <c r="B491" i="5"/>
  <c r="B489" i="5"/>
  <c r="B487" i="5"/>
  <c r="B488" i="5"/>
  <c r="B490" i="5"/>
  <c r="C56" i="34"/>
  <c r="B959" i="5"/>
  <c r="B996" i="5" l="1"/>
  <c r="B1001" i="5" s="1"/>
  <c r="B1156" i="5" s="1"/>
  <c r="B513" i="5"/>
  <c r="B1158" i="5" s="1"/>
  <c r="B171" i="5" s="1"/>
  <c r="B515" i="5"/>
  <c r="B1143" i="5" s="1"/>
  <c r="B1004" i="5"/>
  <c r="B1006" i="5" s="1"/>
  <c r="B1148" i="5" s="1"/>
  <c r="B1002" i="5"/>
  <c r="B1161" i="5" s="1"/>
  <c r="C54" i="34"/>
  <c r="S92" i="34"/>
  <c r="T92" i="34"/>
  <c r="BV92" i="34"/>
  <c r="AE92" i="34"/>
  <c r="CP92" i="34"/>
  <c r="BY92" i="34"/>
  <c r="J92" i="34"/>
  <c r="V92" i="34"/>
  <c r="Q92" i="34"/>
  <c r="CN92" i="34"/>
  <c r="CM92" i="34"/>
  <c r="BG92" i="34"/>
  <c r="AZ92" i="34"/>
  <c r="BI92" i="34"/>
  <c r="AG92" i="34"/>
  <c r="L92" i="34"/>
  <c r="AL92" i="34"/>
  <c r="AV92" i="34"/>
  <c r="CE92" i="34"/>
  <c r="AB92" i="34"/>
  <c r="BM92" i="34"/>
  <c r="AP92" i="34"/>
  <c r="BJ92" i="34"/>
  <c r="AC92" i="34"/>
  <c r="AW92" i="34"/>
  <c r="BR92" i="34"/>
  <c r="U92" i="34"/>
  <c r="BS92" i="34"/>
  <c r="Y92" i="34"/>
  <c r="AQ92" i="34"/>
  <c r="AJ92" i="34"/>
  <c r="K92" i="34"/>
  <c r="CX92" i="34"/>
  <c r="CC92" i="34"/>
  <c r="BX92" i="34"/>
  <c r="AH92" i="34"/>
  <c r="AD92" i="34"/>
  <c r="CB92" i="34"/>
  <c r="AI92" i="34"/>
  <c r="BO92" i="34"/>
  <c r="P92" i="34"/>
  <c r="H92" i="34"/>
  <c r="CK92" i="34"/>
  <c r="AO92" i="34"/>
  <c r="CI92" i="34"/>
  <c r="W92" i="34"/>
  <c r="G92" i="34"/>
  <c r="I92" i="34"/>
  <c r="N92" i="34"/>
  <c r="CL92" i="34"/>
  <c r="CA92" i="34"/>
  <c r="BK92" i="34"/>
  <c r="CH92" i="34"/>
  <c r="BL92" i="34"/>
  <c r="AN92" i="34"/>
  <c r="BE92" i="34"/>
  <c r="CQ92" i="34"/>
  <c r="BZ92" i="34"/>
  <c r="BD92" i="34"/>
  <c r="BB92" i="34"/>
  <c r="AX92" i="34"/>
  <c r="CF92" i="34"/>
  <c r="C92" i="34"/>
  <c r="CV92" i="34"/>
  <c r="BT92" i="34"/>
  <c r="D92" i="34"/>
  <c r="AA92" i="34"/>
  <c r="O92" i="34"/>
  <c r="AK92" i="34"/>
  <c r="BU92" i="34"/>
  <c r="R92" i="34"/>
  <c r="CT92" i="34"/>
  <c r="BW92" i="34"/>
  <c r="BC92" i="34"/>
  <c r="BA92" i="34"/>
  <c r="BF92" i="34"/>
  <c r="CJ92" i="34"/>
  <c r="BP92" i="34"/>
  <c r="X92" i="34"/>
  <c r="BN92" i="34"/>
  <c r="CW92" i="34"/>
  <c r="AU92" i="34"/>
  <c r="CG92" i="34"/>
  <c r="AR92" i="34"/>
  <c r="CU92" i="34"/>
  <c r="CR92" i="34"/>
  <c r="CO92" i="34"/>
  <c r="AY92" i="34"/>
  <c r="BH92" i="34"/>
  <c r="AT92" i="34"/>
  <c r="E92" i="34"/>
  <c r="CD92" i="34"/>
  <c r="BQ92" i="34"/>
  <c r="AS92" i="34"/>
  <c r="F92" i="34"/>
  <c r="AM92" i="34"/>
  <c r="CS92" i="34"/>
  <c r="Z92" i="34"/>
  <c r="AF92" i="34"/>
  <c r="M92" i="34"/>
  <c r="J14" i="86" l="1"/>
  <c r="J16" i="86" s="1"/>
  <c r="I16" i="86" s="1"/>
  <c r="C55" i="34"/>
  <c r="U91" i="34" s="1"/>
  <c r="B1180" i="5"/>
  <c r="B1150" i="5"/>
  <c r="B1152" i="5" s="1"/>
  <c r="C72" i="34"/>
  <c r="AG107" i="34" s="1"/>
  <c r="B169" i="5"/>
  <c r="B1179" i="5"/>
  <c r="B1163" i="5"/>
  <c r="AN90" i="34"/>
  <c r="BA90" i="34"/>
  <c r="AV90" i="34"/>
  <c r="BN90" i="34"/>
  <c r="CC90" i="34"/>
  <c r="BX90" i="34"/>
  <c r="AQ90" i="34"/>
  <c r="AL90" i="34"/>
  <c r="CI90" i="34"/>
  <c r="CX90" i="34"/>
  <c r="AC90" i="34"/>
  <c r="BB90" i="34"/>
  <c r="CB90" i="34"/>
  <c r="CH90" i="34"/>
  <c r="R90" i="34"/>
  <c r="O90" i="34"/>
  <c r="H90" i="34"/>
  <c r="V90" i="34"/>
  <c r="AE90" i="34"/>
  <c r="CS90" i="34"/>
  <c r="AM90" i="34"/>
  <c r="W90" i="34"/>
  <c r="AZ90" i="34"/>
  <c r="AY90" i="34"/>
  <c r="Z90" i="34"/>
  <c r="CK90" i="34"/>
  <c r="S90" i="34"/>
  <c r="P90" i="34"/>
  <c r="Q90" i="34"/>
  <c r="AJ90" i="34"/>
  <c r="AI90" i="34"/>
  <c r="BI90" i="34"/>
  <c r="BZ90" i="34"/>
  <c r="AD90" i="34"/>
  <c r="L90" i="34"/>
  <c r="AX90" i="34"/>
  <c r="BF90" i="34"/>
  <c r="BE90" i="34"/>
  <c r="D90" i="34"/>
  <c r="BD90" i="34"/>
  <c r="CQ90" i="34"/>
  <c r="C90" i="34"/>
  <c r="AU90" i="34"/>
  <c r="AP90" i="34"/>
  <c r="CL90" i="34"/>
  <c r="J90" i="34"/>
  <c r="AA90" i="34"/>
  <c r="AH90" i="34"/>
  <c r="AF90" i="34"/>
  <c r="BY90" i="34"/>
  <c r="CG90" i="34"/>
  <c r="CN90" i="34"/>
  <c r="X90" i="34"/>
  <c r="F90" i="34"/>
  <c r="CF90" i="34"/>
  <c r="AR90" i="34"/>
  <c r="BS90" i="34"/>
  <c r="K90" i="34"/>
  <c r="U90" i="34"/>
  <c r="BJ90" i="34"/>
  <c r="CU90" i="34"/>
  <c r="AG90" i="34"/>
  <c r="CR90" i="34"/>
  <c r="BP90" i="34"/>
  <c r="CA90" i="34"/>
  <c r="Y90" i="34"/>
  <c r="CW90" i="34"/>
  <c r="AK90" i="34"/>
  <c r="BW90" i="34"/>
  <c r="AW90" i="34"/>
  <c r="BT90" i="34"/>
  <c r="CO90" i="34"/>
  <c r="CM90" i="34"/>
  <c r="CP90" i="34"/>
  <c r="BC90" i="34"/>
  <c r="E90" i="34"/>
  <c r="AS90" i="34"/>
  <c r="BG90" i="34"/>
  <c r="CJ90" i="34"/>
  <c r="AT90" i="34"/>
  <c r="I90" i="34"/>
  <c r="CE90" i="34"/>
  <c r="BR90" i="34"/>
  <c r="CT90" i="34"/>
  <c r="BO90" i="34"/>
  <c r="G90" i="34"/>
  <c r="AB90" i="34"/>
  <c r="BK90" i="34"/>
  <c r="N90" i="34"/>
  <c r="AO90" i="34"/>
  <c r="T90" i="34"/>
  <c r="BV90" i="34"/>
  <c r="CV90" i="34"/>
  <c r="BU90" i="34"/>
  <c r="BM90" i="34"/>
  <c r="BL90" i="34"/>
  <c r="BQ90" i="34"/>
  <c r="CD90" i="34"/>
  <c r="M90" i="34"/>
  <c r="BH90" i="34"/>
  <c r="A92" i="34"/>
  <c r="C58" i="34"/>
  <c r="AB107" i="34" l="1"/>
  <c r="AI107" i="34"/>
  <c r="I14" i="86"/>
  <c r="AD107" i="34"/>
  <c r="BC107" i="34"/>
  <c r="BA91" i="34"/>
  <c r="E91" i="34"/>
  <c r="CW91" i="34"/>
  <c r="BW91" i="34"/>
  <c r="Y91" i="34"/>
  <c r="CV91" i="34"/>
  <c r="S91" i="34"/>
  <c r="AS91" i="34"/>
  <c r="P91" i="34"/>
  <c r="BG91" i="34"/>
  <c r="CO91" i="34"/>
  <c r="AT91" i="34"/>
  <c r="BQ91" i="34"/>
  <c r="V91" i="34"/>
  <c r="AL91" i="34"/>
  <c r="CL91" i="34"/>
  <c r="BL91" i="34"/>
  <c r="BM91" i="34"/>
  <c r="BC91" i="34"/>
  <c r="AJ91" i="34"/>
  <c r="BR91" i="34"/>
  <c r="Z91" i="34"/>
  <c r="AK91" i="34"/>
  <c r="AU91" i="34"/>
  <c r="CK91" i="34"/>
  <c r="AQ91" i="34"/>
  <c r="CJ91" i="34"/>
  <c r="CM91" i="34"/>
  <c r="N91" i="34"/>
  <c r="AY91" i="34"/>
  <c r="Q91" i="34"/>
  <c r="K91" i="34"/>
  <c r="AW91" i="34"/>
  <c r="CB91" i="34"/>
  <c r="CQ91" i="34"/>
  <c r="AC91" i="34"/>
  <c r="BY91" i="34"/>
  <c r="AF91" i="34"/>
  <c r="AV91" i="34"/>
  <c r="CF91" i="34"/>
  <c r="AR91" i="34"/>
  <c r="CG91" i="34"/>
  <c r="BZ91" i="34"/>
  <c r="BB91" i="34"/>
  <c r="BV91" i="34"/>
  <c r="L91" i="34"/>
  <c r="CN91" i="34"/>
  <c r="CU91" i="34"/>
  <c r="G91" i="34"/>
  <c r="BK91" i="34"/>
  <c r="CR91" i="34"/>
  <c r="AN91" i="34"/>
  <c r="BN91" i="34"/>
  <c r="I91" i="34"/>
  <c r="CI91" i="34"/>
  <c r="X91" i="34"/>
  <c r="BT91" i="34"/>
  <c r="CA91" i="34"/>
  <c r="CP91" i="34"/>
  <c r="J91" i="34"/>
  <c r="BH91" i="34"/>
  <c r="CC91" i="34"/>
  <c r="CX91" i="34"/>
  <c r="BP91" i="34"/>
  <c r="AE91" i="34"/>
  <c r="BX91" i="34"/>
  <c r="BS91" i="34"/>
  <c r="F91" i="34"/>
  <c r="BO91" i="34"/>
  <c r="CE91" i="34"/>
  <c r="AO91" i="34"/>
  <c r="BJ91" i="34"/>
  <c r="M91" i="34"/>
  <c r="BE91" i="34"/>
  <c r="CH91" i="34"/>
  <c r="CD91" i="34"/>
  <c r="T91" i="34"/>
  <c r="H91" i="34"/>
  <c r="AH91" i="34"/>
  <c r="O91" i="34"/>
  <c r="AM91" i="34"/>
  <c r="CS91" i="34"/>
  <c r="BU91" i="34"/>
  <c r="BF91" i="34"/>
  <c r="AD91" i="34"/>
  <c r="AZ91" i="34"/>
  <c r="AP91" i="34"/>
  <c r="AX91" i="34"/>
  <c r="BI91" i="34"/>
  <c r="AB91" i="34"/>
  <c r="AI91" i="34"/>
  <c r="AG91" i="34"/>
  <c r="R91" i="34"/>
  <c r="AA91" i="34"/>
  <c r="CT91" i="34"/>
  <c r="W91" i="34"/>
  <c r="C91" i="34"/>
  <c r="D91" i="34"/>
  <c r="BD91" i="34"/>
  <c r="Y107" i="34"/>
  <c r="X107" i="34"/>
  <c r="B1151" i="5"/>
  <c r="C69" i="34"/>
  <c r="B1183" i="5"/>
  <c r="B1184" i="5" s="1"/>
  <c r="B1191" i="5" s="1"/>
  <c r="C70" i="34"/>
  <c r="D105" i="34" s="1"/>
  <c r="B1187" i="5"/>
  <c r="I17" i="86" s="1"/>
  <c r="A90" i="34"/>
  <c r="C53" i="34"/>
  <c r="AP89" i="34" s="1"/>
  <c r="D172" i="5"/>
  <c r="C30" i="34" s="1"/>
  <c r="C94" i="34"/>
  <c r="AR94" i="34"/>
  <c r="BY94" i="34"/>
  <c r="BV94" i="34"/>
  <c r="H94" i="34"/>
  <c r="N94" i="34"/>
  <c r="BT94" i="34"/>
  <c r="AM94" i="34"/>
  <c r="BR94" i="34"/>
  <c r="BM94" i="34"/>
  <c r="O94" i="34"/>
  <c r="BL94" i="34"/>
  <c r="AN94" i="34"/>
  <c r="AK94" i="34"/>
  <c r="AA94" i="34"/>
  <c r="CW94" i="34"/>
  <c r="BO94" i="34"/>
  <c r="Q94" i="34"/>
  <c r="CJ94" i="34"/>
  <c r="L94" i="34"/>
  <c r="K94" i="34"/>
  <c r="BF94" i="34"/>
  <c r="CA94" i="34"/>
  <c r="BZ94" i="34"/>
  <c r="W94" i="34"/>
  <c r="BQ94" i="34"/>
  <c r="CL94" i="34"/>
  <c r="BN94" i="34"/>
  <c r="I94" i="34"/>
  <c r="CM94" i="34"/>
  <c r="BG94" i="34"/>
  <c r="CS94" i="34"/>
  <c r="CP94" i="34"/>
  <c r="CT94" i="34"/>
  <c r="CR94" i="34"/>
  <c r="CD94" i="34"/>
  <c r="Y94" i="34"/>
  <c r="CU94" i="34"/>
  <c r="CF94" i="34"/>
  <c r="BD94" i="34"/>
  <c r="AQ94" i="34"/>
  <c r="AT94" i="34"/>
  <c r="AB94" i="34"/>
  <c r="Z94" i="34"/>
  <c r="AU94" i="34"/>
  <c r="CI94" i="34"/>
  <c r="V94" i="34"/>
  <c r="J94" i="34"/>
  <c r="AF94" i="34"/>
  <c r="AJ94" i="34"/>
  <c r="D94" i="34"/>
  <c r="F94" i="34"/>
  <c r="U94" i="34"/>
  <c r="BC94" i="34"/>
  <c r="BI94" i="34"/>
  <c r="BK94" i="34"/>
  <c r="P94" i="34"/>
  <c r="CC94" i="34"/>
  <c r="S94" i="34"/>
  <c r="AW94" i="34"/>
  <c r="BA94" i="34"/>
  <c r="AL94" i="34"/>
  <c r="BX94" i="34"/>
  <c r="CQ94" i="34"/>
  <c r="G94" i="34"/>
  <c r="BB94" i="34"/>
  <c r="R94" i="34"/>
  <c r="CG94" i="34"/>
  <c r="T94" i="34"/>
  <c r="CN94" i="34"/>
  <c r="CO94" i="34"/>
  <c r="E94" i="34"/>
  <c r="AI94" i="34"/>
  <c r="CX94" i="34"/>
  <c r="BU94" i="34"/>
  <c r="AV94" i="34"/>
  <c r="AE94" i="34"/>
  <c r="CV94" i="34"/>
  <c r="X94" i="34"/>
  <c r="AS94" i="34"/>
  <c r="AY94" i="34"/>
  <c r="CK94" i="34"/>
  <c r="CB94" i="34"/>
  <c r="AH94" i="34"/>
  <c r="BH94" i="34"/>
  <c r="AO94" i="34"/>
  <c r="BW94" i="34"/>
  <c r="AP94" i="34"/>
  <c r="AG94" i="34"/>
  <c r="AD94" i="34"/>
  <c r="M94" i="34"/>
  <c r="BJ94" i="34"/>
  <c r="CH94" i="34"/>
  <c r="AX94" i="34"/>
  <c r="CE94" i="34"/>
  <c r="BS94" i="34"/>
  <c r="AC94" i="34"/>
  <c r="BP94" i="34"/>
  <c r="BE94" i="34"/>
  <c r="AZ94" i="34"/>
  <c r="AF104" i="34" l="1"/>
  <c r="D104" i="34"/>
  <c r="AK104" i="34"/>
  <c r="AI104" i="34"/>
  <c r="AJ104" i="34"/>
  <c r="AE104" i="34"/>
  <c r="AH104" i="34"/>
  <c r="AG104" i="34"/>
  <c r="E105" i="34"/>
  <c r="AL105" i="34"/>
  <c r="AM105" i="34"/>
  <c r="AN105" i="34"/>
  <c r="AO105" i="34"/>
  <c r="AP105" i="34"/>
  <c r="AQ105" i="34"/>
  <c r="AR105" i="34"/>
  <c r="AS105" i="34"/>
  <c r="AT105" i="34"/>
  <c r="AU105" i="34"/>
  <c r="AV105" i="34"/>
  <c r="AW105" i="34"/>
  <c r="AX105" i="34"/>
  <c r="AY105" i="34"/>
  <c r="AZ105" i="34"/>
  <c r="BA105" i="34"/>
  <c r="BB105" i="34"/>
  <c r="BC105" i="34"/>
  <c r="AD104" i="34"/>
  <c r="AL104" i="34"/>
  <c r="AM104" i="34"/>
  <c r="AN104" i="34"/>
  <c r="AO104" i="34"/>
  <c r="AP104" i="34"/>
  <c r="AQ104" i="34"/>
  <c r="AR104" i="34"/>
  <c r="AS104" i="34"/>
  <c r="AT104" i="34"/>
  <c r="AU104" i="34"/>
  <c r="AV104" i="34"/>
  <c r="AW104" i="34"/>
  <c r="AX104" i="34"/>
  <c r="AY104" i="34"/>
  <c r="AZ104" i="34"/>
  <c r="BA104" i="34"/>
  <c r="BB104" i="34"/>
  <c r="BC104" i="34"/>
  <c r="E4" i="86"/>
  <c r="AP96" i="34"/>
  <c r="AP109" i="34" s="1"/>
  <c r="E35" i="86"/>
  <c r="A91" i="34"/>
  <c r="AC104" i="34"/>
  <c r="AB104" i="34"/>
  <c r="Z104" i="34"/>
  <c r="N104" i="34"/>
  <c r="E104" i="34"/>
  <c r="A107" i="34"/>
  <c r="X104" i="34"/>
  <c r="W104" i="34"/>
  <c r="R104" i="34"/>
  <c r="L104" i="34"/>
  <c r="G104" i="34"/>
  <c r="V104" i="34"/>
  <c r="M104" i="34"/>
  <c r="P104" i="34"/>
  <c r="F104" i="34"/>
  <c r="F105" i="34"/>
  <c r="G105" i="34"/>
  <c r="U104" i="34"/>
  <c r="K104" i="34"/>
  <c r="T104" i="34"/>
  <c r="J104" i="34"/>
  <c r="AA104" i="34"/>
  <c r="S104" i="34"/>
  <c r="Y104" i="34"/>
  <c r="Q104" i="34"/>
  <c r="I104" i="34"/>
  <c r="H104" i="34"/>
  <c r="O104" i="34"/>
  <c r="AB105" i="34"/>
  <c r="AC105" i="34"/>
  <c r="AD105" i="34"/>
  <c r="AE105" i="34"/>
  <c r="AF105" i="34"/>
  <c r="AG105" i="34"/>
  <c r="AH105" i="34"/>
  <c r="AJ105" i="34"/>
  <c r="AI105" i="34"/>
  <c r="AK105" i="34"/>
  <c r="C73" i="34"/>
  <c r="H105" i="34"/>
  <c r="I105" i="34"/>
  <c r="J105" i="34"/>
  <c r="K105" i="34"/>
  <c r="L105" i="34"/>
  <c r="M105" i="34"/>
  <c r="N105" i="34"/>
  <c r="O105" i="34"/>
  <c r="P105" i="34"/>
  <c r="Q105" i="34"/>
  <c r="R105" i="34"/>
  <c r="S105" i="34"/>
  <c r="T105" i="34"/>
  <c r="U105" i="34"/>
  <c r="V105" i="34"/>
  <c r="W105" i="34"/>
  <c r="X105" i="34"/>
  <c r="Y105" i="34"/>
  <c r="Z105" i="34"/>
  <c r="AA105" i="34"/>
  <c r="B1188" i="5"/>
  <c r="AY89" i="34"/>
  <c r="BW89" i="34"/>
  <c r="CB89" i="34"/>
  <c r="CH89" i="34"/>
  <c r="BE89" i="34"/>
  <c r="BB89" i="34"/>
  <c r="AC89" i="34"/>
  <c r="AK89" i="34"/>
  <c r="BL89" i="34"/>
  <c r="CE89" i="34"/>
  <c r="F89" i="34"/>
  <c r="BY89" i="34"/>
  <c r="AN89" i="34"/>
  <c r="L89" i="34"/>
  <c r="BQ89" i="34"/>
  <c r="BM89" i="34"/>
  <c r="BX89" i="34"/>
  <c r="CW89" i="34"/>
  <c r="AF89" i="34"/>
  <c r="AG89" i="34"/>
  <c r="AS89" i="34"/>
  <c r="BH89" i="34"/>
  <c r="I89" i="34"/>
  <c r="BS89" i="34"/>
  <c r="E89" i="34"/>
  <c r="BK89" i="34"/>
  <c r="AL89" i="34"/>
  <c r="CS89" i="34"/>
  <c r="BI89" i="34"/>
  <c r="BT89" i="34"/>
  <c r="AM89" i="34"/>
  <c r="CX89" i="34"/>
  <c r="D89" i="34"/>
  <c r="CG89" i="34"/>
  <c r="J89" i="34"/>
  <c r="CJ89" i="34"/>
  <c r="BU89" i="34"/>
  <c r="W89" i="34"/>
  <c r="AV89" i="34"/>
  <c r="AI89" i="34"/>
  <c r="CP89" i="34"/>
  <c r="P89" i="34"/>
  <c r="BZ89" i="34"/>
  <c r="AR89" i="34"/>
  <c r="V89" i="34"/>
  <c r="BG89" i="34"/>
  <c r="CF89" i="34"/>
  <c r="H89" i="34"/>
  <c r="BP89" i="34"/>
  <c r="CC89" i="34"/>
  <c r="BR89" i="34"/>
  <c r="CV89" i="34"/>
  <c r="CA89" i="34"/>
  <c r="AH89" i="34"/>
  <c r="Q89" i="34"/>
  <c r="AX89" i="34"/>
  <c r="BC89" i="34"/>
  <c r="AB89" i="34"/>
  <c r="CI89" i="34"/>
  <c r="CN89" i="34"/>
  <c r="BN89" i="34"/>
  <c r="BJ89" i="34"/>
  <c r="C60" i="34"/>
  <c r="M89" i="34"/>
  <c r="CR89" i="34"/>
  <c r="CU89" i="34"/>
  <c r="CL89" i="34"/>
  <c r="U89" i="34"/>
  <c r="CM89" i="34"/>
  <c r="BO89" i="34"/>
  <c r="R89" i="34"/>
  <c r="BD89" i="34"/>
  <c r="AA89" i="34"/>
  <c r="K89" i="34"/>
  <c r="AW89" i="34"/>
  <c r="AD89" i="34"/>
  <c r="CT89" i="34"/>
  <c r="N89" i="34"/>
  <c r="AZ89" i="34"/>
  <c r="BF89" i="34"/>
  <c r="AJ89" i="34"/>
  <c r="AE89" i="34"/>
  <c r="AT89" i="34"/>
  <c r="Z89" i="34"/>
  <c r="CO89" i="34"/>
  <c r="C89" i="34"/>
  <c r="CK89" i="34"/>
  <c r="BV89" i="34"/>
  <c r="AU89" i="34"/>
  <c r="CD89" i="34"/>
  <c r="AQ89" i="34"/>
  <c r="O89" i="34"/>
  <c r="G89" i="34"/>
  <c r="X89" i="34"/>
  <c r="T89" i="34"/>
  <c r="Y89" i="34"/>
  <c r="CQ89" i="34"/>
  <c r="S89" i="34"/>
  <c r="BA89" i="34"/>
  <c r="AO89" i="34"/>
  <c r="B1189" i="5"/>
  <c r="C172" i="5"/>
  <c r="A94" i="34"/>
  <c r="AF110" i="34" l="1"/>
  <c r="AF114" i="34" s="1"/>
  <c r="AF150" i="34" s="1"/>
  <c r="F6" i="86"/>
  <c r="AI110" i="34"/>
  <c r="AI118" i="34" s="1"/>
  <c r="AE110" i="34"/>
  <c r="AE114" i="34" s="1"/>
  <c r="AE150" i="34" s="1"/>
  <c r="AJ110" i="34"/>
  <c r="AJ114" i="34" s="1"/>
  <c r="AJ150" i="34" s="1"/>
  <c r="AD110" i="34"/>
  <c r="AD118" i="34" s="1"/>
  <c r="AV110" i="34"/>
  <c r="AV118" i="34" s="1"/>
  <c r="AN110" i="34"/>
  <c r="AN118" i="34" s="1"/>
  <c r="E110" i="34"/>
  <c r="E118" i="34" s="1"/>
  <c r="BA110" i="34"/>
  <c r="BA114" i="34" s="1"/>
  <c r="BA150" i="34" s="1"/>
  <c r="AS110" i="34"/>
  <c r="AS114" i="34" s="1"/>
  <c r="AS150" i="34" s="1"/>
  <c r="AZ110" i="34"/>
  <c r="AZ114" i="34" s="1"/>
  <c r="AZ150" i="34" s="1"/>
  <c r="AR110" i="34"/>
  <c r="AR118" i="34" s="1"/>
  <c r="AK110" i="34"/>
  <c r="AK118" i="34" s="1"/>
  <c r="AU110" i="34"/>
  <c r="AU114" i="34" s="1"/>
  <c r="AU150" i="34" s="1"/>
  <c r="AG110" i="34"/>
  <c r="AG114" i="34" s="1"/>
  <c r="AG150" i="34" s="1"/>
  <c r="BB110" i="34"/>
  <c r="BB118" i="34" s="1"/>
  <c r="AT110" i="34"/>
  <c r="AT118" i="34" s="1"/>
  <c r="AL110" i="34"/>
  <c r="AL118" i="34" s="1"/>
  <c r="BC110" i="34"/>
  <c r="BC114" i="34" s="1"/>
  <c r="BC150" i="34" s="1"/>
  <c r="AM110" i="34"/>
  <c r="AM118" i="34" s="1"/>
  <c r="AY110" i="34"/>
  <c r="AQ110" i="34"/>
  <c r="AX110" i="34"/>
  <c r="AP110" i="34"/>
  <c r="AH110" i="34"/>
  <c r="AH114" i="34" s="1"/>
  <c r="AH150" i="34" s="1"/>
  <c r="AW110" i="34"/>
  <c r="AO110" i="34"/>
  <c r="CQ96" i="34"/>
  <c r="CQ109" i="34" s="1"/>
  <c r="CQ117" i="34" s="1"/>
  <c r="AU96" i="34"/>
  <c r="AU109" i="34" s="1"/>
  <c r="AU117" i="34" s="1"/>
  <c r="AJ96" i="34"/>
  <c r="AJ109" i="34" s="1"/>
  <c r="AJ113" i="34" s="1"/>
  <c r="AA96" i="34"/>
  <c r="AA109" i="34" s="1"/>
  <c r="AA113" i="34" s="1"/>
  <c r="CR96" i="34"/>
  <c r="CR109" i="34" s="1"/>
  <c r="CR113" i="34" s="1"/>
  <c r="BC96" i="34"/>
  <c r="BC109" i="34" s="1"/>
  <c r="BC113" i="34" s="1"/>
  <c r="BP96" i="34"/>
  <c r="BP109" i="34" s="1"/>
  <c r="BP117" i="34" s="1"/>
  <c r="CP96" i="34"/>
  <c r="CP109" i="34" s="1"/>
  <c r="CP113" i="34" s="1"/>
  <c r="D96" i="34"/>
  <c r="D109" i="34" s="1"/>
  <c r="D113" i="34" s="1"/>
  <c r="E96" i="34"/>
  <c r="E109" i="34" s="1"/>
  <c r="E117" i="34" s="1"/>
  <c r="BX96" i="34"/>
  <c r="BX109" i="34" s="1"/>
  <c r="BX113" i="34" s="1"/>
  <c r="BL96" i="34"/>
  <c r="BL109" i="34" s="1"/>
  <c r="BL117" i="34" s="1"/>
  <c r="AY96" i="34"/>
  <c r="AY109" i="34" s="1"/>
  <c r="AY113" i="34" s="1"/>
  <c r="M96" i="34"/>
  <c r="M109" i="34" s="1"/>
  <c r="M113" i="34" s="1"/>
  <c r="CX96" i="34"/>
  <c r="CX109" i="34" s="1"/>
  <c r="CX117" i="34" s="1"/>
  <c r="T96" i="34"/>
  <c r="T109" i="34" s="1"/>
  <c r="T117" i="34" s="1"/>
  <c r="CK96" i="34"/>
  <c r="CK109" i="34" s="1"/>
  <c r="CK117" i="34" s="1"/>
  <c r="AZ96" i="34"/>
  <c r="AZ109" i="34" s="1"/>
  <c r="AZ113" i="34" s="1"/>
  <c r="R96" i="34"/>
  <c r="R109" i="34" s="1"/>
  <c r="R117" i="34" s="1"/>
  <c r="Q96" i="34"/>
  <c r="Q109" i="34" s="1"/>
  <c r="Q113" i="34" s="1"/>
  <c r="CF96" i="34"/>
  <c r="CF109" i="34" s="1"/>
  <c r="CF117" i="34" s="1"/>
  <c r="AV96" i="34"/>
  <c r="AV109" i="34" s="1"/>
  <c r="AV117" i="34" s="1"/>
  <c r="AM96" i="34"/>
  <c r="AM109" i="34" s="1"/>
  <c r="AM113" i="34" s="1"/>
  <c r="I96" i="34"/>
  <c r="I109" i="34" s="1"/>
  <c r="I117" i="34" s="1"/>
  <c r="BQ96" i="34"/>
  <c r="BQ109" i="34" s="1"/>
  <c r="BQ113" i="34" s="1"/>
  <c r="AC96" i="34"/>
  <c r="AC109" i="34" s="1"/>
  <c r="AC117" i="34" s="1"/>
  <c r="BV96" i="34"/>
  <c r="BV109" i="34" s="1"/>
  <c r="BV113" i="34" s="1"/>
  <c r="BM96" i="34"/>
  <c r="BM109" i="34" s="1"/>
  <c r="BM113" i="34" s="1"/>
  <c r="X96" i="34"/>
  <c r="X109" i="34" s="1"/>
  <c r="X117" i="34" s="1"/>
  <c r="N96" i="34"/>
  <c r="N109" i="34" s="1"/>
  <c r="N117" i="34" s="1"/>
  <c r="BO96" i="34"/>
  <c r="BO109" i="34" s="1"/>
  <c r="BO113" i="34" s="1"/>
  <c r="BJ96" i="34"/>
  <c r="BJ109" i="34" s="1"/>
  <c r="BJ113" i="34" s="1"/>
  <c r="AH96" i="34"/>
  <c r="AH109" i="34" s="1"/>
  <c r="AH117" i="34" s="1"/>
  <c r="BG96" i="34"/>
  <c r="BG109" i="34" s="1"/>
  <c r="BG113" i="34" s="1"/>
  <c r="W96" i="34"/>
  <c r="W109" i="34" s="1"/>
  <c r="W113" i="34" s="1"/>
  <c r="BT96" i="34"/>
  <c r="BT109" i="34" s="1"/>
  <c r="BT117" i="34" s="1"/>
  <c r="BH96" i="34"/>
  <c r="BH109" i="34" s="1"/>
  <c r="BH113" i="34" s="1"/>
  <c r="L96" i="34"/>
  <c r="L109" i="34" s="1"/>
  <c r="L113" i="34" s="1"/>
  <c r="BB96" i="34"/>
  <c r="BB109" i="34" s="1"/>
  <c r="BB113" i="34" s="1"/>
  <c r="BF96" i="34"/>
  <c r="BF109" i="34" s="1"/>
  <c r="BF113" i="34" s="1"/>
  <c r="AX96" i="34"/>
  <c r="AX109" i="34" s="1"/>
  <c r="AX117" i="34" s="1"/>
  <c r="AI96" i="34"/>
  <c r="AI109" i="34" s="1"/>
  <c r="AI113" i="34" s="1"/>
  <c r="BS96" i="34"/>
  <c r="BS109" i="34" s="1"/>
  <c r="BS117" i="34" s="1"/>
  <c r="AK96" i="34"/>
  <c r="AK109" i="34" s="1"/>
  <c r="AK113" i="34" s="1"/>
  <c r="G96" i="34"/>
  <c r="G109" i="34" s="1"/>
  <c r="G113" i="34" s="1"/>
  <c r="CO96" i="34"/>
  <c r="CO109" i="34" s="1"/>
  <c r="CO117" i="34" s="1"/>
  <c r="CT96" i="34"/>
  <c r="CT109" i="34" s="1"/>
  <c r="CT113" i="34" s="1"/>
  <c r="CM96" i="34"/>
  <c r="CM109" i="34" s="1"/>
  <c r="CM113" i="34" s="1"/>
  <c r="BN96" i="34"/>
  <c r="BN109" i="34" s="1"/>
  <c r="BN117" i="34" s="1"/>
  <c r="CA96" i="34"/>
  <c r="CA109" i="34" s="1"/>
  <c r="CA117" i="34" s="1"/>
  <c r="V96" i="34"/>
  <c r="V109" i="34" s="1"/>
  <c r="V117" i="34" s="1"/>
  <c r="BU96" i="34"/>
  <c r="BU109" i="34" s="1"/>
  <c r="BU113" i="34" s="1"/>
  <c r="BI96" i="34"/>
  <c r="BI109" i="34" s="1"/>
  <c r="BI113" i="34" s="1"/>
  <c r="AS96" i="34"/>
  <c r="AS109" i="34" s="1"/>
  <c r="AS117" i="34" s="1"/>
  <c r="AN96" i="34"/>
  <c r="AN109" i="34" s="1"/>
  <c r="AN117" i="34" s="1"/>
  <c r="BE96" i="34"/>
  <c r="BE109" i="34" s="1"/>
  <c r="BE117" i="34" s="1"/>
  <c r="Y96" i="34"/>
  <c r="Y109" i="34" s="1"/>
  <c r="Y117" i="34" s="1"/>
  <c r="AO96" i="34"/>
  <c r="AO109" i="34" s="1"/>
  <c r="AO113" i="34" s="1"/>
  <c r="Z96" i="34"/>
  <c r="Z109" i="34" s="1"/>
  <c r="Z117" i="34" s="1"/>
  <c r="U96" i="34"/>
  <c r="U109" i="34" s="1"/>
  <c r="U113" i="34" s="1"/>
  <c r="CV96" i="34"/>
  <c r="CV109" i="34" s="1"/>
  <c r="CV113" i="34" s="1"/>
  <c r="CJ96" i="34"/>
  <c r="CJ109" i="34" s="1"/>
  <c r="CJ113" i="34" s="1"/>
  <c r="AG96" i="34"/>
  <c r="AG109" i="34" s="1"/>
  <c r="AG117" i="34" s="1"/>
  <c r="CH96" i="34"/>
  <c r="CH109" i="34" s="1"/>
  <c r="CH113" i="34" s="1"/>
  <c r="BA96" i="34"/>
  <c r="BA109" i="34" s="1"/>
  <c r="BA117" i="34" s="1"/>
  <c r="AQ96" i="34"/>
  <c r="AQ109" i="34" s="1"/>
  <c r="AQ113" i="34" s="1"/>
  <c r="AT96" i="34"/>
  <c r="AT109" i="34" s="1"/>
  <c r="AT117" i="34" s="1"/>
  <c r="AW96" i="34"/>
  <c r="AW109" i="34" s="1"/>
  <c r="AW113" i="34" s="1"/>
  <c r="CL96" i="34"/>
  <c r="CL109" i="34" s="1"/>
  <c r="CL117" i="34" s="1"/>
  <c r="CI96" i="34"/>
  <c r="CI109" i="34" s="1"/>
  <c r="CI113" i="34" s="1"/>
  <c r="BR96" i="34"/>
  <c r="BR109" i="34" s="1"/>
  <c r="BR113" i="34" s="1"/>
  <c r="BZ96" i="34"/>
  <c r="BZ109" i="34" s="1"/>
  <c r="BZ113" i="34" s="1"/>
  <c r="J96" i="34"/>
  <c r="J109" i="34" s="1"/>
  <c r="J113" i="34" s="1"/>
  <c r="AL96" i="34"/>
  <c r="AL109" i="34" s="1"/>
  <c r="AL117" i="34" s="1"/>
  <c r="AF96" i="34"/>
  <c r="AF109" i="34" s="1"/>
  <c r="AF117" i="34" s="1"/>
  <c r="F96" i="34"/>
  <c r="F109" i="34" s="1"/>
  <c r="F113" i="34" s="1"/>
  <c r="CB96" i="34"/>
  <c r="CB109" i="34" s="1"/>
  <c r="CB117" i="34" s="1"/>
  <c r="BD96" i="34"/>
  <c r="BD109" i="34" s="1"/>
  <c r="BD117" i="34" s="1"/>
  <c r="O96" i="34"/>
  <c r="O109" i="34" s="1"/>
  <c r="O117" i="34" s="1"/>
  <c r="AD96" i="34"/>
  <c r="AD109" i="34" s="1"/>
  <c r="AD113" i="34" s="1"/>
  <c r="CN96" i="34"/>
  <c r="CN109" i="34" s="1"/>
  <c r="CN113" i="34" s="1"/>
  <c r="AR96" i="34"/>
  <c r="AR109" i="34" s="1"/>
  <c r="AR113" i="34" s="1"/>
  <c r="CS96" i="34"/>
  <c r="CS109" i="34" s="1"/>
  <c r="CS113" i="34" s="1"/>
  <c r="BY96" i="34"/>
  <c r="BY109" i="34" s="1"/>
  <c r="BY117" i="34" s="1"/>
  <c r="S96" i="34"/>
  <c r="S109" i="34" s="1"/>
  <c r="S113" i="34" s="1"/>
  <c r="CD96" i="34"/>
  <c r="CD109" i="34" s="1"/>
  <c r="CD117" i="34" s="1"/>
  <c r="AE96" i="34"/>
  <c r="AE109" i="34" s="1"/>
  <c r="AE113" i="34" s="1"/>
  <c r="K96" i="34"/>
  <c r="K109" i="34" s="1"/>
  <c r="K113" i="34" s="1"/>
  <c r="CU96" i="34"/>
  <c r="CU109" i="34" s="1"/>
  <c r="CU117" i="34" s="1"/>
  <c r="AB96" i="34"/>
  <c r="AB109" i="34" s="1"/>
  <c r="AB113" i="34" s="1"/>
  <c r="CC96" i="34"/>
  <c r="CC109" i="34" s="1"/>
  <c r="CC113" i="34" s="1"/>
  <c r="P96" i="34"/>
  <c r="P109" i="34" s="1"/>
  <c r="P117" i="34" s="1"/>
  <c r="CG96" i="34"/>
  <c r="CG109" i="34" s="1"/>
  <c r="CG113" i="34" s="1"/>
  <c r="BK96" i="34"/>
  <c r="BK109" i="34" s="1"/>
  <c r="BK117" i="34" s="1"/>
  <c r="CW96" i="34"/>
  <c r="CW109" i="34" s="1"/>
  <c r="CW117" i="34" s="1"/>
  <c r="CE96" i="34"/>
  <c r="CE109" i="34" s="1"/>
  <c r="CE113" i="34" s="1"/>
  <c r="BW96" i="34"/>
  <c r="BW109" i="34" s="1"/>
  <c r="BW113" i="34" s="1"/>
  <c r="AB110" i="34"/>
  <c r="AB114" i="34" s="1"/>
  <c r="AB150" i="34" s="1"/>
  <c r="AC110" i="34"/>
  <c r="AC114" i="34" s="1"/>
  <c r="AC150" i="34" s="1"/>
  <c r="Z110" i="34"/>
  <c r="Z114" i="34" s="1"/>
  <c r="Z150" i="34" s="1"/>
  <c r="C9" i="34"/>
  <c r="C47" i="34" s="1"/>
  <c r="E12" i="86"/>
  <c r="B1192" i="5"/>
  <c r="E8" i="86" s="1"/>
  <c r="F8" i="86" s="1"/>
  <c r="B1193" i="5"/>
  <c r="B1190" i="5"/>
  <c r="E7" i="86" s="1"/>
  <c r="Y110" i="34"/>
  <c r="Y114" i="34" s="1"/>
  <c r="Y150" i="34" s="1"/>
  <c r="AA110" i="34"/>
  <c r="AA118" i="34" s="1"/>
  <c r="C13" i="34"/>
  <c r="E34" i="86" s="1"/>
  <c r="A105" i="34"/>
  <c r="C96" i="34"/>
  <c r="C109" i="34" s="1"/>
  <c r="T110" i="34"/>
  <c r="T114" i="34" s="1"/>
  <c r="T150" i="34" s="1"/>
  <c r="L110" i="34"/>
  <c r="L114" i="34" s="1"/>
  <c r="L150" i="34" s="1"/>
  <c r="F110" i="34"/>
  <c r="F114" i="34" s="1"/>
  <c r="F150" i="34" s="1"/>
  <c r="A89" i="34"/>
  <c r="H96" i="34"/>
  <c r="H109" i="34" s="1"/>
  <c r="H113" i="34" s="1"/>
  <c r="G110" i="34"/>
  <c r="G114" i="34" s="1"/>
  <c r="G150" i="34" s="1"/>
  <c r="U110" i="34"/>
  <c r="U114" i="34" s="1"/>
  <c r="U150" i="34" s="1"/>
  <c r="S110" i="34"/>
  <c r="S114" i="34" s="1"/>
  <c r="S150" i="34" s="1"/>
  <c r="P110" i="34"/>
  <c r="P118" i="34" s="1"/>
  <c r="K110" i="34"/>
  <c r="K114" i="34" s="1"/>
  <c r="K150" i="34" s="1"/>
  <c r="N110" i="34"/>
  <c r="N118" i="34" s="1"/>
  <c r="Q110" i="34"/>
  <c r="Q118" i="34" s="1"/>
  <c r="O110" i="34"/>
  <c r="O114" i="34" s="1"/>
  <c r="O150" i="34" s="1"/>
  <c r="I110" i="34"/>
  <c r="I114" i="34" s="1"/>
  <c r="I150" i="34" s="1"/>
  <c r="M110" i="34"/>
  <c r="M118" i="34" s="1"/>
  <c r="J110" i="34"/>
  <c r="J118" i="34" s="1"/>
  <c r="W110" i="34"/>
  <c r="W118" i="34" s="1"/>
  <c r="R110" i="34"/>
  <c r="R114" i="34" s="1"/>
  <c r="R150" i="34" s="1"/>
  <c r="V110" i="34"/>
  <c r="V114" i="34" s="1"/>
  <c r="V150" i="34" s="1"/>
  <c r="H110" i="34"/>
  <c r="H118" i="34" s="1"/>
  <c r="X110" i="34"/>
  <c r="X114" i="34" s="1"/>
  <c r="X150" i="34" s="1"/>
  <c r="D110" i="34"/>
  <c r="AP117" i="34"/>
  <c r="AP113" i="34"/>
  <c r="AF118" i="34" l="1"/>
  <c r="AG132" i="34"/>
  <c r="AG135" i="34" s="1"/>
  <c r="AG136" i="34" s="1"/>
  <c r="D132" i="34"/>
  <c r="F7" i="86"/>
  <c r="B1194" i="5"/>
  <c r="C6" i="34" s="1"/>
  <c r="C7" i="34" s="1"/>
  <c r="E9" i="86" s="1"/>
  <c r="E32" i="86" s="1"/>
  <c r="AI114" i="34"/>
  <c r="AI150" i="34" s="1"/>
  <c r="AE118" i="34"/>
  <c r="AD114" i="34"/>
  <c r="AD150" i="34" s="1"/>
  <c r="AH118" i="34"/>
  <c r="AJ118" i="34"/>
  <c r="AY117" i="34"/>
  <c r="AV114" i="34"/>
  <c r="AV150" i="34" s="1"/>
  <c r="AN114" i="34"/>
  <c r="AN150" i="34" s="1"/>
  <c r="AT114" i="34"/>
  <c r="AT150" i="34" s="1"/>
  <c r="E114" i="34"/>
  <c r="E150" i="34" s="1"/>
  <c r="AZ118" i="34"/>
  <c r="AK132" i="34"/>
  <c r="AK139" i="34" s="1"/>
  <c r="AK140" i="34" s="1"/>
  <c r="AS118" i="34"/>
  <c r="BA118" i="34"/>
  <c r="AG118" i="34"/>
  <c r="AR114" i="34"/>
  <c r="AR150" i="34" s="1"/>
  <c r="AF132" i="34"/>
  <c r="AF135" i="34" s="1"/>
  <c r="AF136" i="34" s="1"/>
  <c r="AH132" i="34"/>
  <c r="AH135" i="34" s="1"/>
  <c r="AH136" i="34" s="1"/>
  <c r="AM114" i="34"/>
  <c r="AM150" i="34" s="1"/>
  <c r="AJ132" i="34"/>
  <c r="AJ135" i="34" s="1"/>
  <c r="AJ136" i="34" s="1"/>
  <c r="AI132" i="34"/>
  <c r="AI135" i="34" s="1"/>
  <c r="AI136" i="34" s="1"/>
  <c r="AU118" i="34"/>
  <c r="BB114" i="34"/>
  <c r="BB150" i="34" s="1"/>
  <c r="AL113" i="34"/>
  <c r="AL121" i="34" s="1"/>
  <c r="AK114" i="34"/>
  <c r="AK150" i="34" s="1"/>
  <c r="AU113" i="34"/>
  <c r="AU154" i="34" s="1"/>
  <c r="AL114" i="34"/>
  <c r="AL150" i="34" s="1"/>
  <c r="BC118" i="34"/>
  <c r="AC113" i="34"/>
  <c r="AC154" i="34" s="1"/>
  <c r="BG117" i="34"/>
  <c r="AO114" i="34"/>
  <c r="AO150" i="34" s="1"/>
  <c r="AO118" i="34"/>
  <c r="AY118" i="34"/>
  <c r="AY114" i="34"/>
  <c r="AY150" i="34" s="1"/>
  <c r="AO117" i="34"/>
  <c r="AQ117" i="34"/>
  <c r="AW114" i="34"/>
  <c r="AW150" i="34" s="1"/>
  <c r="AW118" i="34"/>
  <c r="AP114" i="34"/>
  <c r="AP150" i="34" s="1"/>
  <c r="AP118" i="34"/>
  <c r="AI117" i="34"/>
  <c r="AX118" i="34"/>
  <c r="AX114" i="34"/>
  <c r="AX150" i="34" s="1"/>
  <c r="AQ114" i="34"/>
  <c r="AQ150" i="34" s="1"/>
  <c r="AQ118" i="34"/>
  <c r="AB132" i="34"/>
  <c r="AB139" i="34" s="1"/>
  <c r="AB140" i="34" s="1"/>
  <c r="AT132" i="34"/>
  <c r="AU132" i="34"/>
  <c r="AV132" i="34"/>
  <c r="AW132" i="34"/>
  <c r="AX132" i="34"/>
  <c r="AY132" i="34"/>
  <c r="AZ132" i="34"/>
  <c r="BA132" i="34"/>
  <c r="BB132" i="34"/>
  <c r="BC132" i="34"/>
  <c r="AE132" i="34"/>
  <c r="AE139" i="34" s="1"/>
  <c r="AE140" i="34" s="1"/>
  <c r="AA117" i="34"/>
  <c r="AB117" i="34"/>
  <c r="CA113" i="34"/>
  <c r="CA154" i="34" s="1"/>
  <c r="CA155" i="34" s="1"/>
  <c r="CA157" i="34" s="1"/>
  <c r="CA158" i="34" s="1"/>
  <c r="E113" i="34"/>
  <c r="E154" i="34" s="1"/>
  <c r="AR117" i="34"/>
  <c r="AZ117" i="34"/>
  <c r="BL113" i="34"/>
  <c r="BL154" i="34" s="1"/>
  <c r="BL155" i="34" s="1"/>
  <c r="BL157" i="34" s="1"/>
  <c r="BL158" i="34" s="1"/>
  <c r="BR117" i="34"/>
  <c r="BB117" i="34"/>
  <c r="O113" i="34"/>
  <c r="O154" i="34" s="1"/>
  <c r="BN113" i="34"/>
  <c r="BN154" i="34" s="1"/>
  <c r="BN155" i="34" s="1"/>
  <c r="BN157" i="34" s="1"/>
  <c r="BN158" i="34" s="1"/>
  <c r="CQ113" i="34"/>
  <c r="CQ154" i="34" s="1"/>
  <c r="CQ155" i="34" s="1"/>
  <c r="CQ157" i="34" s="1"/>
  <c r="CQ158" i="34" s="1"/>
  <c r="AX113" i="34"/>
  <c r="AX121" i="34" s="1"/>
  <c r="J117" i="34"/>
  <c r="BA113" i="34"/>
  <c r="BA121" i="34" s="1"/>
  <c r="CO113" i="34"/>
  <c r="CO121" i="34" s="1"/>
  <c r="BD113" i="34"/>
  <c r="BD121" i="34" s="1"/>
  <c r="AS113" i="34"/>
  <c r="AS121" i="34" s="1"/>
  <c r="CI117" i="34"/>
  <c r="M117" i="34"/>
  <c r="CR117" i="34"/>
  <c r="N113" i="34"/>
  <c r="N154" i="34" s="1"/>
  <c r="AV113" i="34"/>
  <c r="AV154" i="34" s="1"/>
  <c r="BC117" i="34"/>
  <c r="CJ117" i="34"/>
  <c r="L117" i="34"/>
  <c r="BK113" i="34"/>
  <c r="BK154" i="34" s="1"/>
  <c r="BK155" i="34" s="1"/>
  <c r="BK157" i="34" s="1"/>
  <c r="BK158" i="34" s="1"/>
  <c r="T113" i="34"/>
  <c r="T154" i="34" s="1"/>
  <c r="BE113" i="34"/>
  <c r="BE121" i="34" s="1"/>
  <c r="AG113" i="34"/>
  <c r="AG121" i="34" s="1"/>
  <c r="BZ117" i="34"/>
  <c r="BO117" i="34"/>
  <c r="AE117" i="34"/>
  <c r="CM117" i="34"/>
  <c r="CP117" i="34"/>
  <c r="BP113" i="34"/>
  <c r="BP154" i="34" s="1"/>
  <c r="BP155" i="34" s="1"/>
  <c r="BP157" i="34" s="1"/>
  <c r="BP158" i="34" s="1"/>
  <c r="CH117" i="34"/>
  <c r="AD117" i="34"/>
  <c r="AN113" i="34"/>
  <c r="AN154" i="34" s="1"/>
  <c r="CX113" i="34"/>
  <c r="CX154" i="34" s="1"/>
  <c r="CX155" i="34" s="1"/>
  <c r="CX157" i="34" s="1"/>
  <c r="CX158" i="34" s="1"/>
  <c r="CW113" i="34"/>
  <c r="CW121" i="34" s="1"/>
  <c r="AM117" i="34"/>
  <c r="CT117" i="34"/>
  <c r="I113" i="34"/>
  <c r="I154" i="34" s="1"/>
  <c r="BQ117" i="34"/>
  <c r="AH113" i="34"/>
  <c r="AH121" i="34" s="1"/>
  <c r="BF117" i="34"/>
  <c r="AJ117" i="34"/>
  <c r="D117" i="34"/>
  <c r="CE117" i="34"/>
  <c r="CK113" i="34"/>
  <c r="CK121" i="34" s="1"/>
  <c r="Y113" i="34"/>
  <c r="Y154" i="34" s="1"/>
  <c r="BX117" i="34"/>
  <c r="BJ117" i="34"/>
  <c r="K117" i="34"/>
  <c r="CU113" i="34"/>
  <c r="CU154" i="34" s="1"/>
  <c r="CU155" i="34" s="1"/>
  <c r="CU157" i="34" s="1"/>
  <c r="CU158" i="34" s="1"/>
  <c r="BS113" i="34"/>
  <c r="BS121" i="34" s="1"/>
  <c r="R113" i="34"/>
  <c r="R121" i="34" s="1"/>
  <c r="AT113" i="34"/>
  <c r="AT121" i="34" s="1"/>
  <c r="V113" i="34"/>
  <c r="V154" i="34" s="1"/>
  <c r="W117" i="34"/>
  <c r="Z113" i="34"/>
  <c r="Z154" i="34" s="1"/>
  <c r="BT113" i="34"/>
  <c r="BT121" i="34" s="1"/>
  <c r="Q117" i="34"/>
  <c r="P113" i="34"/>
  <c r="P154" i="34" s="1"/>
  <c r="BY113" i="34"/>
  <c r="BY154" i="34" s="1"/>
  <c r="BY155" i="34" s="1"/>
  <c r="BY157" i="34" s="1"/>
  <c r="BY158" i="34" s="1"/>
  <c r="AK117" i="34"/>
  <c r="BM117" i="34"/>
  <c r="U117" i="34"/>
  <c r="CC117" i="34"/>
  <c r="AF113" i="34"/>
  <c r="AF154" i="34" s="1"/>
  <c r="CS117" i="34"/>
  <c r="BV117" i="34"/>
  <c r="CD113" i="34"/>
  <c r="CD154" i="34" s="1"/>
  <c r="CD155" i="34" s="1"/>
  <c r="CD157" i="34" s="1"/>
  <c r="CD158" i="34" s="1"/>
  <c r="CN117" i="34"/>
  <c r="BW117" i="34"/>
  <c r="F117" i="34"/>
  <c r="AW117" i="34"/>
  <c r="BU117" i="34"/>
  <c r="BI117" i="34"/>
  <c r="S117" i="34"/>
  <c r="X113" i="34"/>
  <c r="X154" i="34" s="1"/>
  <c r="CB113" i="34"/>
  <c r="CB154" i="34" s="1"/>
  <c r="CB155" i="34" s="1"/>
  <c r="CB157" i="34" s="1"/>
  <c r="CB158" i="34" s="1"/>
  <c r="CV117" i="34"/>
  <c r="CG117" i="34"/>
  <c r="CL113" i="34"/>
  <c r="CL154" i="34" s="1"/>
  <c r="CL155" i="34" s="1"/>
  <c r="CL157" i="34" s="1"/>
  <c r="CL158" i="34" s="1"/>
  <c r="G117" i="34"/>
  <c r="CF113" i="34"/>
  <c r="CF121" i="34" s="1"/>
  <c r="BH117" i="34"/>
  <c r="AB118" i="34"/>
  <c r="Z118" i="34"/>
  <c r="AC118" i="34"/>
  <c r="AD132" i="34"/>
  <c r="AD139" i="34" s="1"/>
  <c r="AD140" i="34" s="1"/>
  <c r="AA132" i="34"/>
  <c r="AA139" i="34" s="1"/>
  <c r="AA140" i="34" s="1"/>
  <c r="Z132" i="34"/>
  <c r="Z135" i="34" s="1"/>
  <c r="Z136" i="34" s="1"/>
  <c r="AC132" i="34"/>
  <c r="AC139" i="34" s="1"/>
  <c r="AC140" i="34" s="1"/>
  <c r="P132" i="34"/>
  <c r="P135" i="34" s="1"/>
  <c r="P136" i="34" s="1"/>
  <c r="AL132" i="34"/>
  <c r="AM132" i="34"/>
  <c r="AN132" i="34"/>
  <c r="AO132" i="34"/>
  <c r="AP132" i="34"/>
  <c r="AQ132" i="34"/>
  <c r="AR132" i="34"/>
  <c r="AS132" i="34"/>
  <c r="W132" i="34"/>
  <c r="W139" i="34" s="1"/>
  <c r="W140" i="34" s="1"/>
  <c r="E132" i="34"/>
  <c r="I132" i="34"/>
  <c r="I135" i="34" s="1"/>
  <c r="I136" i="34" s="1"/>
  <c r="Y132" i="34"/>
  <c r="Y139" i="34" s="1"/>
  <c r="Y140" i="34" s="1"/>
  <c r="Q132" i="34"/>
  <c r="Q135" i="34" s="1"/>
  <c r="Q136" i="34" s="1"/>
  <c r="M132" i="34"/>
  <c r="M135" i="34" s="1"/>
  <c r="M136" i="34" s="1"/>
  <c r="O132" i="34"/>
  <c r="O135" i="34" s="1"/>
  <c r="O136" i="34" s="1"/>
  <c r="L132" i="34"/>
  <c r="L139" i="34" s="1"/>
  <c r="L140" i="34" s="1"/>
  <c r="S132" i="34"/>
  <c r="S139" i="34" s="1"/>
  <c r="S140" i="34" s="1"/>
  <c r="G132" i="34"/>
  <c r="G135" i="34" s="1"/>
  <c r="G136" i="34" s="1"/>
  <c r="H132" i="34"/>
  <c r="H139" i="34" s="1"/>
  <c r="H140" i="34" s="1"/>
  <c r="R132" i="34"/>
  <c r="R139" i="34" s="1"/>
  <c r="R140" i="34" s="1"/>
  <c r="F132" i="34"/>
  <c r="F139" i="34" s="1"/>
  <c r="F140" i="34" s="1"/>
  <c r="U132" i="34"/>
  <c r="U135" i="34" s="1"/>
  <c r="U136" i="34" s="1"/>
  <c r="T132" i="34"/>
  <c r="T135" i="34" s="1"/>
  <c r="T136" i="34" s="1"/>
  <c r="V132" i="34"/>
  <c r="V139" i="34" s="1"/>
  <c r="V140" i="34" s="1"/>
  <c r="K132" i="34"/>
  <c r="K139" i="34" s="1"/>
  <c r="K140" i="34" s="1"/>
  <c r="X132" i="34"/>
  <c r="X135" i="34" s="1"/>
  <c r="X136" i="34" s="1"/>
  <c r="N132" i="34"/>
  <c r="N135" i="34" s="1"/>
  <c r="N136" i="34" s="1"/>
  <c r="J132" i="34"/>
  <c r="J139" i="34" s="1"/>
  <c r="J140" i="34" s="1"/>
  <c r="E24" i="86"/>
  <c r="F24" i="86" s="1"/>
  <c r="E20" i="86"/>
  <c r="F20" i="86" s="1"/>
  <c r="E25" i="86"/>
  <c r="F25" i="86" s="1"/>
  <c r="E26" i="86"/>
  <c r="F26" i="86" s="1"/>
  <c r="E22" i="86"/>
  <c r="F22" i="86" s="1"/>
  <c r="E23" i="86"/>
  <c r="F23" i="86" s="1"/>
  <c r="E13" i="86"/>
  <c r="E18" i="86"/>
  <c r="F18" i="86" s="1"/>
  <c r="E29" i="86"/>
  <c r="F29" i="86" s="1"/>
  <c r="E17" i="86"/>
  <c r="F17" i="86" s="1"/>
  <c r="E15" i="86"/>
  <c r="F15" i="86" s="1"/>
  <c r="E16" i="86"/>
  <c r="F16" i="86" s="1"/>
  <c r="E14" i="86"/>
  <c r="F14" i="86" s="1"/>
  <c r="E30" i="86"/>
  <c r="F30" i="86" s="1"/>
  <c r="E19" i="86"/>
  <c r="F19" i="86" s="1"/>
  <c r="E27" i="86"/>
  <c r="F27" i="86" s="1"/>
  <c r="E28" i="86"/>
  <c r="F28" i="86" s="1"/>
  <c r="Y118" i="34"/>
  <c r="AA114" i="34"/>
  <c r="AA150" i="34" s="1"/>
  <c r="C113" i="34"/>
  <c r="C117" i="34"/>
  <c r="L118" i="34"/>
  <c r="F118" i="34"/>
  <c r="T118" i="34"/>
  <c r="N114" i="34"/>
  <c r="N150" i="34" s="1"/>
  <c r="I118" i="34"/>
  <c r="V118" i="34"/>
  <c r="U118" i="34"/>
  <c r="H117" i="34"/>
  <c r="A109" i="34"/>
  <c r="M114" i="34"/>
  <c r="M150" i="34" s="1"/>
  <c r="A96" i="34"/>
  <c r="J114" i="34"/>
  <c r="J150" i="34" s="1"/>
  <c r="S118" i="34"/>
  <c r="R118" i="34"/>
  <c r="K118" i="34"/>
  <c r="P114" i="34"/>
  <c r="P150" i="34" s="1"/>
  <c r="W114" i="34"/>
  <c r="W150" i="34" s="1"/>
  <c r="O118" i="34"/>
  <c r="G118" i="34"/>
  <c r="X118" i="34"/>
  <c r="A104" i="34"/>
  <c r="H114" i="34"/>
  <c r="H150" i="34" s="1"/>
  <c r="Q114" i="34"/>
  <c r="Q150" i="34" s="1"/>
  <c r="CJ121" i="34"/>
  <c r="CJ154" i="34"/>
  <c r="CJ155" i="34" s="1"/>
  <c r="CJ157" i="34" s="1"/>
  <c r="CJ158" i="34" s="1"/>
  <c r="W154" i="34"/>
  <c r="W121" i="34"/>
  <c r="BF154" i="34"/>
  <c r="BF155" i="34" s="1"/>
  <c r="BF157" i="34" s="1"/>
  <c r="BF158" i="34" s="1"/>
  <c r="BF121" i="34"/>
  <c r="CS121" i="34"/>
  <c r="CS154" i="34"/>
  <c r="CS155" i="34" s="1"/>
  <c r="CS157" i="34" s="1"/>
  <c r="CS158" i="34" s="1"/>
  <c r="Q121" i="34"/>
  <c r="Q154" i="34"/>
  <c r="D114" i="34"/>
  <c r="A110" i="34"/>
  <c r="D118" i="34"/>
  <c r="BQ121" i="34"/>
  <c r="BQ154" i="34"/>
  <c r="BQ155" i="34" s="1"/>
  <c r="BQ157" i="34" s="1"/>
  <c r="BQ158" i="34" s="1"/>
  <c r="AY154" i="34"/>
  <c r="AY121" i="34"/>
  <c r="BG154" i="34"/>
  <c r="BG155" i="34" s="1"/>
  <c r="BG157" i="34" s="1"/>
  <c r="BG158" i="34" s="1"/>
  <c r="BG121" i="34"/>
  <c r="AP154" i="34"/>
  <c r="AP121" i="34"/>
  <c r="J121" i="34"/>
  <c r="J154" i="34"/>
  <c r="BI121" i="34"/>
  <c r="BI154" i="34"/>
  <c r="BI155" i="34" s="1"/>
  <c r="BI157" i="34" s="1"/>
  <c r="BI158" i="34" s="1"/>
  <c r="CV121" i="34"/>
  <c r="CV154" i="34"/>
  <c r="CV155" i="34" s="1"/>
  <c r="CV157" i="34" s="1"/>
  <c r="CV158" i="34" s="1"/>
  <c r="CG154" i="34"/>
  <c r="CG155" i="34" s="1"/>
  <c r="CG157" i="34" s="1"/>
  <c r="CG158" i="34" s="1"/>
  <c r="CG121" i="34"/>
  <c r="AJ154" i="34"/>
  <c r="AJ121" i="34"/>
  <c r="CE121" i="34"/>
  <c r="CE154" i="34"/>
  <c r="CE155" i="34" s="1"/>
  <c r="CE157" i="34" s="1"/>
  <c r="CE158" i="34" s="1"/>
  <c r="AB154" i="34"/>
  <c r="AB121" i="34"/>
  <c r="BR121" i="34"/>
  <c r="BR154" i="34"/>
  <c r="BR155" i="34" s="1"/>
  <c r="BR157" i="34" s="1"/>
  <c r="BR158" i="34" s="1"/>
  <c r="AQ154" i="34"/>
  <c r="AQ121" i="34"/>
  <c r="AW154" i="34"/>
  <c r="AW121" i="34"/>
  <c r="AK154" i="34"/>
  <c r="AK121" i="34"/>
  <c r="BU121" i="34"/>
  <c r="BU154" i="34"/>
  <c r="BU155" i="34" s="1"/>
  <c r="BU157" i="34" s="1"/>
  <c r="BU158" i="34" s="1"/>
  <c r="AZ154" i="34"/>
  <c r="AZ121" i="34"/>
  <c r="S121" i="34"/>
  <c r="S154" i="34"/>
  <c r="BW121" i="34"/>
  <c r="BW154" i="34"/>
  <c r="BW155" i="34" s="1"/>
  <c r="BW157" i="34" s="1"/>
  <c r="BW158" i="34" s="1"/>
  <c r="BO121" i="34"/>
  <c r="BO154" i="34"/>
  <c r="BO155" i="34" s="1"/>
  <c r="BO157" i="34" s="1"/>
  <c r="BO158" i="34" s="1"/>
  <c r="BX154" i="34"/>
  <c r="BX155" i="34" s="1"/>
  <c r="BX157" i="34" s="1"/>
  <c r="BX158" i="34" s="1"/>
  <c r="BX121" i="34"/>
  <c r="BB121" i="34"/>
  <c r="BB154" i="34"/>
  <c r="BJ154" i="34"/>
  <c r="BJ155" i="34" s="1"/>
  <c r="BJ157" i="34" s="1"/>
  <c r="BJ158" i="34" s="1"/>
  <c r="BJ121" i="34"/>
  <c r="CT154" i="34"/>
  <c r="CT155" i="34" s="1"/>
  <c r="CT157" i="34" s="1"/>
  <c r="CT158" i="34" s="1"/>
  <c r="CT121" i="34"/>
  <c r="H121" i="34"/>
  <c r="H154" i="34"/>
  <c r="BZ154" i="34"/>
  <c r="BZ155" i="34" s="1"/>
  <c r="BZ157" i="34" s="1"/>
  <c r="BZ158" i="34" s="1"/>
  <c r="BZ121" i="34"/>
  <c r="D121" i="34"/>
  <c r="D122" i="34" s="1"/>
  <c r="D154" i="34"/>
  <c r="CI154" i="34"/>
  <c r="CI155" i="34" s="1"/>
  <c r="CI157" i="34" s="1"/>
  <c r="CI158" i="34" s="1"/>
  <c r="CI121" i="34"/>
  <c r="CH154" i="34"/>
  <c r="CH155" i="34" s="1"/>
  <c r="CH157" i="34" s="1"/>
  <c r="CH158" i="34" s="1"/>
  <c r="CH121" i="34"/>
  <c r="CM121" i="34"/>
  <c r="CM154" i="34"/>
  <c r="CM155" i="34" s="1"/>
  <c r="CM157" i="34" s="1"/>
  <c r="CM158" i="34" s="1"/>
  <c r="AM121" i="34"/>
  <c r="AM154" i="34"/>
  <c r="BC154" i="34"/>
  <c r="BC121" i="34"/>
  <c r="AO121" i="34"/>
  <c r="AO154" i="34"/>
  <c r="CR154" i="34"/>
  <c r="CR155" i="34" s="1"/>
  <c r="CR157" i="34" s="1"/>
  <c r="CR158" i="34" s="1"/>
  <c r="CR121" i="34"/>
  <c r="CP121" i="34"/>
  <c r="CP154" i="34"/>
  <c r="CP155" i="34" s="1"/>
  <c r="CP157" i="34" s="1"/>
  <c r="CP158" i="34" s="1"/>
  <c r="BV154" i="34"/>
  <c r="BV155" i="34" s="1"/>
  <c r="BV157" i="34" s="1"/>
  <c r="BV158" i="34" s="1"/>
  <c r="BV121" i="34"/>
  <c r="BM121" i="34"/>
  <c r="BM154" i="34"/>
  <c r="BM155" i="34" s="1"/>
  <c r="BM157" i="34" s="1"/>
  <c r="BM158" i="34" s="1"/>
  <c r="F154" i="34"/>
  <c r="F121" i="34"/>
  <c r="F122" i="34" s="1"/>
  <c r="G154" i="34"/>
  <c r="G121" i="34"/>
  <c r="G122" i="34" s="1"/>
  <c r="CN154" i="34"/>
  <c r="CN155" i="34" s="1"/>
  <c r="CN157" i="34" s="1"/>
  <c r="CN158" i="34" s="1"/>
  <c r="CN121" i="34"/>
  <c r="M154" i="34"/>
  <c r="M121" i="34"/>
  <c r="CC154" i="34"/>
  <c r="CC155" i="34" s="1"/>
  <c r="CC157" i="34" s="1"/>
  <c r="CC158" i="34" s="1"/>
  <c r="CC121" i="34"/>
  <c r="AD154" i="34"/>
  <c r="AD121" i="34"/>
  <c r="AR121" i="34"/>
  <c r="AR154" i="34"/>
  <c r="L154" i="34"/>
  <c r="L121" i="34"/>
  <c r="AE154" i="34"/>
  <c r="AE121" i="34"/>
  <c r="AA154" i="34"/>
  <c r="AA121" i="34"/>
  <c r="AI154" i="34"/>
  <c r="AI121" i="34"/>
  <c r="U154" i="34"/>
  <c r="U121" i="34"/>
  <c r="BH121" i="34"/>
  <c r="BH154" i="34"/>
  <c r="BH155" i="34" s="1"/>
  <c r="BH157" i="34" s="1"/>
  <c r="BH158" i="34" s="1"/>
  <c r="K154" i="34"/>
  <c r="K121" i="34"/>
  <c r="AG139" i="34" l="1"/>
  <c r="AG140" i="34" s="1"/>
  <c r="AG143" i="34" s="1"/>
  <c r="F13" i="86"/>
  <c r="F21" i="86" s="1"/>
  <c r="F31" i="86" s="1"/>
  <c r="E21" i="86"/>
  <c r="E31" i="86" s="1"/>
  <c r="E33" i="86" s="1"/>
  <c r="D139" i="34"/>
  <c r="D140" i="34" s="1"/>
  <c r="D135" i="34"/>
  <c r="D136" i="34" s="1"/>
  <c r="AI139" i="34"/>
  <c r="AI140" i="34" s="1"/>
  <c r="AI149" i="34" s="1"/>
  <c r="AI152" i="34" s="1"/>
  <c r="AI153" i="34" s="1"/>
  <c r="F32" i="86"/>
  <c r="F9" i="86"/>
  <c r="AK135" i="34"/>
  <c r="AK136" i="34" s="1"/>
  <c r="AU121" i="34"/>
  <c r="AH139" i="34"/>
  <c r="AH140" i="34" s="1"/>
  <c r="AH143" i="34" s="1"/>
  <c r="AE135" i="34"/>
  <c r="AE136" i="34" s="1"/>
  <c r="AF139" i="34"/>
  <c r="AF140" i="34" s="1"/>
  <c r="AF149" i="34" s="1"/>
  <c r="AF152" i="34" s="1"/>
  <c r="AF153" i="34" s="1"/>
  <c r="AJ139" i="34"/>
  <c r="AJ140" i="34" s="1"/>
  <c r="AJ143" i="34" s="1"/>
  <c r="AL154" i="34"/>
  <c r="AC121" i="34"/>
  <c r="CA121" i="34"/>
  <c r="AB135" i="34"/>
  <c r="AB136" i="34" s="1"/>
  <c r="AZ139" i="34"/>
  <c r="AZ140" i="34" s="1"/>
  <c r="AZ135" i="34"/>
  <c r="AZ136" i="34" s="1"/>
  <c r="AY139" i="34"/>
  <c r="AY140" i="34" s="1"/>
  <c r="AY135" i="34"/>
  <c r="AY136" i="34" s="1"/>
  <c r="AX135" i="34"/>
  <c r="AX136" i="34" s="1"/>
  <c r="AX139" i="34"/>
  <c r="AX140" i="34" s="1"/>
  <c r="AW139" i="34"/>
  <c r="AW140" i="34" s="1"/>
  <c r="AW135" i="34"/>
  <c r="AW136" i="34" s="1"/>
  <c r="AV135" i="34"/>
  <c r="AV136" i="34" s="1"/>
  <c r="AV139" i="34"/>
  <c r="AV140" i="34" s="1"/>
  <c r="BC139" i="34"/>
  <c r="BC140" i="34" s="1"/>
  <c r="BC135" i="34"/>
  <c r="BC136" i="34" s="1"/>
  <c r="AU139" i="34"/>
  <c r="AU140" i="34" s="1"/>
  <c r="AU135" i="34"/>
  <c r="AU136" i="34" s="1"/>
  <c r="E121" i="34"/>
  <c r="E122" i="34" s="1"/>
  <c r="BB139" i="34"/>
  <c r="BB140" i="34" s="1"/>
  <c r="BB135" i="34"/>
  <c r="BB136" i="34" s="1"/>
  <c r="AT135" i="34"/>
  <c r="AT136" i="34" s="1"/>
  <c r="AT139" i="34"/>
  <c r="AT140" i="34" s="1"/>
  <c r="BA139" i="34"/>
  <c r="BA140" i="34" s="1"/>
  <c r="BA135" i="34"/>
  <c r="BA136" i="34" s="1"/>
  <c r="CQ121" i="34"/>
  <c r="BD154" i="34"/>
  <c r="BD155" i="34" s="1"/>
  <c r="BD157" i="34" s="1"/>
  <c r="BD158" i="34" s="1"/>
  <c r="CW154" i="34"/>
  <c r="CW155" i="34" s="1"/>
  <c r="CW157" i="34" s="1"/>
  <c r="CW158" i="34" s="1"/>
  <c r="BL121" i="34"/>
  <c r="O121" i="34"/>
  <c r="BN121" i="34"/>
  <c r="AG154" i="34"/>
  <c r="N121" i="34"/>
  <c r="AX154" i="34"/>
  <c r="BA154" i="34"/>
  <c r="AH154" i="34"/>
  <c r="AS154" i="34"/>
  <c r="CO154" i="34"/>
  <c r="CO155" i="34" s="1"/>
  <c r="CO157" i="34" s="1"/>
  <c r="CO158" i="34" s="1"/>
  <c r="T121" i="34"/>
  <c r="BE154" i="34"/>
  <c r="BE155" i="34" s="1"/>
  <c r="BE157" i="34" s="1"/>
  <c r="BE158" i="34" s="1"/>
  <c r="AV121" i="34"/>
  <c r="BK121" i="34"/>
  <c r="BS154" i="34"/>
  <c r="BS155" i="34" s="1"/>
  <c r="BS157" i="34" s="1"/>
  <c r="BS158" i="34" s="1"/>
  <c r="CD121" i="34"/>
  <c r="X121" i="34"/>
  <c r="R154" i="34"/>
  <c r="CX121" i="34"/>
  <c r="CU121" i="34"/>
  <c r="AN121" i="34"/>
  <c r="BY121" i="34"/>
  <c r="AT154" i="34"/>
  <c r="CK154" i="34"/>
  <c r="CK155" i="34" s="1"/>
  <c r="CK157" i="34" s="1"/>
  <c r="CK158" i="34" s="1"/>
  <c r="BP121" i="34"/>
  <c r="V121" i="34"/>
  <c r="I121" i="34"/>
  <c r="Y121" i="34"/>
  <c r="BT154" i="34"/>
  <c r="BT155" i="34" s="1"/>
  <c r="BT157" i="34" s="1"/>
  <c r="BT158" i="34" s="1"/>
  <c r="Z121" i="34"/>
  <c r="CF154" i="34"/>
  <c r="CF155" i="34" s="1"/>
  <c r="CF157" i="34" s="1"/>
  <c r="CF158" i="34" s="1"/>
  <c r="P121" i="34"/>
  <c r="CL121" i="34"/>
  <c r="AF121" i="34"/>
  <c r="CB121" i="34"/>
  <c r="A113" i="34"/>
  <c r="AA135" i="34"/>
  <c r="AA136" i="34" s="1"/>
  <c r="AD135" i="34"/>
  <c r="AD136" i="34" s="1"/>
  <c r="Z139" i="34"/>
  <c r="Z140" i="34" s="1"/>
  <c r="Z143" i="34" s="1"/>
  <c r="AC135" i="34"/>
  <c r="AC136" i="34" s="1"/>
  <c r="P139" i="34"/>
  <c r="P140" i="34" s="1"/>
  <c r="P149" i="34" s="1"/>
  <c r="AQ139" i="34"/>
  <c r="AQ140" i="34" s="1"/>
  <c r="AQ135" i="34"/>
  <c r="AQ136" i="34" s="1"/>
  <c r="AP135" i="34"/>
  <c r="AP136" i="34" s="1"/>
  <c r="AP139" i="34"/>
  <c r="AP140" i="34" s="1"/>
  <c r="AR139" i="34"/>
  <c r="AR140" i="34" s="1"/>
  <c r="AR135" i="34"/>
  <c r="AR136" i="34" s="1"/>
  <c r="AO139" i="34"/>
  <c r="AO140" i="34" s="1"/>
  <c r="AO135" i="34"/>
  <c r="AO136" i="34" s="1"/>
  <c r="AN139" i="34"/>
  <c r="AN140" i="34" s="1"/>
  <c r="AN135" i="34"/>
  <c r="AN136" i="34" s="1"/>
  <c r="AM135" i="34"/>
  <c r="AM136" i="34" s="1"/>
  <c r="AM139" i="34"/>
  <c r="AM140" i="34" s="1"/>
  <c r="AL139" i="34"/>
  <c r="AL140" i="34" s="1"/>
  <c r="AL135" i="34"/>
  <c r="AL136" i="34" s="1"/>
  <c r="AS139" i="34"/>
  <c r="AS140" i="34" s="1"/>
  <c r="AS135" i="34"/>
  <c r="AS136" i="34" s="1"/>
  <c r="Q139" i="34"/>
  <c r="Q140" i="34" s="1"/>
  <c r="Q149" i="34" s="1"/>
  <c r="W135" i="34"/>
  <c r="W136" i="34" s="1"/>
  <c r="K135" i="34"/>
  <c r="K136" i="34" s="1"/>
  <c r="Y135" i="34"/>
  <c r="Y136" i="34" s="1"/>
  <c r="O139" i="34"/>
  <c r="O140" i="34" s="1"/>
  <c r="O149" i="34" s="1"/>
  <c r="M139" i="34"/>
  <c r="M140" i="34" s="1"/>
  <c r="M143" i="34" s="1"/>
  <c r="E139" i="34"/>
  <c r="E140" i="34" s="1"/>
  <c r="E135" i="34"/>
  <c r="E136" i="34" s="1"/>
  <c r="I139" i="34"/>
  <c r="I140" i="34" s="1"/>
  <c r="I149" i="34" s="1"/>
  <c r="S135" i="34"/>
  <c r="S136" i="34" s="1"/>
  <c r="X139" i="34"/>
  <c r="X140" i="34" s="1"/>
  <c r="X143" i="34" s="1"/>
  <c r="G139" i="34"/>
  <c r="G140" i="34" s="1"/>
  <c r="G149" i="34" s="1"/>
  <c r="L135" i="34"/>
  <c r="L136" i="34" s="1"/>
  <c r="V135" i="34"/>
  <c r="V136" i="34" s="1"/>
  <c r="R135" i="34"/>
  <c r="R136" i="34" s="1"/>
  <c r="H135" i="34"/>
  <c r="H136" i="34" s="1"/>
  <c r="J135" i="34"/>
  <c r="J136" i="34" s="1"/>
  <c r="N139" i="34"/>
  <c r="N140" i="34" s="1"/>
  <c r="N149" i="34" s="1"/>
  <c r="U139" i="34"/>
  <c r="U140" i="34" s="1"/>
  <c r="U149" i="34" s="1"/>
  <c r="A132" i="34"/>
  <c r="F135" i="34"/>
  <c r="F136" i="34" s="1"/>
  <c r="T139" i="34"/>
  <c r="T140" i="34" s="1"/>
  <c r="F149" i="34"/>
  <c r="F143" i="34"/>
  <c r="AK149" i="34"/>
  <c r="AK152" i="34" s="1"/>
  <c r="AK153" i="34" s="1"/>
  <c r="AK143" i="34"/>
  <c r="AB149" i="34"/>
  <c r="AB143" i="34"/>
  <c r="AE149" i="34"/>
  <c r="AE152" i="34" s="1"/>
  <c r="AE153" i="34" s="1"/>
  <c r="AE143" i="34"/>
  <c r="AD149" i="34"/>
  <c r="AD143" i="34"/>
  <c r="AC149" i="34"/>
  <c r="AC143" i="34"/>
  <c r="A117" i="34"/>
  <c r="S149" i="34"/>
  <c r="S143" i="34"/>
  <c r="L149" i="34"/>
  <c r="L143" i="34"/>
  <c r="R149" i="34"/>
  <c r="R143" i="34"/>
  <c r="AA149" i="34"/>
  <c r="AA143" i="34"/>
  <c r="H149" i="34"/>
  <c r="H143" i="34"/>
  <c r="K149" i="34"/>
  <c r="K143" i="34"/>
  <c r="W149" i="34"/>
  <c r="W143" i="34"/>
  <c r="V149" i="34"/>
  <c r="V143" i="34"/>
  <c r="J149" i="34"/>
  <c r="J143" i="34"/>
  <c r="Y143" i="34"/>
  <c r="Y149" i="34"/>
  <c r="C121" i="34"/>
  <c r="C122" i="34" s="1"/>
  <c r="C154" i="34"/>
  <c r="A118" i="34"/>
  <c r="A114" i="34"/>
  <c r="D150" i="34"/>
  <c r="AG149" i="34" l="1"/>
  <c r="AG152" i="34" s="1"/>
  <c r="AG153" i="34" s="1"/>
  <c r="F33" i="86"/>
  <c r="D143" i="34"/>
  <c r="D149" i="34"/>
  <c r="AI143" i="34"/>
  <c r="AH149" i="34"/>
  <c r="AH152" i="34" s="1"/>
  <c r="AH153" i="34" s="1"/>
  <c r="AF143" i="34"/>
  <c r="AJ149" i="34"/>
  <c r="AJ152" i="34" s="1"/>
  <c r="AJ153" i="34" s="1"/>
  <c r="AJ155" i="34" s="1"/>
  <c r="AJ157" i="34" s="1"/>
  <c r="AJ158" i="34" s="1"/>
  <c r="A122" i="34"/>
  <c r="G124" i="34" s="1"/>
  <c r="G151" i="34" s="1"/>
  <c r="G152" i="34" s="1"/>
  <c r="G153" i="34" s="1"/>
  <c r="G155" i="34" s="1"/>
  <c r="G157" i="34" s="1"/>
  <c r="G158" i="34" s="1"/>
  <c r="AT149" i="34"/>
  <c r="AT152" i="34" s="1"/>
  <c r="AT153" i="34" s="1"/>
  <c r="AT143" i="34"/>
  <c r="BC149" i="34"/>
  <c r="BC143" i="34"/>
  <c r="AX149" i="34"/>
  <c r="AX152" i="34" s="1"/>
  <c r="AX153" i="34" s="1"/>
  <c r="AX143" i="34"/>
  <c r="AU149" i="34"/>
  <c r="AU143" i="34"/>
  <c r="BA149" i="34"/>
  <c r="BA152" i="34" s="1"/>
  <c r="BA153" i="34" s="1"/>
  <c r="BA143" i="34"/>
  <c r="BB149" i="34"/>
  <c r="BB143" i="34"/>
  <c r="AV149" i="34"/>
  <c r="AV143" i="34"/>
  <c r="AY149" i="34"/>
  <c r="AY143" i="34"/>
  <c r="AW149" i="34"/>
  <c r="AW143" i="34"/>
  <c r="AZ149" i="34"/>
  <c r="AZ143" i="34"/>
  <c r="A154" i="34"/>
  <c r="Z149" i="34"/>
  <c r="P143" i="34"/>
  <c r="AS149" i="34"/>
  <c r="AS143" i="34"/>
  <c r="AR149" i="34"/>
  <c r="AR143" i="34"/>
  <c r="AP149" i="34"/>
  <c r="AP143" i="34"/>
  <c r="AN149" i="34"/>
  <c r="AN143" i="34"/>
  <c r="AL149" i="34"/>
  <c r="AL143" i="34"/>
  <c r="AO149" i="34"/>
  <c r="AO143" i="34"/>
  <c r="AQ149" i="34"/>
  <c r="AQ143" i="34"/>
  <c r="AM149" i="34"/>
  <c r="AM143" i="34"/>
  <c r="Q143" i="34"/>
  <c r="M149" i="34"/>
  <c r="O143" i="34"/>
  <c r="I143" i="34"/>
  <c r="E143" i="34"/>
  <c r="E149" i="34"/>
  <c r="G143" i="34"/>
  <c r="X149" i="34"/>
  <c r="A136" i="34"/>
  <c r="U143" i="34"/>
  <c r="N143" i="34"/>
  <c r="A140" i="34"/>
  <c r="T149" i="34"/>
  <c r="T143" i="34"/>
  <c r="AK155" i="34"/>
  <c r="AK157" i="34" s="1"/>
  <c r="AK158" i="34" s="1"/>
  <c r="AI155" i="34"/>
  <c r="AI157" i="34" s="1"/>
  <c r="AI158" i="34" s="1"/>
  <c r="AF155" i="34"/>
  <c r="AF157" i="34" s="1"/>
  <c r="AF158" i="34" s="1"/>
  <c r="AE155" i="34"/>
  <c r="AE157" i="34" s="1"/>
  <c r="AE158" i="34" s="1"/>
  <c r="Y124" i="34"/>
  <c r="Y151" i="34" s="1"/>
  <c r="Y152" i="34" s="1"/>
  <c r="Y153" i="34" s="1"/>
  <c r="Y155" i="34" s="1"/>
  <c r="Y157" i="34" s="1"/>
  <c r="Y158" i="34" s="1"/>
  <c r="Z124" i="34"/>
  <c r="Z151" i="34" s="1"/>
  <c r="AA124" i="34"/>
  <c r="AA151" i="34" s="1"/>
  <c r="AA152" i="34" s="1"/>
  <c r="AA153" i="34" s="1"/>
  <c r="AA155" i="34" s="1"/>
  <c r="AA157" i="34" s="1"/>
  <c r="AA158" i="34" s="1"/>
  <c r="AB124" i="34"/>
  <c r="AB151" i="34" s="1"/>
  <c r="AB152" i="34" s="1"/>
  <c r="AB153" i="34" s="1"/>
  <c r="AB155" i="34" s="1"/>
  <c r="AB157" i="34" s="1"/>
  <c r="AB158" i="34" s="1"/>
  <c r="AD124" i="34"/>
  <c r="AD151" i="34" s="1"/>
  <c r="AD152" i="34" s="1"/>
  <c r="AD153" i="34" s="1"/>
  <c r="AD155" i="34" s="1"/>
  <c r="AD157" i="34" s="1"/>
  <c r="AD158" i="34" s="1"/>
  <c r="AC124" i="34"/>
  <c r="AC151" i="34" s="1"/>
  <c r="AC152" i="34" s="1"/>
  <c r="AC153" i="34" s="1"/>
  <c r="AC155" i="34" s="1"/>
  <c r="AC157" i="34" s="1"/>
  <c r="AC158" i="34" s="1"/>
  <c r="X124" i="34"/>
  <c r="X151" i="34" s="1"/>
  <c r="W124" i="34"/>
  <c r="W151" i="34" s="1"/>
  <c r="W152" i="34" s="1"/>
  <c r="W153" i="34" s="1"/>
  <c r="W155" i="34" s="1"/>
  <c r="W157" i="34" s="1"/>
  <c r="W158" i="34" s="1"/>
  <c r="V124" i="34"/>
  <c r="V151" i="34" s="1"/>
  <c r="V152" i="34" s="1"/>
  <c r="V153" i="34" s="1"/>
  <c r="V155" i="34" s="1"/>
  <c r="V157" i="34" s="1"/>
  <c r="V158" i="34" s="1"/>
  <c r="U124" i="34"/>
  <c r="U151" i="34" s="1"/>
  <c r="U152" i="34" s="1"/>
  <c r="U153" i="34" s="1"/>
  <c r="U155" i="34" s="1"/>
  <c r="U157" i="34" s="1"/>
  <c r="U158" i="34" s="1"/>
  <c r="T124" i="34"/>
  <c r="T151" i="34" s="1"/>
  <c r="S124" i="34"/>
  <c r="S151" i="34" s="1"/>
  <c r="S152" i="34" s="1"/>
  <c r="S153" i="34" s="1"/>
  <c r="S155" i="34" s="1"/>
  <c r="S157" i="34" s="1"/>
  <c r="S158" i="34" s="1"/>
  <c r="A121" i="34"/>
  <c r="Q124" i="34"/>
  <c r="Q151" i="34" s="1"/>
  <c r="Q152" i="34" s="1"/>
  <c r="Q153" i="34" s="1"/>
  <c r="Q155" i="34" s="1"/>
  <c r="Q157" i="34" s="1"/>
  <c r="Q158" i="34" s="1"/>
  <c r="R124" i="34"/>
  <c r="R151" i="34" s="1"/>
  <c r="R152" i="34" s="1"/>
  <c r="R153" i="34" s="1"/>
  <c r="R155" i="34" s="1"/>
  <c r="R157" i="34" s="1"/>
  <c r="R158" i="34" s="1"/>
  <c r="A150" i="34"/>
  <c r="AG155" i="34" l="1"/>
  <c r="AG157" i="34" s="1"/>
  <c r="AG158" i="34" s="1"/>
  <c r="AH155" i="34"/>
  <c r="AH157" i="34" s="1"/>
  <c r="AH158" i="34" s="1"/>
  <c r="E124" i="34"/>
  <c r="E151" i="34" s="1"/>
  <c r="L124" i="34"/>
  <c r="L151" i="34" s="1"/>
  <c r="L152" i="34" s="1"/>
  <c r="L153" i="34" s="1"/>
  <c r="L155" i="34" s="1"/>
  <c r="L157" i="34" s="1"/>
  <c r="L158" i="34" s="1"/>
  <c r="I124" i="34"/>
  <c r="I151" i="34" s="1"/>
  <c r="I152" i="34" s="1"/>
  <c r="I153" i="34" s="1"/>
  <c r="I155" i="34" s="1"/>
  <c r="I157" i="34" s="1"/>
  <c r="I158" i="34" s="1"/>
  <c r="K124" i="34"/>
  <c r="K151" i="34" s="1"/>
  <c r="K152" i="34" s="1"/>
  <c r="K153" i="34" s="1"/>
  <c r="K155" i="34" s="1"/>
  <c r="K157" i="34" s="1"/>
  <c r="K158" i="34" s="1"/>
  <c r="C124" i="34"/>
  <c r="C151" i="34" s="1"/>
  <c r="C152" i="34" s="1"/>
  <c r="C153" i="34" s="1"/>
  <c r="C155" i="34" s="1"/>
  <c r="C157" i="34" s="1"/>
  <c r="C158" i="34" s="1"/>
  <c r="H124" i="34"/>
  <c r="H151" i="34" s="1"/>
  <c r="H152" i="34" s="1"/>
  <c r="H153" i="34" s="1"/>
  <c r="H155" i="34" s="1"/>
  <c r="H157" i="34" s="1"/>
  <c r="H158" i="34" s="1"/>
  <c r="D124" i="34"/>
  <c r="D151" i="34" s="1"/>
  <c r="D152" i="34" s="1"/>
  <c r="D153" i="34" s="1"/>
  <c r="D155" i="34" s="1"/>
  <c r="D157" i="34" s="1"/>
  <c r="D158" i="34" s="1"/>
  <c r="O124" i="34"/>
  <c r="O151" i="34" s="1"/>
  <c r="O152" i="34" s="1"/>
  <c r="O153" i="34" s="1"/>
  <c r="O155" i="34" s="1"/>
  <c r="O157" i="34" s="1"/>
  <c r="O158" i="34" s="1"/>
  <c r="F124" i="34"/>
  <c r="F151" i="34" s="1"/>
  <c r="F152" i="34" s="1"/>
  <c r="F153" i="34" s="1"/>
  <c r="F155" i="34" s="1"/>
  <c r="F157" i="34" s="1"/>
  <c r="F158" i="34" s="1"/>
  <c r="N124" i="34"/>
  <c r="N151" i="34" s="1"/>
  <c r="N152" i="34" s="1"/>
  <c r="N153" i="34" s="1"/>
  <c r="N155" i="34" s="1"/>
  <c r="N157" i="34" s="1"/>
  <c r="N158" i="34" s="1"/>
  <c r="J124" i="34"/>
  <c r="J151" i="34" s="1"/>
  <c r="J152" i="34" s="1"/>
  <c r="J153" i="34" s="1"/>
  <c r="J155" i="34" s="1"/>
  <c r="J157" i="34" s="1"/>
  <c r="J158" i="34" s="1"/>
  <c r="P124" i="34"/>
  <c r="P151" i="34" s="1"/>
  <c r="P152" i="34" s="1"/>
  <c r="P153" i="34" s="1"/>
  <c r="P155" i="34" s="1"/>
  <c r="P157" i="34" s="1"/>
  <c r="P158" i="34" s="1"/>
  <c r="M124" i="34"/>
  <c r="M151" i="34" s="1"/>
  <c r="M152" i="34" s="1"/>
  <c r="M153" i="34" s="1"/>
  <c r="M155" i="34" s="1"/>
  <c r="M157" i="34" s="1"/>
  <c r="M158" i="34" s="1"/>
  <c r="AZ152" i="34"/>
  <c r="AZ153" i="34" s="1"/>
  <c r="AZ155" i="34" s="1"/>
  <c r="AZ157" i="34" s="1"/>
  <c r="AZ158" i="34" s="1"/>
  <c r="BB152" i="34"/>
  <c r="BB153" i="34" s="1"/>
  <c r="BB155" i="34" s="1"/>
  <c r="BB157" i="34" s="1"/>
  <c r="BB158" i="34" s="1"/>
  <c r="BC152" i="34"/>
  <c r="BC153" i="34" s="1"/>
  <c r="BC155" i="34" s="1"/>
  <c r="BC157" i="34" s="1"/>
  <c r="BC158" i="34" s="1"/>
  <c r="AV152" i="34"/>
  <c r="AV153" i="34" s="1"/>
  <c r="AV155" i="34" s="1"/>
  <c r="AV157" i="34" s="1"/>
  <c r="AV158" i="34" s="1"/>
  <c r="AW152" i="34"/>
  <c r="AW153" i="34" s="1"/>
  <c r="AW155" i="34" s="1"/>
  <c r="AW157" i="34" s="1"/>
  <c r="AW158" i="34" s="1"/>
  <c r="AY152" i="34"/>
  <c r="AY153" i="34" s="1"/>
  <c r="AY155" i="34" s="1"/>
  <c r="AY157" i="34" s="1"/>
  <c r="AY158" i="34" s="1"/>
  <c r="AU152" i="34"/>
  <c r="AU153" i="34" s="1"/>
  <c r="AU155" i="34" s="1"/>
  <c r="AU157" i="34" s="1"/>
  <c r="AU158" i="34" s="1"/>
  <c r="BA155" i="34"/>
  <c r="BA157" i="34" s="1"/>
  <c r="BA158" i="34" s="1"/>
  <c r="AX155" i="34"/>
  <c r="AX157" i="34" s="1"/>
  <c r="AX158" i="34" s="1"/>
  <c r="AT155" i="34"/>
  <c r="AT157" i="34" s="1"/>
  <c r="AT158" i="34" s="1"/>
  <c r="Z152" i="34"/>
  <c r="Z153" i="34" s="1"/>
  <c r="Z155" i="34" s="1"/>
  <c r="Z157" i="34" s="1"/>
  <c r="Z158" i="34" s="1"/>
  <c r="AN152" i="34"/>
  <c r="AN153" i="34" s="1"/>
  <c r="AN155" i="34" s="1"/>
  <c r="AN157" i="34" s="1"/>
  <c r="AN158" i="34" s="1"/>
  <c r="AQ152" i="34"/>
  <c r="AQ153" i="34" s="1"/>
  <c r="AQ155" i="34" s="1"/>
  <c r="AQ157" i="34" s="1"/>
  <c r="AQ158" i="34" s="1"/>
  <c r="AP152" i="34"/>
  <c r="AP153" i="34" s="1"/>
  <c r="AP155" i="34" s="1"/>
  <c r="AP157" i="34" s="1"/>
  <c r="AP158" i="34" s="1"/>
  <c r="AO152" i="34"/>
  <c r="AO153" i="34" s="1"/>
  <c r="AO155" i="34" s="1"/>
  <c r="AO157" i="34" s="1"/>
  <c r="AO158" i="34" s="1"/>
  <c r="AR152" i="34"/>
  <c r="AR153" i="34" s="1"/>
  <c r="AR155" i="34" s="1"/>
  <c r="AR157" i="34" s="1"/>
  <c r="AR158" i="34" s="1"/>
  <c r="AM152" i="34"/>
  <c r="AM153" i="34" s="1"/>
  <c r="AM155" i="34" s="1"/>
  <c r="AM157" i="34" s="1"/>
  <c r="AM158" i="34" s="1"/>
  <c r="AL152" i="34"/>
  <c r="AL153" i="34" s="1"/>
  <c r="AL155" i="34" s="1"/>
  <c r="AL157" i="34" s="1"/>
  <c r="AL158" i="34" s="1"/>
  <c r="AS152" i="34"/>
  <c r="AS153" i="34" s="1"/>
  <c r="AS155" i="34" s="1"/>
  <c r="AS157" i="34" s="1"/>
  <c r="AS158" i="34" s="1"/>
  <c r="E152" i="34"/>
  <c r="E153" i="34" s="1"/>
  <c r="E155" i="34" s="1"/>
  <c r="E157" i="34" s="1"/>
  <c r="E158" i="34" s="1"/>
  <c r="A149" i="34"/>
  <c r="X152" i="34"/>
  <c r="X153" i="34" s="1"/>
  <c r="X155" i="34" s="1"/>
  <c r="X157" i="34" s="1"/>
  <c r="X158" i="34" s="1"/>
  <c r="A143" i="34"/>
  <c r="T152" i="34"/>
  <c r="T153" i="34" s="1"/>
  <c r="T155" i="34" s="1"/>
  <c r="T157" i="34" s="1"/>
  <c r="T158" i="34" s="1"/>
  <c r="A124" i="34" l="1"/>
  <c r="A159" i="34"/>
  <c r="A151" i="34"/>
  <c r="A152" i="34" l="1"/>
  <c r="A153" i="34" l="1"/>
  <c r="A155" i="34" l="1"/>
  <c r="A157" i="34" l="1"/>
  <c r="C11" i="34" l="1"/>
  <c r="C12" i="34" s="1"/>
  <c r="C14"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Myers, Corey Adam</author>
  </authors>
  <commentList>
    <comment ref="B23" authorId="0" shapeId="0" xr:uid="{A3C1CDE6-769E-4621-9313-C7C49228E0EB}">
      <text>
        <r>
          <rPr>
            <b/>
            <sz val="9"/>
            <color indexed="81"/>
            <rFont val="Tahoma"/>
            <family val="2"/>
          </rPr>
          <t>Myers, Corey Adam:</t>
        </r>
        <r>
          <rPr>
            <sz val="9"/>
            <color indexed="81"/>
            <rFont val="Tahoma"/>
            <family val="2"/>
          </rPr>
          <t xml:space="preserve">
Reference 12; 
Table 4;
Industry and occupational group: Production, transportation, and
material moving occupations.
Transportation and material moving occupations.</t>
        </r>
      </text>
    </comment>
    <comment ref="B24" authorId="0" shapeId="0" xr:uid="{1DA88406-E476-4ECE-B538-2153FDAE1561}">
      <text>
        <r>
          <rPr>
            <b/>
            <sz val="9"/>
            <color indexed="81"/>
            <rFont val="Tahoma"/>
            <family val="2"/>
          </rPr>
          <t>Myers, Corey Adam:</t>
        </r>
        <r>
          <rPr>
            <sz val="9"/>
            <color indexed="81"/>
            <rFont val="Tahoma"/>
            <family val="2"/>
          </rPr>
          <t xml:space="preserve">
Reference 12; 
Table 4;
Industry and occupational group: Production, transportation, and
material moving occupations.
Production occupations.</t>
        </r>
      </text>
    </comment>
    <comment ref="B36" authorId="0" shapeId="0" xr:uid="{271A3F20-44A8-4E8B-ACC9-6FB532FFC351}">
      <text>
        <r>
          <rPr>
            <b/>
            <sz val="9"/>
            <color indexed="81"/>
            <rFont val="Tahoma"/>
            <family val="2"/>
          </rPr>
          <t>Myers, Corey Adam:</t>
        </r>
        <r>
          <rPr>
            <sz val="9"/>
            <color indexed="81"/>
            <rFont val="Tahoma"/>
            <family val="2"/>
          </rPr>
          <t xml:space="preserve">
Reference 7</t>
        </r>
      </text>
    </comment>
    <comment ref="B37" authorId="0" shapeId="0" xr:uid="{F8BB5A30-B2A2-4A54-8117-3DF55CFED9BF}">
      <text>
        <r>
          <rPr>
            <b/>
            <sz val="9"/>
            <color indexed="81"/>
            <rFont val="Tahoma"/>
            <family val="2"/>
          </rPr>
          <t>Myers, Corey Adam:</t>
        </r>
        <r>
          <rPr>
            <sz val="9"/>
            <color indexed="81"/>
            <rFont val="Tahoma"/>
            <family val="2"/>
          </rPr>
          <t xml:space="preserve">
Reference 7</t>
        </r>
      </text>
    </comment>
    <comment ref="B39" authorId="0" shapeId="0" xr:uid="{DF1F60A0-12D1-4570-9C50-16BE7F82B938}">
      <text>
        <r>
          <rPr>
            <b/>
            <sz val="9"/>
            <color indexed="81"/>
            <rFont val="Tahoma"/>
            <family val="2"/>
          </rPr>
          <t>Myers, Corey Adam:</t>
        </r>
        <r>
          <rPr>
            <sz val="9"/>
            <color indexed="81"/>
            <rFont val="Tahoma"/>
            <family val="2"/>
          </rPr>
          <t xml:space="preserve">
Refrence 28.
Pastureland.</t>
        </r>
      </text>
    </comment>
    <comment ref="B72" authorId="0" shapeId="0" xr:uid="{3CB515E5-C376-44BA-9063-CD677DAB80A5}">
      <text>
        <r>
          <rPr>
            <b/>
            <sz val="9"/>
            <color indexed="81"/>
            <rFont val="Tahoma"/>
            <family val="2"/>
          </rPr>
          <t>Myers, Corey Adam:</t>
        </r>
        <r>
          <rPr>
            <sz val="9"/>
            <color indexed="81"/>
            <rFont val="Tahoma"/>
            <family val="2"/>
          </rPr>
          <t xml:space="preserve">
reference 16
calculated from CO2 intensity and fuel usage regulated limits;
using IPCC AR6 100-y GWP factors</t>
        </r>
      </text>
    </comment>
    <comment ref="B74" authorId="0" shapeId="0" xr:uid="{BE65EC71-C474-42C1-B12D-D3DCBF9DA5B2}">
      <text>
        <r>
          <rPr>
            <b/>
            <sz val="9"/>
            <color indexed="81"/>
            <rFont val="Tahoma"/>
            <family val="2"/>
          </rPr>
          <t>Myers, Corey Adam:</t>
        </r>
        <r>
          <rPr>
            <sz val="9"/>
            <color indexed="81"/>
            <rFont val="Tahoma"/>
            <family val="2"/>
          </rPr>
          <t xml:space="preserve">
Reference 41</t>
        </r>
      </text>
    </comment>
    <comment ref="B76" authorId="0" shapeId="0" xr:uid="{DB908098-C594-44F3-99E5-E24687D73912}">
      <text>
        <r>
          <rPr>
            <b/>
            <sz val="9"/>
            <color indexed="81"/>
            <rFont val="Tahoma"/>
            <family val="2"/>
          </rPr>
          <t>Myers, Corey Adam:</t>
        </r>
        <r>
          <rPr>
            <sz val="9"/>
            <color indexed="81"/>
            <rFont val="Tahoma"/>
            <family val="2"/>
          </rPr>
          <t xml:space="preserve">
Reference 41;
using IPCC AR6 100-y GWP factors</t>
        </r>
      </text>
    </comment>
    <comment ref="B78" authorId="0" shapeId="0" xr:uid="{90965324-E50C-4F8B-8052-1343D33596AC}">
      <text>
        <r>
          <rPr>
            <b/>
            <sz val="9"/>
            <color indexed="81"/>
            <rFont val="Tahoma"/>
            <family val="2"/>
          </rPr>
          <t>Myers, Corey Adam:</t>
        </r>
        <r>
          <rPr>
            <sz val="9"/>
            <color indexed="81"/>
            <rFont val="Tahoma"/>
            <family val="2"/>
          </rPr>
          <t xml:space="preserve">
using IPCC AR6 100-y GWP factors</t>
        </r>
      </text>
    </comment>
    <comment ref="B79" authorId="0" shapeId="0" xr:uid="{CB64439E-75BC-4572-8BCE-0C687EB1D8D3}">
      <text>
        <r>
          <rPr>
            <b/>
            <sz val="9"/>
            <color indexed="81"/>
            <rFont val="Tahoma"/>
            <family val="2"/>
          </rPr>
          <t>Myers, Corey Adam:</t>
        </r>
        <r>
          <rPr>
            <sz val="9"/>
            <color indexed="81"/>
            <rFont val="Tahoma"/>
            <family val="2"/>
          </rPr>
          <t xml:space="preserve">
Reference 24.
Average of acceptable range 135–160 lb/ft3.</t>
        </r>
      </text>
    </comment>
    <comment ref="B80" authorId="0" shapeId="0" xr:uid="{4F3D44D2-8D4C-471A-877F-766CA4E17FBB}">
      <text>
        <r>
          <rPr>
            <b/>
            <sz val="9"/>
            <color indexed="81"/>
            <rFont val="Tahoma"/>
            <family val="2"/>
          </rPr>
          <t>Myers, Corey Adam:</t>
        </r>
        <r>
          <rPr>
            <sz val="9"/>
            <color indexed="81"/>
            <rFont val="Tahoma"/>
            <family val="2"/>
          </rPr>
          <t xml:space="preserve">
Reference 41;
using IPCC AR6 100-y GWP factors</t>
        </r>
      </text>
    </comment>
    <comment ref="B82" authorId="0" shapeId="0" xr:uid="{12032861-2CD0-40FA-ACB7-CB90E56E4119}">
      <text>
        <r>
          <rPr>
            <b/>
            <sz val="9"/>
            <color indexed="81"/>
            <rFont val="Tahoma"/>
            <family val="2"/>
          </rPr>
          <t>Myers, Corey Adam:</t>
        </r>
        <r>
          <rPr>
            <sz val="9"/>
            <color indexed="81"/>
            <rFont val="Tahoma"/>
            <family val="2"/>
          </rPr>
          <t xml:space="preserve">
using IPCC AR6 100-y GWP factors</t>
        </r>
      </text>
    </comment>
    <comment ref="B85" authorId="0" shapeId="0" xr:uid="{8C525EAE-18C2-4065-AB90-70DDF195623D}">
      <text>
        <r>
          <rPr>
            <b/>
            <sz val="9"/>
            <color indexed="81"/>
            <rFont val="Tahoma"/>
            <family val="2"/>
          </rPr>
          <t>Myers, Corey Adam:</t>
        </r>
        <r>
          <rPr>
            <sz val="9"/>
            <color indexed="81"/>
            <rFont val="Tahoma"/>
            <family val="2"/>
          </rPr>
          <t xml:space="preserve">
Reference 40</t>
        </r>
      </text>
    </comment>
    <comment ref="B87" authorId="0" shapeId="0" xr:uid="{3607E7F4-8CB3-4633-8A6F-BF9ED9AB6B34}">
      <text>
        <r>
          <rPr>
            <b/>
            <sz val="9"/>
            <color indexed="81"/>
            <rFont val="Tahoma"/>
            <family val="2"/>
          </rPr>
          <t>Myers, Corey Adam:</t>
        </r>
        <r>
          <rPr>
            <sz val="9"/>
            <color indexed="81"/>
            <rFont val="Tahoma"/>
            <family val="2"/>
          </rPr>
          <t xml:space="preserve">
Reference 40</t>
        </r>
      </text>
    </comment>
    <comment ref="B90" authorId="0" shapeId="0" xr:uid="{B2DC035F-EED4-4D12-8A88-ED0C3550B82F}">
      <text>
        <r>
          <rPr>
            <b/>
            <sz val="9"/>
            <color indexed="81"/>
            <rFont val="Tahoma"/>
            <family val="2"/>
          </rPr>
          <t>Myers, Corey Adam:</t>
        </r>
        <r>
          <rPr>
            <sz val="9"/>
            <color indexed="81"/>
            <rFont val="Tahoma"/>
            <family val="2"/>
          </rPr>
          <t xml:space="preserve">
Refrence 29.
Perlite evacuated to 20 Pa.</t>
        </r>
      </text>
    </comment>
    <comment ref="B91" authorId="0" shapeId="0" xr:uid="{1800782A-C295-4224-A55A-D090393C3F73}">
      <text>
        <r>
          <rPr>
            <b/>
            <sz val="9"/>
            <color indexed="81"/>
            <rFont val="Tahoma"/>
            <family val="2"/>
          </rPr>
          <t>Myers, Corey Adam:</t>
        </r>
        <r>
          <rPr>
            <sz val="9"/>
            <color indexed="81"/>
            <rFont val="Tahoma"/>
            <family val="2"/>
          </rPr>
          <t xml:space="preserve">
Refrence 29.
Polyurethane evacauated to 20000 Pa.</t>
        </r>
      </text>
    </comment>
    <comment ref="B92" authorId="0" shapeId="0" xr:uid="{11209484-FFBD-46ED-ACE7-4311B0CB0E47}">
      <text>
        <r>
          <rPr>
            <b/>
            <sz val="9"/>
            <color indexed="81"/>
            <rFont val="Tahoma"/>
            <family val="2"/>
          </rPr>
          <t>Myers, Corey Adam:</t>
        </r>
        <r>
          <rPr>
            <sz val="9"/>
            <color indexed="81"/>
            <rFont val="Tahoma"/>
            <family val="2"/>
          </rPr>
          <t xml:space="preserve">
Dry, sea level.</t>
        </r>
      </text>
    </comment>
    <comment ref="B96" authorId="0" shapeId="0" xr:uid="{5391993B-78D4-4187-9499-ECC4AE3DD6F5}">
      <text>
        <r>
          <rPr>
            <b/>
            <sz val="9"/>
            <color indexed="81"/>
            <rFont val="Tahoma"/>
            <family val="2"/>
          </rPr>
          <t>Myers, Corey Adam:</t>
        </r>
        <r>
          <rPr>
            <sz val="9"/>
            <color indexed="81"/>
            <rFont val="Tahoma"/>
            <family val="2"/>
          </rPr>
          <t xml:space="preserve">
Reference 33.
Partly cloudy conditions.</t>
        </r>
      </text>
    </comment>
    <comment ref="B97" authorId="0" shapeId="0" xr:uid="{84308EFD-8029-4E8C-8707-0B33FCB01B5D}">
      <text>
        <r>
          <rPr>
            <b/>
            <sz val="9"/>
            <color indexed="81"/>
            <rFont val="Tahoma"/>
            <family val="2"/>
          </rPr>
          <t>Myers, Corey Adam:</t>
        </r>
        <r>
          <rPr>
            <sz val="9"/>
            <color indexed="81"/>
            <rFont val="Tahoma"/>
            <family val="2"/>
          </rPr>
          <t xml:space="preserve">
Refrence 35.</t>
        </r>
      </text>
    </comment>
    <comment ref="B98" authorId="0" shapeId="0" xr:uid="{AA87D6F4-AB2B-4CAC-B82D-593EBDF262E5}">
      <text>
        <r>
          <rPr>
            <b/>
            <sz val="9"/>
            <color indexed="81"/>
            <rFont val="Tahoma"/>
            <family val="2"/>
          </rPr>
          <t>Myers, Corey Adam:</t>
        </r>
        <r>
          <rPr>
            <sz val="9"/>
            <color indexed="81"/>
            <rFont val="Tahoma"/>
            <family val="2"/>
          </rPr>
          <t xml:space="preserve">
at 1.5 Mpa and -29 C</t>
        </r>
      </text>
    </comment>
    <comment ref="B99" authorId="0" shapeId="0" xr:uid="{9D15D220-22AC-4EFB-A9EC-E9FF284AAEC7}">
      <text>
        <r>
          <rPr>
            <b/>
            <sz val="9"/>
            <color indexed="81"/>
            <rFont val="Tahoma"/>
            <family val="2"/>
          </rPr>
          <t>Myers, Corey Adam:</t>
        </r>
        <r>
          <rPr>
            <sz val="9"/>
            <color indexed="81"/>
            <rFont val="Tahoma"/>
            <family val="2"/>
          </rPr>
          <t xml:space="preserve">
Reference 32</t>
        </r>
      </text>
    </comment>
    <comment ref="B104" authorId="0" shapeId="0" xr:uid="{9EE03F8A-4CE1-426C-B609-FA339D876311}">
      <text>
        <r>
          <rPr>
            <b/>
            <sz val="9"/>
            <color indexed="81"/>
            <rFont val="Tahoma"/>
            <family val="2"/>
          </rPr>
          <t>Myers, Corey Adam:</t>
        </r>
        <r>
          <rPr>
            <sz val="9"/>
            <color indexed="81"/>
            <rFont val="Tahoma"/>
            <family val="2"/>
          </rPr>
          <t xml:space="preserve">
Reference 18</t>
        </r>
      </text>
    </comment>
    <comment ref="B105" authorId="0" shapeId="0" xr:uid="{1EE8EB66-DB01-4FAB-8139-1935DA2AAB59}">
      <text>
        <r>
          <rPr>
            <b/>
            <sz val="9"/>
            <color indexed="81"/>
            <rFont val="Tahoma"/>
            <family val="2"/>
          </rPr>
          <t>Myers, Corey Adam:</t>
        </r>
        <r>
          <rPr>
            <sz val="9"/>
            <color indexed="81"/>
            <rFont val="Tahoma"/>
            <family val="2"/>
          </rPr>
          <t xml:space="preserve">
Reference 19</t>
        </r>
      </text>
    </comment>
    <comment ref="B107" authorId="0" shapeId="0" xr:uid="{EF84E8C7-15BB-42DB-90BC-F51DC1B237BA}">
      <text>
        <r>
          <rPr>
            <b/>
            <sz val="9"/>
            <color indexed="81"/>
            <rFont val="Tahoma"/>
            <family val="2"/>
          </rPr>
          <t>Myers, Corey Adam:</t>
        </r>
        <r>
          <rPr>
            <sz val="9"/>
            <color indexed="81"/>
            <rFont val="Tahoma"/>
            <family val="2"/>
          </rPr>
          <t xml:space="preserve">
Refrence 31.
DOT 113A60W</t>
        </r>
      </text>
    </comment>
    <comment ref="B110" authorId="0" shapeId="0" xr:uid="{39EB6A18-E14E-4A58-ADD6-76B39140595A}">
      <text>
        <r>
          <rPr>
            <b/>
            <sz val="9"/>
            <color indexed="81"/>
            <rFont val="Tahoma"/>
            <family val="2"/>
          </rPr>
          <t>Myers, Corey Adam:</t>
        </r>
        <r>
          <rPr>
            <sz val="9"/>
            <color indexed="81"/>
            <rFont val="Tahoma"/>
            <family val="2"/>
          </rPr>
          <t xml:space="preserve">
Reference 38</t>
        </r>
      </text>
    </comment>
    <comment ref="B111" authorId="0" shapeId="0" xr:uid="{C1383025-E6E1-4471-B8D8-6AFDC46C51BD}">
      <text>
        <r>
          <rPr>
            <b/>
            <sz val="9"/>
            <color indexed="81"/>
            <rFont val="Tahoma"/>
            <family val="2"/>
          </rPr>
          <t>Myers, Corey Adam:</t>
        </r>
        <r>
          <rPr>
            <sz val="9"/>
            <color indexed="81"/>
            <rFont val="Tahoma"/>
            <family val="2"/>
          </rPr>
          <t xml:space="preserve">
Refrence 38</t>
        </r>
      </text>
    </comment>
    <comment ref="B112" authorId="0" shapeId="0" xr:uid="{098E73A2-E45B-4028-90EE-61A8DEAF123E}">
      <text>
        <r>
          <rPr>
            <b/>
            <sz val="9"/>
            <color indexed="81"/>
            <rFont val="Tahoma"/>
            <family val="2"/>
          </rPr>
          <t>Myers, Corey Adam:</t>
        </r>
        <r>
          <rPr>
            <sz val="9"/>
            <color indexed="81"/>
            <rFont val="Tahoma"/>
            <family val="2"/>
          </rPr>
          <t xml:space="preserve">
Reference 59
</t>
        </r>
      </text>
    </comment>
    <comment ref="B113" authorId="0" shapeId="0" xr:uid="{C524FA9E-2FBD-4792-AD2E-EE8F4627100F}">
      <text>
        <r>
          <rPr>
            <b/>
            <sz val="9"/>
            <color indexed="81"/>
            <rFont val="Tahoma"/>
            <family val="2"/>
          </rPr>
          <t>Myers, Corey Adam:</t>
        </r>
        <r>
          <rPr>
            <sz val="9"/>
            <color indexed="81"/>
            <rFont val="Tahoma"/>
            <family val="2"/>
          </rPr>
          <t xml:space="preserve">
Reference 54</t>
        </r>
      </text>
    </comment>
    <comment ref="B127" authorId="0" shapeId="0" xr:uid="{000E999D-1D23-46CA-99A4-96E45F46E43F}">
      <text>
        <r>
          <rPr>
            <b/>
            <sz val="9"/>
            <color indexed="81"/>
            <rFont val="Tahoma"/>
            <family val="2"/>
          </rPr>
          <t>Myers, Corey Adam:</t>
        </r>
        <r>
          <rPr>
            <sz val="9"/>
            <color indexed="81"/>
            <rFont val="Tahoma"/>
            <family val="2"/>
          </rPr>
          <t xml:space="preserve">
Reference 1</t>
        </r>
      </text>
    </comment>
    <comment ref="C130" authorId="0" shapeId="0" xr:uid="{E16D36FC-1E22-4710-857F-11955F24DA99}">
      <text>
        <r>
          <rPr>
            <b/>
            <sz val="9"/>
            <color indexed="81"/>
            <rFont val="Tahoma"/>
            <family val="2"/>
          </rPr>
          <t>Myers, Corey Adam:</t>
        </r>
        <r>
          <rPr>
            <sz val="9"/>
            <color indexed="81"/>
            <rFont val="Tahoma"/>
            <family val="2"/>
          </rPr>
          <t xml:space="preserve">
Reference 2</t>
        </r>
      </text>
    </comment>
    <comment ref="D130" authorId="0" shapeId="0" xr:uid="{FB19073B-512C-4836-B822-67C3BB62244E}">
      <text>
        <r>
          <rPr>
            <b/>
            <sz val="9"/>
            <color indexed="81"/>
            <rFont val="Tahoma"/>
            <family val="2"/>
          </rPr>
          <t>Myers, Corey Adam:</t>
        </r>
        <r>
          <rPr>
            <sz val="9"/>
            <color indexed="81"/>
            <rFont val="Tahoma"/>
            <family val="2"/>
          </rPr>
          <t xml:space="preserve">
Reference 17.
PPI industry data for Metal tank (heavy gauge) mfg, not seasonally adjusted</t>
        </r>
      </text>
    </comment>
    <comment ref="E130" authorId="0" shapeId="0" xr:uid="{D160564F-D4D2-4F82-9BE9-795305088589}">
      <text>
        <r>
          <rPr>
            <b/>
            <sz val="9"/>
            <color indexed="81"/>
            <rFont val="Tahoma"/>
            <family val="2"/>
          </rPr>
          <t>Myers, Corey Adam:</t>
        </r>
        <r>
          <rPr>
            <sz val="9"/>
            <color indexed="81"/>
            <rFont val="Tahoma"/>
            <family val="2"/>
          </rPr>
          <t xml:space="preserve">
Reference 17.
PPI industry data for General freight trucking, long-distance TL-General freight trucking, long-distance, truckload, not seasonally adjusted</t>
        </r>
      </text>
    </comment>
    <comment ref="B158" authorId="0" shapeId="0" xr:uid="{B182F9E0-BFDF-4BE0-A571-B91F3511295D}">
      <text>
        <r>
          <rPr>
            <b/>
            <sz val="9"/>
            <color indexed="81"/>
            <rFont val="Tahoma"/>
            <family val="2"/>
          </rPr>
          <t>Myers, Corey Adam:</t>
        </r>
        <r>
          <rPr>
            <sz val="9"/>
            <color indexed="81"/>
            <rFont val="Tahoma"/>
            <family val="2"/>
          </rPr>
          <t xml:space="preserve">
Reference 3</t>
        </r>
      </text>
    </comment>
    <comment ref="B159" authorId="0" shapeId="0" xr:uid="{72A84ED1-D89C-4154-971D-072B304F78C6}">
      <text>
        <r>
          <rPr>
            <b/>
            <sz val="9"/>
            <color indexed="81"/>
            <rFont val="Tahoma"/>
            <family val="2"/>
          </rPr>
          <t>Myers, Corey Adam:</t>
        </r>
        <r>
          <rPr>
            <sz val="9"/>
            <color indexed="81"/>
            <rFont val="Tahoma"/>
            <family val="2"/>
          </rPr>
          <t xml:space="preserve">
Reference 4</t>
        </r>
      </text>
    </comment>
    <comment ref="B160" authorId="0" shapeId="0" xr:uid="{5B87A41C-CA1B-4BDF-A29B-64A6FE4471EB}">
      <text>
        <r>
          <rPr>
            <b/>
            <sz val="9"/>
            <color indexed="81"/>
            <rFont val="Tahoma"/>
            <family val="2"/>
          </rPr>
          <t>Myers, Corey Adam:</t>
        </r>
        <r>
          <rPr>
            <sz val="9"/>
            <color indexed="81"/>
            <rFont val="Tahoma"/>
            <family val="2"/>
          </rPr>
          <t xml:space="preserve">
Refrence 5</t>
        </r>
      </text>
    </comment>
    <comment ref="B161" authorId="0" shapeId="0" xr:uid="{84E51332-3AC1-43A3-BAC9-2B64AF1F7948}">
      <text>
        <r>
          <rPr>
            <b/>
            <sz val="9"/>
            <color indexed="81"/>
            <rFont val="Tahoma"/>
            <family val="2"/>
          </rPr>
          <t>Myers, Corey Adam:</t>
        </r>
        <r>
          <rPr>
            <sz val="9"/>
            <color indexed="81"/>
            <rFont val="Tahoma"/>
            <family val="2"/>
          </rPr>
          <t xml:space="preserve">
Reference 6</t>
        </r>
      </text>
    </comment>
    <comment ref="B162" authorId="0" shapeId="0" xr:uid="{842A8CF2-1ABB-4597-BF5F-B42AED68133F}">
      <text>
        <r>
          <rPr>
            <b/>
            <sz val="9"/>
            <color indexed="81"/>
            <rFont val="Tahoma"/>
            <family val="2"/>
          </rPr>
          <t>Myers, Corey Adam:</t>
        </r>
        <r>
          <rPr>
            <sz val="9"/>
            <color indexed="81"/>
            <rFont val="Tahoma"/>
            <family val="2"/>
          </rPr>
          <t xml:space="preserve">
Reference 6</t>
        </r>
      </text>
    </comment>
    <comment ref="B163" authorId="0" shapeId="0" xr:uid="{40464CEF-6972-4425-A8C2-8D2C1E9FDB80}">
      <text>
        <r>
          <rPr>
            <b/>
            <sz val="9"/>
            <color indexed="81"/>
            <rFont val="Tahoma"/>
            <family val="2"/>
          </rPr>
          <t>Myers, Corey Adam:</t>
        </r>
        <r>
          <rPr>
            <sz val="9"/>
            <color indexed="81"/>
            <rFont val="Tahoma"/>
            <family val="2"/>
          </rPr>
          <t xml:space="preserve">
Reference 6</t>
        </r>
      </text>
    </comment>
    <comment ref="B164" authorId="0" shapeId="0" xr:uid="{CD8BA0B1-C014-4391-A5F4-789D72CE5B29}">
      <text>
        <r>
          <rPr>
            <b/>
            <sz val="9"/>
            <color indexed="81"/>
            <rFont val="Tahoma"/>
            <family val="2"/>
          </rPr>
          <t>Myers, Corey Adam:</t>
        </r>
        <r>
          <rPr>
            <sz val="9"/>
            <color indexed="81"/>
            <rFont val="Tahoma"/>
            <family val="2"/>
          </rPr>
          <t xml:space="preserve">
Reference 6</t>
        </r>
      </text>
    </comment>
    <comment ref="B165" authorId="0" shapeId="0" xr:uid="{8B4CA322-5571-4806-B625-2B10A5E1B205}">
      <text>
        <r>
          <rPr>
            <b/>
            <sz val="9"/>
            <color indexed="81"/>
            <rFont val="Tahoma"/>
            <family val="2"/>
          </rPr>
          <t>Myers, Corey Adam:</t>
        </r>
        <r>
          <rPr>
            <sz val="9"/>
            <color indexed="81"/>
            <rFont val="Tahoma"/>
            <family val="2"/>
          </rPr>
          <t xml:space="preserve">
Reference 1</t>
        </r>
      </text>
    </comment>
    <comment ref="B166" authorId="0" shapeId="0" xr:uid="{6FD6A5FF-BA8C-4FD2-94DA-535F6CCD1FB4}">
      <text>
        <r>
          <rPr>
            <b/>
            <sz val="9"/>
            <color indexed="81"/>
            <rFont val="Tahoma"/>
            <family val="2"/>
          </rPr>
          <t>Myers, Corey Adam:</t>
        </r>
        <r>
          <rPr>
            <sz val="9"/>
            <color indexed="81"/>
            <rFont val="Tahoma"/>
            <family val="2"/>
          </rPr>
          <t xml:space="preserve">
Refrence 5</t>
        </r>
      </text>
    </comment>
    <comment ref="D168" authorId="0" shapeId="0" xr:uid="{2F0695BD-8BA6-4B67-A0B9-EFDFB118CB76}">
      <text>
        <r>
          <rPr>
            <b/>
            <sz val="9"/>
            <color indexed="81"/>
            <rFont val="Tahoma"/>
            <family val="2"/>
          </rPr>
          <t>Myers, Corey Adam:</t>
        </r>
        <r>
          <rPr>
            <sz val="9"/>
            <color indexed="81"/>
            <rFont val="Tahoma"/>
            <family val="2"/>
          </rPr>
          <t xml:space="preserve">
Reference 45</t>
        </r>
      </text>
    </comment>
    <comment ref="D169" authorId="0" shapeId="0" xr:uid="{5528B488-C7AC-4046-B381-0716DE5D0866}">
      <text>
        <r>
          <rPr>
            <b/>
            <sz val="9"/>
            <color indexed="81"/>
            <rFont val="Tahoma"/>
            <family val="2"/>
          </rPr>
          <t>Myers, Corey Adam:</t>
        </r>
        <r>
          <rPr>
            <sz val="9"/>
            <color indexed="81"/>
            <rFont val="Tahoma"/>
            <family val="2"/>
          </rPr>
          <t xml:space="preserve">
Class 4 cost estimate, medium complexity system, medium complexity technology
</t>
        </r>
      </text>
    </comment>
    <comment ref="D170" authorId="0" shapeId="0" xr:uid="{3373041A-379C-45A5-9945-ADA8BAF20F00}">
      <text>
        <r>
          <rPr>
            <b/>
            <sz val="9"/>
            <color indexed="81"/>
            <rFont val="Tahoma"/>
            <family val="2"/>
          </rPr>
          <t>Myers, Corey Adam:</t>
        </r>
        <r>
          <rPr>
            <sz val="9"/>
            <color indexed="81"/>
            <rFont val="Tahoma"/>
            <family val="2"/>
          </rPr>
          <t xml:space="preserve">
Class 4 cost estimate, low complexity system, low complexity technology
</t>
        </r>
      </text>
    </comment>
    <comment ref="D171" authorId="0" shapeId="0" xr:uid="{FC9EEF48-0BD7-4A58-BB35-420EC433D0BD}">
      <text>
        <r>
          <rPr>
            <b/>
            <sz val="9"/>
            <color indexed="81"/>
            <rFont val="Tahoma"/>
            <family val="2"/>
          </rPr>
          <t>Myers, Corey Adam:</t>
        </r>
        <r>
          <rPr>
            <sz val="9"/>
            <color indexed="81"/>
            <rFont val="Tahoma"/>
            <family val="2"/>
          </rPr>
          <t xml:space="preserve">
Class 3 cost estimate, low complexity system, medium complexity technology</t>
        </r>
      </text>
    </comment>
    <comment ref="F177" authorId="0" shapeId="0" xr:uid="{879F9631-6ECE-4045-AEB5-3868A078E124}">
      <text>
        <r>
          <rPr>
            <b/>
            <sz val="9"/>
            <color indexed="81"/>
            <rFont val="Tahoma"/>
            <family val="2"/>
          </rPr>
          <t>Myers, Corey Adam:</t>
        </r>
        <r>
          <rPr>
            <sz val="9"/>
            <color indexed="81"/>
            <rFont val="Tahoma"/>
            <family val="2"/>
          </rPr>
          <t xml:space="preserve">
Reference 58</t>
        </r>
      </text>
    </comment>
    <comment ref="F178" authorId="0" shapeId="0" xr:uid="{2799C092-0D5E-4849-9F20-BCB1C9E6CCAD}">
      <text>
        <r>
          <rPr>
            <b/>
            <sz val="9"/>
            <color indexed="81"/>
            <rFont val="Tahoma"/>
            <family val="2"/>
          </rPr>
          <t>Myers, Corey Adam:</t>
        </r>
        <r>
          <rPr>
            <sz val="9"/>
            <color indexed="81"/>
            <rFont val="Tahoma"/>
            <family val="2"/>
          </rPr>
          <t xml:space="preserve">
Reference 58
IPCC AR4 100-y GWP factors</t>
        </r>
      </text>
    </comment>
    <comment ref="AN178" authorId="0" shapeId="0" xr:uid="{1BFC00E9-97E1-4D81-8467-ABE81BE3BA4E}">
      <text>
        <r>
          <rPr>
            <b/>
            <sz val="9"/>
            <color indexed="81"/>
            <rFont val="Tahoma"/>
            <family val="2"/>
          </rPr>
          <t>Myers, Corey Adam:</t>
        </r>
        <r>
          <rPr>
            <sz val="9"/>
            <color indexed="81"/>
            <rFont val="Tahoma"/>
            <family val="2"/>
          </rPr>
          <t xml:space="preserve">
Reference 13</t>
        </r>
      </text>
    </comment>
    <comment ref="B179" authorId="0" shapeId="0" xr:uid="{89FDD251-6DD0-482C-A7EF-A1CEC7CC9D39}">
      <text>
        <r>
          <rPr>
            <b/>
            <sz val="9"/>
            <color indexed="81"/>
            <rFont val="Tahoma"/>
            <family val="2"/>
          </rPr>
          <t>Myers, Corey Adam:</t>
        </r>
        <r>
          <rPr>
            <sz val="9"/>
            <color indexed="81"/>
            <rFont val="Tahoma"/>
            <family val="2"/>
          </rPr>
          <t xml:space="preserve">
Refrence 8</t>
        </r>
      </text>
    </comment>
    <comment ref="C179" authorId="0" shapeId="0" xr:uid="{8DFD9FFE-00AE-4E46-B426-D6A1D9432883}">
      <text>
        <r>
          <rPr>
            <b/>
            <sz val="9"/>
            <color indexed="81"/>
            <rFont val="Tahoma"/>
            <family val="2"/>
          </rPr>
          <t>Myers, Corey Adam:</t>
        </r>
        <r>
          <rPr>
            <sz val="9"/>
            <color indexed="81"/>
            <rFont val="Tahoma"/>
            <family val="2"/>
          </rPr>
          <t xml:space="preserve">
Reference 57</t>
        </r>
      </text>
    </comment>
    <comment ref="E179" authorId="0" shapeId="0" xr:uid="{EC082DAF-6539-4CB6-965B-8EB57D4C3A6D}">
      <text>
        <r>
          <rPr>
            <b/>
            <sz val="9"/>
            <color indexed="81"/>
            <rFont val="Tahoma"/>
            <family val="2"/>
          </rPr>
          <t>Myers, Corey Adam:</t>
        </r>
        <r>
          <rPr>
            <sz val="9"/>
            <color indexed="81"/>
            <rFont val="Tahoma"/>
            <family val="2"/>
          </rPr>
          <t xml:space="preserve">
Reference 9</t>
        </r>
      </text>
    </comment>
    <comment ref="T179" authorId="0" shapeId="0" xr:uid="{B3CB4B09-8937-47A6-A09C-60EB4C4B105F}">
      <text>
        <r>
          <rPr>
            <b/>
            <sz val="9"/>
            <color indexed="81"/>
            <rFont val="Tahoma"/>
            <family val="2"/>
          </rPr>
          <t>Myers, Corey Adam:</t>
        </r>
        <r>
          <rPr>
            <sz val="9"/>
            <color indexed="81"/>
            <rFont val="Tahoma"/>
            <family val="2"/>
          </rPr>
          <t xml:space="preserve">
Reference 9</t>
        </r>
      </text>
    </comment>
    <comment ref="U179" authorId="0" shapeId="0" xr:uid="{1DC8B805-359D-4D1E-A83D-5F75642ABC3A}">
      <text>
        <r>
          <rPr>
            <b/>
            <sz val="9"/>
            <color indexed="81"/>
            <rFont val="Tahoma"/>
            <family val="2"/>
          </rPr>
          <t>Myers, Corey Adam:</t>
        </r>
        <r>
          <rPr>
            <sz val="9"/>
            <color indexed="81"/>
            <rFont val="Tahoma"/>
            <family val="2"/>
          </rPr>
          <t xml:space="preserve">
Reference 15.
2019 Data.</t>
        </r>
      </text>
    </comment>
    <comment ref="V179" authorId="0" shapeId="0" xr:uid="{40E8F552-8499-4C58-9857-4EA130272130}">
      <text>
        <r>
          <rPr>
            <b/>
            <sz val="9"/>
            <color indexed="81"/>
            <rFont val="Tahoma"/>
            <family val="2"/>
          </rPr>
          <t>Myers, Corey Adam:</t>
        </r>
        <r>
          <rPr>
            <sz val="9"/>
            <color indexed="81"/>
            <rFont val="Tahoma"/>
            <family val="2"/>
          </rPr>
          <t xml:space="preserve">
Reference 52.</t>
        </r>
      </text>
    </comment>
    <comment ref="W179" authorId="0" shapeId="0" xr:uid="{C9B4E35C-E515-4EC7-95C9-8727EBD94A6E}">
      <text>
        <r>
          <rPr>
            <b/>
            <sz val="9"/>
            <color indexed="81"/>
            <rFont val="Tahoma"/>
            <family val="2"/>
          </rPr>
          <t>Myers, Corey Adam:</t>
        </r>
        <r>
          <rPr>
            <sz val="9"/>
            <color indexed="81"/>
            <rFont val="Tahoma"/>
            <family val="2"/>
          </rPr>
          <t xml:space="preserve">
Reference 52.</t>
        </r>
      </text>
    </comment>
    <comment ref="X179" authorId="0" shapeId="0" xr:uid="{DEB312F4-DC60-48FE-96A3-AB044A4E9DF6}">
      <text>
        <r>
          <rPr>
            <b/>
            <sz val="9"/>
            <color indexed="81"/>
            <rFont val="Tahoma"/>
            <family val="2"/>
          </rPr>
          <t>Myers, Corey Adam:</t>
        </r>
        <r>
          <rPr>
            <sz val="9"/>
            <color indexed="81"/>
            <rFont val="Tahoma"/>
            <family val="2"/>
          </rPr>
          <t xml:space="preserve">
Reference 14.
On highway No. 2 Diesel, Ultra low Sulfur, 10-y average</t>
        </r>
      </text>
    </comment>
    <comment ref="Y179" authorId="0" shapeId="0" xr:uid="{F4E00991-95D0-43C1-B071-54A1E7178BA3}">
      <text>
        <r>
          <rPr>
            <b/>
            <sz val="9"/>
            <color indexed="81"/>
            <rFont val="Tahoma"/>
            <family val="2"/>
          </rPr>
          <t>Myers, Corey Adam:</t>
        </r>
        <r>
          <rPr>
            <sz val="9"/>
            <color indexed="81"/>
            <rFont val="Tahoma"/>
            <family val="2"/>
          </rPr>
          <t xml:space="preserve">
Reference 10</t>
        </r>
      </text>
    </comment>
    <comment ref="Z179" authorId="0" shapeId="0" xr:uid="{4AA3F718-8834-4027-B818-9CADC30737E0}">
      <text>
        <r>
          <rPr>
            <b/>
            <sz val="9"/>
            <color indexed="81"/>
            <rFont val="Tahoma"/>
            <family val="2"/>
          </rPr>
          <t>Myers, Corey Adam:</t>
        </r>
        <r>
          <rPr>
            <sz val="9"/>
            <color indexed="81"/>
            <rFont val="Tahoma"/>
            <family val="2"/>
          </rPr>
          <t xml:space="preserve">
Refrence 34</t>
        </r>
      </text>
    </comment>
    <comment ref="AB179" authorId="0" shapeId="0" xr:uid="{7687D8E9-21D7-4B0F-9DD6-68780EF49765}">
      <text>
        <r>
          <rPr>
            <b/>
            <sz val="9"/>
            <color indexed="81"/>
            <rFont val="Tahoma"/>
            <family val="2"/>
          </rPr>
          <t>Myers, Corey Adam:</t>
        </r>
        <r>
          <rPr>
            <sz val="9"/>
            <color indexed="81"/>
            <rFont val="Tahoma"/>
            <family val="2"/>
          </rPr>
          <t xml:space="preserve">
Refrence 28.
Pastureland.</t>
        </r>
      </text>
    </comment>
    <comment ref="AC179" authorId="0" shapeId="0" xr:uid="{86FD47A6-5FE0-48D0-8200-A43729811630}">
      <text>
        <r>
          <rPr>
            <b/>
            <sz val="9"/>
            <color indexed="81"/>
            <rFont val="Tahoma"/>
            <family val="2"/>
          </rPr>
          <t>Myers, Corey Adam:</t>
        </r>
        <r>
          <rPr>
            <sz val="9"/>
            <color indexed="81"/>
            <rFont val="Tahoma"/>
            <family val="2"/>
          </rPr>
          <t xml:space="preserve">
Reference 11; OCC Title: 53-3032
</t>
        </r>
      </text>
    </comment>
    <comment ref="AD179" authorId="0" shapeId="0" xr:uid="{E95E6B65-526B-40EE-97AE-C5AEF1F48097}">
      <text>
        <r>
          <rPr>
            <b/>
            <sz val="9"/>
            <color indexed="81"/>
            <rFont val="Tahoma"/>
            <family val="2"/>
          </rPr>
          <t>Myers, Corey Adam:</t>
        </r>
        <r>
          <rPr>
            <sz val="9"/>
            <color indexed="81"/>
            <rFont val="Tahoma"/>
            <family val="2"/>
          </rPr>
          <t xml:space="preserve">
Reference 11; OCC Title: 53-3032</t>
        </r>
      </text>
    </comment>
    <comment ref="AE179" authorId="0" shapeId="0" xr:uid="{6AC856B9-02C2-43E2-BBF3-41AF47917654}">
      <text>
        <r>
          <rPr>
            <b/>
            <sz val="9"/>
            <color indexed="81"/>
            <rFont val="Tahoma"/>
            <family val="2"/>
          </rPr>
          <t>Myers, Corey Adam:</t>
        </r>
        <r>
          <rPr>
            <sz val="9"/>
            <color indexed="81"/>
            <rFont val="Tahoma"/>
            <family val="2"/>
          </rPr>
          <t xml:space="preserve">
Reference 42.
Specialized drivers.</t>
        </r>
      </text>
    </comment>
    <comment ref="AF179" authorId="0" shapeId="0" xr:uid="{8C97ED7C-ACEB-4E5D-8098-A4DB92F18402}">
      <text>
        <r>
          <rPr>
            <b/>
            <sz val="9"/>
            <color indexed="81"/>
            <rFont val="Tahoma"/>
            <family val="2"/>
          </rPr>
          <t>Myers, Corey Adam:</t>
        </r>
        <r>
          <rPr>
            <sz val="9"/>
            <color indexed="81"/>
            <rFont val="Tahoma"/>
            <family val="2"/>
          </rPr>
          <t xml:space="preserve">
Reference 11; OCC Title: 53-7021</t>
        </r>
      </text>
    </comment>
    <comment ref="AG179" authorId="0" shapeId="0" xr:uid="{F419E70D-A3AC-42FB-A1F3-36D9E8E4D6F0}">
      <text>
        <r>
          <rPr>
            <b/>
            <sz val="9"/>
            <color indexed="81"/>
            <rFont val="Tahoma"/>
            <family val="2"/>
          </rPr>
          <t>Myers, Corey Adam:</t>
        </r>
        <r>
          <rPr>
            <sz val="9"/>
            <color indexed="81"/>
            <rFont val="Tahoma"/>
            <family val="2"/>
          </rPr>
          <t xml:space="preserve">
Reference 11; OCC Title: 53-7021</t>
        </r>
      </text>
    </comment>
    <comment ref="AH179" authorId="0" shapeId="0" xr:uid="{84310E1F-4B19-4236-BC34-8EB806B937F2}">
      <text>
        <r>
          <rPr>
            <b/>
            <sz val="9"/>
            <color indexed="81"/>
            <rFont val="Tahoma"/>
            <family val="2"/>
          </rPr>
          <t>Myers, Corey Adam:</t>
        </r>
        <r>
          <rPr>
            <sz val="9"/>
            <color indexed="81"/>
            <rFont val="Tahoma"/>
            <family val="2"/>
          </rPr>
          <t xml:space="preserve">
Reference 11; OCC Title: 53-7071</t>
        </r>
      </text>
    </comment>
    <comment ref="AI179" authorId="0" shapeId="0" xr:uid="{E2B977FF-E769-43C0-8E9D-A8DAD0B54361}">
      <text>
        <r>
          <rPr>
            <b/>
            <sz val="9"/>
            <color indexed="81"/>
            <rFont val="Tahoma"/>
            <family val="2"/>
          </rPr>
          <t>Myers, Corey Adam:</t>
        </r>
        <r>
          <rPr>
            <sz val="9"/>
            <color indexed="81"/>
            <rFont val="Tahoma"/>
            <family val="2"/>
          </rPr>
          <t xml:space="preserve">
Reference 11; OCC Title: 53-7071</t>
        </r>
      </text>
    </comment>
    <comment ref="AJ179" authorId="0" shapeId="0" xr:uid="{8C58401A-BCA9-43FD-8697-4202CCEBBBFC}">
      <text>
        <r>
          <rPr>
            <b/>
            <sz val="9"/>
            <color indexed="81"/>
            <rFont val="Tahoma"/>
            <family val="2"/>
          </rPr>
          <t>Myers, Corey Adam:</t>
        </r>
        <r>
          <rPr>
            <sz val="9"/>
            <color indexed="81"/>
            <rFont val="Tahoma"/>
            <family val="2"/>
          </rPr>
          <t xml:space="preserve">
Reference 11; OCC Title: 53-7072</t>
        </r>
      </text>
    </comment>
    <comment ref="AK179" authorId="0" shapeId="0" xr:uid="{53736518-DF35-4411-B2E2-E1CFDF64C4C1}">
      <text>
        <r>
          <rPr>
            <b/>
            <sz val="9"/>
            <color indexed="81"/>
            <rFont val="Tahoma"/>
            <family val="2"/>
          </rPr>
          <t>Myers, Corey Adam:</t>
        </r>
        <r>
          <rPr>
            <sz val="9"/>
            <color indexed="81"/>
            <rFont val="Tahoma"/>
            <family val="2"/>
          </rPr>
          <t xml:space="preserve">
Reference 11; OCC Title: 53-7072</t>
        </r>
      </text>
    </comment>
    <comment ref="AL179" authorId="0" shapeId="0" xr:uid="{8DF87F0F-E7F2-4B11-AA91-89FC827C35F4}">
      <text>
        <r>
          <rPr>
            <b/>
            <sz val="9"/>
            <color indexed="81"/>
            <rFont val="Tahoma"/>
            <family val="2"/>
          </rPr>
          <t>Myers, Corey Adam:</t>
        </r>
        <r>
          <rPr>
            <sz val="9"/>
            <color indexed="81"/>
            <rFont val="Tahoma"/>
            <family val="2"/>
          </rPr>
          <t xml:space="preserve">
Reference 11; OCC Title: 53-7051</t>
        </r>
      </text>
    </comment>
    <comment ref="AM179" authorId="0" shapeId="0" xr:uid="{2EC8C052-27E8-4EB6-BA26-8D5A06A048FF}">
      <text>
        <r>
          <rPr>
            <b/>
            <sz val="9"/>
            <color indexed="81"/>
            <rFont val="Tahoma"/>
            <family val="2"/>
          </rPr>
          <t>Myers, Corey Adam:</t>
        </r>
        <r>
          <rPr>
            <sz val="9"/>
            <color indexed="81"/>
            <rFont val="Tahoma"/>
            <family val="2"/>
          </rPr>
          <t xml:space="preserve">
Reference 11; OCC Title: 53-7051</t>
        </r>
      </text>
    </comment>
    <comment ref="AN179" authorId="0" shapeId="0" xr:uid="{0BA3ED78-56B0-4388-8CAE-E9DD8A225282}">
      <text>
        <r>
          <rPr>
            <b/>
            <sz val="9"/>
            <color indexed="81"/>
            <rFont val="Tahoma"/>
            <family val="2"/>
          </rPr>
          <t>Myers, Corey Adam:</t>
        </r>
        <r>
          <rPr>
            <sz val="9"/>
            <color indexed="81"/>
            <rFont val="Tahoma"/>
            <family val="2"/>
          </rPr>
          <t xml:space="preserve">
"0" indicates the interstate is not present in the state.
"1" indicates the interstate is present in the state.</t>
        </r>
      </text>
    </comment>
    <comment ref="BO179" authorId="0" shapeId="0" xr:uid="{5D666F96-B282-4F00-8E07-4C35EC03E2F1}">
      <text>
        <r>
          <rPr>
            <b/>
            <sz val="9"/>
            <color indexed="81"/>
            <rFont val="Tahoma"/>
            <family val="2"/>
          </rPr>
          <t>Myers, Corey Adam:</t>
        </r>
        <r>
          <rPr>
            <sz val="9"/>
            <color indexed="81"/>
            <rFont val="Tahoma"/>
            <family val="2"/>
          </rPr>
          <t xml:space="preserve">
Reference 37
Includes rural and urban interstate highways.
Not lane-miles, does not double count both directions of traffic.</t>
        </r>
      </text>
    </comment>
    <comment ref="BP179" authorId="0" shapeId="0" xr:uid="{0754D9D8-B6C6-476B-A043-2D61E5182013}">
      <text>
        <r>
          <rPr>
            <b/>
            <sz val="9"/>
            <color indexed="81"/>
            <rFont val="Tahoma"/>
            <family val="2"/>
          </rPr>
          <t>Myers, Corey Adam:</t>
        </r>
        <r>
          <rPr>
            <sz val="9"/>
            <color indexed="81"/>
            <rFont val="Tahoma"/>
            <family val="2"/>
          </rPr>
          <t xml:space="preserve">
Only along interstates. Does not double count weigh stations for both sides of traffic.</t>
        </r>
      </text>
    </comment>
    <comment ref="BR179" authorId="0" shapeId="0" xr:uid="{1629AEAA-C8B5-48C6-A16E-55B56D56766A}">
      <text>
        <r>
          <rPr>
            <b/>
            <sz val="9"/>
            <color indexed="81"/>
            <rFont val="Tahoma"/>
            <family val="2"/>
          </rPr>
          <t>Myers, Corey Adam:</t>
        </r>
        <r>
          <rPr>
            <sz val="9"/>
            <color indexed="81"/>
            <rFont val="Tahoma"/>
            <family val="2"/>
          </rPr>
          <t xml:space="preserve">
Reference 42</t>
        </r>
      </text>
    </comment>
    <comment ref="BS179" authorId="0" shapeId="0" xr:uid="{C8F3B89F-54DC-46E2-825D-C84271A275E0}">
      <text>
        <r>
          <rPr>
            <b/>
            <sz val="9"/>
            <color indexed="81"/>
            <rFont val="Tahoma"/>
            <family val="2"/>
          </rPr>
          <t>Myers, Corey Adam:</t>
        </r>
        <r>
          <rPr>
            <sz val="9"/>
            <color indexed="81"/>
            <rFont val="Tahoma"/>
            <family val="2"/>
          </rPr>
          <t xml:space="preserve">
Reference 42</t>
        </r>
      </text>
    </comment>
    <comment ref="BT179" authorId="0" shapeId="0" xr:uid="{33BB4E11-0403-46E0-932F-3AB2CD8809DD}">
      <text>
        <r>
          <rPr>
            <b/>
            <sz val="9"/>
            <color indexed="81"/>
            <rFont val="Tahoma"/>
            <family val="2"/>
          </rPr>
          <t>Myers, Corey Adam:</t>
        </r>
        <r>
          <rPr>
            <sz val="9"/>
            <color indexed="81"/>
            <rFont val="Tahoma"/>
            <family val="2"/>
          </rPr>
          <t xml:space="preserve">
Reference 42</t>
        </r>
      </text>
    </comment>
    <comment ref="BU179" authorId="0" shapeId="0" xr:uid="{B87666E6-82D7-4B04-91D9-7CD9388B470A}">
      <text>
        <r>
          <rPr>
            <b/>
            <sz val="9"/>
            <color indexed="81"/>
            <rFont val="Tahoma"/>
            <family val="2"/>
          </rPr>
          <t>Myers, Corey Adam:</t>
        </r>
        <r>
          <rPr>
            <sz val="9"/>
            <color indexed="81"/>
            <rFont val="Tahoma"/>
            <family val="2"/>
          </rPr>
          <t xml:space="preserve">
Reference 42
</t>
        </r>
      </text>
    </comment>
    <comment ref="BV179" authorId="0" shapeId="0" xr:uid="{05940A42-856B-4552-92C1-62A5DEA94A70}">
      <text>
        <r>
          <rPr>
            <b/>
            <sz val="9"/>
            <color indexed="81"/>
            <rFont val="Tahoma"/>
            <family val="2"/>
          </rPr>
          <t>Myers, Corey Adam:</t>
        </r>
        <r>
          <rPr>
            <sz val="9"/>
            <color indexed="81"/>
            <rFont val="Tahoma"/>
            <family val="2"/>
          </rPr>
          <t xml:space="preserve">
Reference 42</t>
        </r>
      </text>
    </comment>
    <comment ref="BX179" authorId="0" shapeId="0" xr:uid="{6ECF975D-EBB3-424E-BAA9-50C3811242CB}">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BY179" authorId="0" shapeId="0" xr:uid="{16A2BE93-3F37-4495-8A5A-68059750D7D2}">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BZ179" authorId="0" shapeId="0" xr:uid="{D048CB13-4F94-4D9D-944E-18545F7057F8}">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CA179" authorId="0" shapeId="0" xr:uid="{A9A3935D-1175-47EE-AEF5-D3A0A2F8B209}">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CB179" authorId="0" shapeId="0" xr:uid="{875E787A-7D2A-4B09-BED1-89C8265E07CC}">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CC179" authorId="0" shapeId="0" xr:uid="{A698D91F-2144-4E26-BD37-1852463F9521}">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CD179" authorId="0" shapeId="0" xr:uid="{4D21202C-1EB5-4099-A195-12F612E00E35}">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R181" authorId="0" shapeId="0" xr:uid="{1B0F1F61-8B42-4B76-B44F-B093010821D0}">
      <text>
        <r>
          <rPr>
            <b/>
            <sz val="9"/>
            <color indexed="81"/>
            <rFont val="Tahoma"/>
            <family val="2"/>
          </rPr>
          <t>Myers, Corey Adam:</t>
        </r>
        <r>
          <rPr>
            <sz val="9"/>
            <color indexed="81"/>
            <rFont val="Tahoma"/>
            <family val="2"/>
          </rPr>
          <t xml:space="preserve">
Generation, based on 2022 grid mix using reference 58 tool.</t>
        </r>
      </text>
    </comment>
    <comment ref="S181" authorId="0" shapeId="0" xr:uid="{037FA72E-3C65-4E63-B5C8-FBA1D8ACE326}">
      <text>
        <r>
          <rPr>
            <b/>
            <sz val="9"/>
            <color indexed="81"/>
            <rFont val="Tahoma"/>
            <family val="2"/>
          </rPr>
          <t>Myers, Corey Adam:</t>
        </r>
        <r>
          <rPr>
            <sz val="9"/>
            <color indexed="81"/>
            <rFont val="Tahoma"/>
            <family val="2"/>
          </rPr>
          <t xml:space="preserve">
Electricity generation using 2019 grid mix and reference 58 tool.</t>
        </r>
      </text>
    </comment>
    <comment ref="X184" authorId="0" shapeId="0" xr:uid="{74223A3E-DAB6-4CF0-B6FD-AD764FDDA38F}">
      <text>
        <r>
          <rPr>
            <b/>
            <sz val="9"/>
            <color indexed="81"/>
            <rFont val="Tahoma"/>
            <family val="2"/>
          </rPr>
          <t>Myers, Corey Adam:</t>
        </r>
        <r>
          <rPr>
            <sz val="9"/>
            <color indexed="81"/>
            <rFont val="Tahoma"/>
            <family val="2"/>
          </rPr>
          <t xml:space="preserve">
Reference 14.
On highway No. 2 Diesel, Ultra low Sulfur, 10-y average</t>
        </r>
      </text>
    </comment>
    <comment ref="R190" authorId="0" shapeId="0" xr:uid="{9FDECD14-EF25-4D1D-B121-C71BAFF44B91}">
      <text>
        <r>
          <rPr>
            <b/>
            <sz val="9"/>
            <color indexed="81"/>
            <rFont val="Tahoma"/>
            <family val="2"/>
          </rPr>
          <t>Myers, Corey Adam:</t>
        </r>
        <r>
          <rPr>
            <sz val="9"/>
            <color indexed="81"/>
            <rFont val="Tahoma"/>
            <family val="2"/>
          </rPr>
          <t xml:space="preserve">
Electricity generation using 2019 grid mix and reference 58 tool.</t>
        </r>
      </text>
    </comment>
    <comment ref="S190" authorId="0" shapeId="0" xr:uid="{B261DB47-229C-4DD0-A9C5-2E45AA25B331}">
      <text>
        <r>
          <rPr>
            <b/>
            <sz val="9"/>
            <color indexed="81"/>
            <rFont val="Tahoma"/>
            <family val="2"/>
          </rPr>
          <t>Myers, Corey Adam:</t>
        </r>
        <r>
          <rPr>
            <sz val="9"/>
            <color indexed="81"/>
            <rFont val="Tahoma"/>
            <family val="2"/>
          </rPr>
          <t xml:space="preserve">
Electricity generation using 2019 grid mix and reference 58 tool.</t>
        </r>
      </text>
    </comment>
    <comment ref="X231" authorId="0" shapeId="0" xr:uid="{52A4A650-10EF-4691-9760-BCD311C1F4A5}">
      <text>
        <r>
          <rPr>
            <b/>
            <sz val="9"/>
            <color indexed="81"/>
            <rFont val="Tahoma"/>
            <family val="2"/>
          </rPr>
          <t>Myers, Corey Adam:</t>
        </r>
        <r>
          <rPr>
            <sz val="9"/>
            <color indexed="81"/>
            <rFont val="Tahoma"/>
            <family val="2"/>
          </rPr>
          <t xml:space="preserve">
Reference 14.
On highway No. 2 Diesel, Ultra low Sulfur, 10-y average</t>
        </r>
      </text>
    </comment>
    <comment ref="W238" authorId="0" shapeId="0" xr:uid="{3EE16804-21F7-44D2-97FA-055C49289A42}">
      <text>
        <r>
          <rPr>
            <b/>
            <sz val="9"/>
            <color indexed="81"/>
            <rFont val="Tahoma"/>
            <family val="2"/>
          </rPr>
          <t>Myers, Corey Adam:</t>
        </r>
        <r>
          <rPr>
            <sz val="9"/>
            <color indexed="81"/>
            <rFont val="Tahoma"/>
            <family val="2"/>
          </rPr>
          <t xml:space="preserve">
Reference 52</t>
        </r>
      </text>
    </comment>
    <comment ref="AB238" authorId="0" shapeId="0" xr:uid="{B9511084-5F9A-4A2D-8F64-67107A0934A7}">
      <text>
        <r>
          <rPr>
            <b/>
            <sz val="9"/>
            <color indexed="81"/>
            <rFont val="Tahoma"/>
            <family val="2"/>
          </rPr>
          <t>Myers, Corey Adam:</t>
        </r>
        <r>
          <rPr>
            <sz val="9"/>
            <color indexed="81"/>
            <rFont val="Tahoma"/>
            <family val="2"/>
          </rPr>
          <t xml:space="preserve">
Refrence 28.
Pastureland.</t>
        </r>
      </text>
    </comment>
    <comment ref="AE238" authorId="0" shapeId="0" xr:uid="{61FD85DF-9421-4D4B-BD76-9E6C4F26497E}">
      <text>
        <r>
          <rPr>
            <b/>
            <sz val="9"/>
            <color indexed="81"/>
            <rFont val="Tahoma"/>
            <family val="2"/>
          </rPr>
          <t>Myers, Corey Adam:</t>
        </r>
        <r>
          <rPr>
            <sz val="9"/>
            <color indexed="81"/>
            <rFont val="Tahoma"/>
            <family val="2"/>
          </rPr>
          <t xml:space="preserve">
Reference 42.
Specialized drivers.</t>
        </r>
      </text>
    </comment>
    <comment ref="BR238" authorId="0" shapeId="0" xr:uid="{1035D3D1-35E9-465E-B5CE-362D77201A45}">
      <text>
        <r>
          <rPr>
            <b/>
            <sz val="9"/>
            <color indexed="81"/>
            <rFont val="Tahoma"/>
            <family val="2"/>
          </rPr>
          <t>Myers, Corey Adam:</t>
        </r>
        <r>
          <rPr>
            <sz val="9"/>
            <color indexed="81"/>
            <rFont val="Tahoma"/>
            <family val="2"/>
          </rPr>
          <t xml:space="preserve">
Reference 42</t>
        </r>
      </text>
    </comment>
    <comment ref="BS238" authorId="0" shapeId="0" xr:uid="{51FBA753-D1FA-4248-A014-5FA30C6D2288}">
      <text>
        <r>
          <rPr>
            <b/>
            <sz val="9"/>
            <color indexed="81"/>
            <rFont val="Tahoma"/>
            <family val="2"/>
          </rPr>
          <t>Myers, Corey Adam:</t>
        </r>
        <r>
          <rPr>
            <sz val="9"/>
            <color indexed="81"/>
            <rFont val="Tahoma"/>
            <family val="2"/>
          </rPr>
          <t xml:space="preserve">
Reference 42</t>
        </r>
      </text>
    </comment>
    <comment ref="BT238" authorId="0" shapeId="0" xr:uid="{0374B661-D656-44D9-8F52-DC42AB0E0414}">
      <text>
        <r>
          <rPr>
            <b/>
            <sz val="9"/>
            <color indexed="81"/>
            <rFont val="Tahoma"/>
            <family val="2"/>
          </rPr>
          <t>Myers, Corey Adam:</t>
        </r>
        <r>
          <rPr>
            <sz val="9"/>
            <color indexed="81"/>
            <rFont val="Tahoma"/>
            <family val="2"/>
          </rPr>
          <t xml:space="preserve">
Reference 42</t>
        </r>
      </text>
    </comment>
    <comment ref="BU238" authorId="0" shapeId="0" xr:uid="{5047FCB5-F1A2-4DD6-A681-0AEC8A1223B2}">
      <text>
        <r>
          <rPr>
            <b/>
            <sz val="9"/>
            <color indexed="81"/>
            <rFont val="Tahoma"/>
            <family val="2"/>
          </rPr>
          <t>Myers, Corey Adam:</t>
        </r>
        <r>
          <rPr>
            <sz val="9"/>
            <color indexed="81"/>
            <rFont val="Tahoma"/>
            <family val="2"/>
          </rPr>
          <t xml:space="preserve">
Reference 42
</t>
        </r>
      </text>
    </comment>
    <comment ref="BV238" authorId="0" shapeId="0" xr:uid="{F98DA362-7BC0-4DFF-87E7-FB796167292F}">
      <text>
        <r>
          <rPr>
            <b/>
            <sz val="9"/>
            <color indexed="81"/>
            <rFont val="Tahoma"/>
            <family val="2"/>
          </rPr>
          <t>Myers, Corey Adam:</t>
        </r>
        <r>
          <rPr>
            <sz val="9"/>
            <color indexed="81"/>
            <rFont val="Tahoma"/>
            <family val="2"/>
          </rPr>
          <t xml:space="preserve">
Reference 42</t>
        </r>
      </text>
    </comment>
    <comment ref="A263" authorId="0" shapeId="0" xr:uid="{4F72F9DD-3BD3-4E8D-8BE1-9371938DB752}">
      <text>
        <r>
          <rPr>
            <b/>
            <sz val="9"/>
            <color indexed="81"/>
            <rFont val="Tahoma"/>
            <family val="2"/>
          </rPr>
          <t>Myers, Corey Adam:</t>
        </r>
        <r>
          <rPr>
            <sz val="9"/>
            <color indexed="81"/>
            <rFont val="Tahoma"/>
            <family val="2"/>
          </rPr>
          <t xml:space="preserve">
Reference 56</t>
        </r>
      </text>
    </comment>
    <comment ref="A268" authorId="0" shapeId="0" xr:uid="{2531EEE8-C9EF-490D-A0B2-02A68B9628FD}">
      <text>
        <r>
          <rPr>
            <b/>
            <sz val="9"/>
            <color indexed="81"/>
            <rFont val="Tahoma"/>
            <family val="2"/>
          </rPr>
          <t>Myers, Corey Adam:</t>
        </r>
        <r>
          <rPr>
            <sz val="9"/>
            <color indexed="81"/>
            <rFont val="Tahoma"/>
            <family val="2"/>
          </rPr>
          <t xml:space="preserve">
Reference 43</t>
        </r>
      </text>
    </comment>
    <comment ref="A273" authorId="0" shapeId="0" xr:uid="{F2236681-7EB5-4B48-9F7F-DDF65EB12706}">
      <text>
        <r>
          <rPr>
            <b/>
            <sz val="9"/>
            <color indexed="81"/>
            <rFont val="Tahoma"/>
            <family val="2"/>
          </rPr>
          <t>Myers, Corey Adam:</t>
        </r>
        <r>
          <rPr>
            <sz val="9"/>
            <color indexed="81"/>
            <rFont val="Tahoma"/>
            <family val="2"/>
          </rPr>
          <t xml:space="preserve">
Reference 43.</t>
        </r>
      </text>
    </comment>
    <comment ref="A302" authorId="0" shapeId="0" xr:uid="{806A1F7A-C512-450C-B3EC-BB01BEC287D8}">
      <text>
        <r>
          <rPr>
            <b/>
            <sz val="9"/>
            <color indexed="81"/>
            <rFont val="Tahoma"/>
            <family val="2"/>
          </rPr>
          <t>Myers, Corey Adam:</t>
        </r>
        <r>
          <rPr>
            <sz val="9"/>
            <color indexed="81"/>
            <rFont val="Tahoma"/>
            <family val="2"/>
          </rPr>
          <t xml:space="preserve">
Cost trend recalculated to linear fitting using Reference 43 data where appropriate.</t>
        </r>
      </text>
    </comment>
    <comment ref="A303" authorId="0" shapeId="0" xr:uid="{78176AAF-25A1-46B2-8979-EBAC01BBC645}">
      <text>
        <r>
          <rPr>
            <b/>
            <sz val="9"/>
            <color indexed="81"/>
            <rFont val="Tahoma"/>
            <family val="2"/>
          </rPr>
          <t>Myers, Corey Adam:</t>
        </r>
        <r>
          <rPr>
            <sz val="9"/>
            <color indexed="81"/>
            <rFont val="Tahoma"/>
            <family val="2"/>
          </rPr>
          <t xml:space="preserve">
Cost trend recalculated to linear fitting using Reference 43 data where appropriate.</t>
        </r>
      </text>
    </comment>
    <comment ref="A329" authorId="0" shapeId="0" xr:uid="{0D0EAD43-BFBA-4BE6-BC0B-E5BCDCB5B0BC}">
      <text>
        <r>
          <rPr>
            <b/>
            <sz val="9"/>
            <color indexed="81"/>
            <rFont val="Tahoma"/>
            <family val="2"/>
          </rPr>
          <t>Myers, Corey Adam:</t>
        </r>
        <r>
          <rPr>
            <sz val="9"/>
            <color indexed="81"/>
            <rFont val="Tahoma"/>
            <family val="2"/>
          </rPr>
          <t xml:space="preserve">
at reference 43 flowrate</t>
        </r>
      </text>
    </comment>
    <comment ref="A331" authorId="0" shapeId="0" xr:uid="{1AE607F0-B84E-47D1-A6DB-6E1A6812AEA6}">
      <text>
        <r>
          <rPr>
            <b/>
            <sz val="9"/>
            <color indexed="81"/>
            <rFont val="Tahoma"/>
            <family val="2"/>
          </rPr>
          <t>Myers, Corey Adam:</t>
        </r>
        <r>
          <rPr>
            <sz val="9"/>
            <color indexed="81"/>
            <rFont val="Tahoma"/>
            <family val="2"/>
          </rPr>
          <t xml:space="preserve">
at reference 43 flowrate</t>
        </r>
      </text>
    </comment>
    <comment ref="A332" authorId="0" shapeId="0" xr:uid="{241D57EE-5773-4C43-BEBC-5251F170212D}">
      <text>
        <r>
          <rPr>
            <b/>
            <sz val="9"/>
            <color indexed="81"/>
            <rFont val="Tahoma"/>
            <family val="2"/>
          </rPr>
          <t>Myers, Corey Adam:</t>
        </r>
        <r>
          <rPr>
            <sz val="9"/>
            <color indexed="81"/>
            <rFont val="Tahoma"/>
            <family val="2"/>
          </rPr>
          <t xml:space="preserve">
at reference 43 flowrate</t>
        </r>
      </text>
    </comment>
    <comment ref="B359" authorId="0" shapeId="0" xr:uid="{BFC16507-FA52-46D4-971B-C370A597EC22}">
      <text>
        <r>
          <rPr>
            <b/>
            <sz val="9"/>
            <color indexed="81"/>
            <rFont val="Tahoma"/>
            <family val="2"/>
          </rPr>
          <t>Myers, Corey Adam:</t>
        </r>
        <r>
          <rPr>
            <sz val="9"/>
            <color indexed="81"/>
            <rFont val="Tahoma"/>
            <family val="2"/>
          </rPr>
          <t xml:space="preserve">
Reference 7</t>
        </r>
      </text>
    </comment>
    <comment ref="B360" authorId="0" shapeId="0" xr:uid="{6664F7C8-F951-40CD-B686-9B46EA983222}">
      <text>
        <r>
          <rPr>
            <b/>
            <sz val="9"/>
            <color indexed="81"/>
            <rFont val="Tahoma"/>
            <family val="2"/>
          </rPr>
          <t>Myers, Corey Adam:</t>
        </r>
        <r>
          <rPr>
            <sz val="9"/>
            <color indexed="81"/>
            <rFont val="Tahoma"/>
            <family val="2"/>
          </rPr>
          <t xml:space="preserve">
Reference 7</t>
        </r>
      </text>
    </comment>
    <comment ref="A365" authorId="0" shapeId="0" xr:uid="{F2154E1C-43C6-4097-AE65-423626D44297}">
      <text>
        <r>
          <rPr>
            <b/>
            <sz val="9"/>
            <color indexed="81"/>
            <rFont val="Tahoma"/>
            <family val="2"/>
          </rPr>
          <t>Myers, Corey Adam:</t>
        </r>
        <r>
          <rPr>
            <sz val="9"/>
            <color indexed="81"/>
            <rFont val="Tahoma"/>
            <family val="2"/>
          </rPr>
          <t xml:space="preserve">
Reference 44</t>
        </r>
      </text>
    </comment>
    <comment ref="A379" authorId="0" shapeId="0" xr:uid="{18E5EB1A-913A-4160-BF7D-D1FEE55B9988}">
      <text>
        <r>
          <rPr>
            <b/>
            <sz val="9"/>
            <color indexed="81"/>
            <rFont val="Tahoma"/>
            <family val="2"/>
          </rPr>
          <t>Myers, Corey Adam:</t>
        </r>
        <r>
          <rPr>
            <sz val="9"/>
            <color indexed="81"/>
            <rFont val="Tahoma"/>
            <family val="2"/>
          </rPr>
          <t xml:space="preserve">
Reference 36</t>
        </r>
      </text>
    </comment>
    <comment ref="A441" authorId="0" shapeId="0" xr:uid="{1F578BF9-C478-4B7C-9A9F-92080F19414F}">
      <text>
        <r>
          <rPr>
            <b/>
            <sz val="9"/>
            <color indexed="81"/>
            <rFont val="Tahoma"/>
            <family val="2"/>
          </rPr>
          <t>Myers, Corey Adam:</t>
        </r>
        <r>
          <rPr>
            <sz val="9"/>
            <color indexed="81"/>
            <rFont val="Tahoma"/>
            <family val="2"/>
          </rPr>
          <t xml:space="preserve">
Reference 36</t>
        </r>
      </text>
    </comment>
    <comment ref="A442" authorId="0" shapeId="0" xr:uid="{10E356B0-155A-4C42-A4A7-DBBB33BD62F0}">
      <text>
        <r>
          <rPr>
            <b/>
            <sz val="9"/>
            <color indexed="81"/>
            <rFont val="Tahoma"/>
            <family val="2"/>
          </rPr>
          <t>Myers, Corey Adam:</t>
        </r>
        <r>
          <rPr>
            <sz val="9"/>
            <color indexed="81"/>
            <rFont val="Tahoma"/>
            <family val="2"/>
          </rPr>
          <t xml:space="preserve">
Reference 36</t>
        </r>
      </text>
    </comment>
    <comment ref="B465" authorId="0" shapeId="0" xr:uid="{DC9F216B-E5B8-4C5C-B1C3-03575791B82E}">
      <text>
        <r>
          <rPr>
            <b/>
            <sz val="9"/>
            <color indexed="81"/>
            <rFont val="Tahoma"/>
            <family val="2"/>
          </rPr>
          <t>Myers, Corey Adam:</t>
        </r>
        <r>
          <rPr>
            <sz val="9"/>
            <color indexed="81"/>
            <rFont val="Tahoma"/>
            <family val="2"/>
          </rPr>
          <t xml:space="preserve">
Reference 41;
using IPCC AR6 100-y GWP factors</t>
        </r>
      </text>
    </comment>
    <comment ref="C465" authorId="0" shapeId="0" xr:uid="{7CFFD0FF-361C-4498-A83F-E477C331594A}">
      <text>
        <r>
          <rPr>
            <b/>
            <sz val="9"/>
            <color indexed="81"/>
            <rFont val="Tahoma"/>
            <family val="2"/>
          </rPr>
          <t>Myers, Corey Adam:</t>
        </r>
        <r>
          <rPr>
            <sz val="9"/>
            <color indexed="81"/>
            <rFont val="Tahoma"/>
            <family val="2"/>
          </rPr>
          <t xml:space="preserve">
Reference 41;
using IPCC AR6 100-y GWP factors</t>
        </r>
      </text>
    </comment>
    <comment ref="B466" authorId="0" shapeId="0" xr:uid="{2F5F4780-6C05-46EC-8302-FDEB68F2CA70}">
      <text>
        <r>
          <rPr>
            <b/>
            <sz val="9"/>
            <color indexed="81"/>
            <rFont val="Tahoma"/>
            <family val="2"/>
          </rPr>
          <t>Myers, Corey Adam:</t>
        </r>
        <r>
          <rPr>
            <sz val="9"/>
            <color indexed="81"/>
            <rFont val="Tahoma"/>
            <family val="2"/>
          </rPr>
          <t xml:space="preserve">
Refrence 41</t>
        </r>
      </text>
    </comment>
    <comment ref="C466" authorId="0" shapeId="0" xr:uid="{1516713B-FB62-48AB-AA55-1E2F71B87886}">
      <text>
        <r>
          <rPr>
            <b/>
            <sz val="9"/>
            <color indexed="81"/>
            <rFont val="Tahoma"/>
            <family val="2"/>
          </rPr>
          <t>Myers, Corey Adam:</t>
        </r>
        <r>
          <rPr>
            <sz val="9"/>
            <color indexed="81"/>
            <rFont val="Tahoma"/>
            <family val="2"/>
          </rPr>
          <t xml:space="preserve">
Refrence 41</t>
        </r>
      </text>
    </comment>
    <comment ref="A468" authorId="0" shapeId="0" xr:uid="{A5BDBCC1-E8C3-4FF8-A306-1E5EF380E9BD}">
      <text>
        <r>
          <rPr>
            <b/>
            <sz val="9"/>
            <color indexed="81"/>
            <rFont val="Tahoma"/>
            <family val="2"/>
          </rPr>
          <t>Myers, Corey Adam:</t>
        </r>
        <r>
          <rPr>
            <sz val="9"/>
            <color indexed="81"/>
            <rFont val="Tahoma"/>
            <family val="2"/>
          </rPr>
          <t xml:space="preserve">
Reference 20</t>
        </r>
      </text>
    </comment>
    <comment ref="B473" authorId="0" shapeId="0" xr:uid="{D461B760-3577-4862-96E1-6725105DD64C}">
      <text>
        <r>
          <rPr>
            <b/>
            <sz val="9"/>
            <color indexed="81"/>
            <rFont val="Tahoma"/>
            <family val="2"/>
          </rPr>
          <t>Myers, Corey Adam:</t>
        </r>
        <r>
          <rPr>
            <sz val="9"/>
            <color indexed="81"/>
            <rFont val="Tahoma"/>
            <family val="2"/>
          </rPr>
          <t xml:space="preserve">
Reference 21</t>
        </r>
      </text>
    </comment>
    <comment ref="B483" authorId="0" shapeId="0" xr:uid="{97F5AE5B-16C2-4D57-89E5-64DCFBEAB7D8}">
      <text>
        <r>
          <rPr>
            <b/>
            <sz val="9"/>
            <color indexed="81"/>
            <rFont val="Tahoma"/>
            <family val="2"/>
          </rPr>
          <t>Myers, Corey Adam:</t>
        </r>
        <r>
          <rPr>
            <sz val="9"/>
            <color indexed="81"/>
            <rFont val="Tahoma"/>
            <family val="2"/>
          </rPr>
          <t xml:space="preserve">
Reference 39 say 908,000.
Using reference 41.</t>
        </r>
      </text>
    </comment>
    <comment ref="B492" authorId="0" shapeId="0" xr:uid="{BC90B969-EF02-4EBC-B914-E5BBAFAE8264}">
      <text>
        <r>
          <rPr>
            <b/>
            <sz val="9"/>
            <color indexed="81"/>
            <rFont val="Tahoma"/>
            <family val="2"/>
          </rPr>
          <t>Myers, Corey Adam:</t>
        </r>
        <r>
          <rPr>
            <sz val="9"/>
            <color indexed="81"/>
            <rFont val="Tahoma"/>
            <family val="2"/>
          </rPr>
          <t xml:space="preserve">
Reference 41
</t>
        </r>
      </text>
    </comment>
    <comment ref="B493" authorId="0" shapeId="0" xr:uid="{F46BA461-1622-41B1-B3E7-71605A26A517}">
      <text>
        <r>
          <rPr>
            <b/>
            <sz val="9"/>
            <color indexed="81"/>
            <rFont val="Tahoma"/>
            <family val="2"/>
          </rPr>
          <t>Myers, Corey Adam:</t>
        </r>
        <r>
          <rPr>
            <sz val="9"/>
            <color indexed="81"/>
            <rFont val="Tahoma"/>
            <family val="2"/>
          </rPr>
          <t xml:space="preserve">
Reference 41
</t>
        </r>
      </text>
    </comment>
    <comment ref="B498" authorId="0" shapeId="0" xr:uid="{7E8E6A8F-DC6D-4AE3-AB5D-7A8695F7FC6B}">
      <text>
        <r>
          <rPr>
            <b/>
            <sz val="9"/>
            <color indexed="81"/>
            <rFont val="Tahoma"/>
            <family val="2"/>
          </rPr>
          <t>Myers, Corey Adam:</t>
        </r>
        <r>
          <rPr>
            <sz val="9"/>
            <color indexed="81"/>
            <rFont val="Tahoma"/>
            <family val="2"/>
          </rPr>
          <t xml:space="preserve">
Refrence 41</t>
        </r>
      </text>
    </comment>
    <comment ref="C498" authorId="0" shapeId="0" xr:uid="{77D062B8-6D0C-4DD4-92F6-EAF37108CD76}">
      <text>
        <r>
          <rPr>
            <b/>
            <sz val="9"/>
            <color indexed="81"/>
            <rFont val="Tahoma"/>
            <family val="2"/>
          </rPr>
          <t>Myers, Corey Adam:</t>
        </r>
        <r>
          <rPr>
            <sz val="9"/>
            <color indexed="81"/>
            <rFont val="Tahoma"/>
            <family val="2"/>
          </rPr>
          <t xml:space="preserve">
Refrence 41</t>
        </r>
      </text>
    </comment>
    <comment ref="B505" authorId="0" shapeId="0" xr:uid="{EB3FCF18-5333-4FB4-8E0F-0E8ECD1046EB}">
      <text>
        <r>
          <rPr>
            <b/>
            <sz val="9"/>
            <color indexed="81"/>
            <rFont val="Tahoma"/>
            <family val="2"/>
          </rPr>
          <t>Myers, Corey Adam:</t>
        </r>
        <r>
          <rPr>
            <sz val="9"/>
            <color indexed="81"/>
            <rFont val="Tahoma"/>
            <family val="2"/>
          </rPr>
          <t xml:space="preserve">
Reference 41;
using IPCC AR6 100-y GWP factors</t>
        </r>
      </text>
    </comment>
    <comment ref="C505" authorId="0" shapeId="0" xr:uid="{252CE0E8-7CEE-4625-B36B-F4900BC289F5}">
      <text>
        <r>
          <rPr>
            <b/>
            <sz val="9"/>
            <color indexed="81"/>
            <rFont val="Tahoma"/>
            <family val="2"/>
          </rPr>
          <t>Myers, Corey Adam:</t>
        </r>
        <r>
          <rPr>
            <sz val="9"/>
            <color indexed="81"/>
            <rFont val="Tahoma"/>
            <family val="2"/>
          </rPr>
          <t xml:space="preserve">
Reference 41;
using IPCC AR6 100-y GWP factors</t>
        </r>
      </text>
    </comment>
    <comment ref="B507" authorId="0" shapeId="0" xr:uid="{44543658-CF27-49A1-AB01-0ECC7BA8D26A}">
      <text>
        <r>
          <rPr>
            <b/>
            <sz val="9"/>
            <color indexed="81"/>
            <rFont val="Tahoma"/>
            <family val="2"/>
          </rPr>
          <t>Myers, Corey Adam:</t>
        </r>
        <r>
          <rPr>
            <sz val="9"/>
            <color indexed="81"/>
            <rFont val="Tahoma"/>
            <family val="2"/>
          </rPr>
          <t xml:space="preserve">
Refrence 41</t>
        </r>
      </text>
    </comment>
    <comment ref="C507" authorId="0" shapeId="0" xr:uid="{E9F23AB5-A184-4C6E-948A-2EAB39BDF9D4}">
      <text>
        <r>
          <rPr>
            <b/>
            <sz val="9"/>
            <color indexed="81"/>
            <rFont val="Tahoma"/>
            <family val="2"/>
          </rPr>
          <t>Myers, Corey Adam:</t>
        </r>
        <r>
          <rPr>
            <sz val="9"/>
            <color indexed="81"/>
            <rFont val="Tahoma"/>
            <family val="2"/>
          </rPr>
          <t xml:space="preserve">
Refrence 41</t>
        </r>
      </text>
    </comment>
    <comment ref="D522" authorId="0" shapeId="0" xr:uid="{37AC8301-E188-49D0-810F-BC1E21DA8E6A}">
      <text>
        <r>
          <rPr>
            <b/>
            <sz val="9"/>
            <color indexed="81"/>
            <rFont val="Tahoma"/>
            <family val="2"/>
          </rPr>
          <t>Myers, Corey Adam:</t>
        </r>
        <r>
          <rPr>
            <sz val="9"/>
            <color indexed="81"/>
            <rFont val="Tahoma"/>
            <family val="2"/>
          </rPr>
          <t xml:space="preserve">
GX20/23-ASME-01 CS SI</t>
        </r>
      </text>
    </comment>
    <comment ref="G522" authorId="0" shapeId="0" xr:uid="{6DA0DB49-DBEC-4CBB-A61B-CAC8D5E937EC}">
      <text>
        <r>
          <rPr>
            <b/>
            <sz val="9"/>
            <color indexed="81"/>
            <rFont val="Tahoma"/>
            <family val="2"/>
          </rPr>
          <t>Myers, Corey Adam:</t>
        </r>
        <r>
          <rPr>
            <sz val="9"/>
            <color indexed="81"/>
            <rFont val="Tahoma"/>
            <family val="2"/>
          </rPr>
          <t xml:space="preserve">
GX20/23-ASME-01 CS SI</t>
        </r>
      </text>
    </comment>
    <comment ref="A537" authorId="0" shapeId="0" xr:uid="{E424634C-FEA0-4D36-B076-BEA782886280}">
      <text>
        <r>
          <rPr>
            <b/>
            <sz val="9"/>
            <color indexed="81"/>
            <rFont val="Tahoma"/>
            <family val="2"/>
          </rPr>
          <t>Myers, Corey Adam:</t>
        </r>
        <r>
          <rPr>
            <sz val="9"/>
            <color indexed="81"/>
            <rFont val="Tahoma"/>
            <family val="2"/>
          </rPr>
          <t xml:space="preserve">
Per discussions with industry.</t>
        </r>
      </text>
    </comment>
    <comment ref="A538" authorId="0" shapeId="0" xr:uid="{A073BAF5-91EF-48B7-9D09-D71DC611F25A}">
      <text>
        <r>
          <rPr>
            <b/>
            <sz val="9"/>
            <color indexed="81"/>
            <rFont val="Tahoma"/>
            <family val="2"/>
          </rPr>
          <t>Myers, Corey Adam:</t>
        </r>
        <r>
          <rPr>
            <sz val="9"/>
            <color indexed="81"/>
            <rFont val="Tahoma"/>
            <family val="2"/>
          </rPr>
          <t xml:space="preserve">
Per discussions with industry.</t>
        </r>
      </text>
    </comment>
    <comment ref="B544" authorId="0" shapeId="0" xr:uid="{3B275AAE-EFFF-456A-838F-ACE4D50488E0}">
      <text>
        <r>
          <rPr>
            <b/>
            <sz val="9"/>
            <color indexed="81"/>
            <rFont val="Tahoma"/>
            <family val="2"/>
          </rPr>
          <t>Myers, Corey Adam:</t>
        </r>
        <r>
          <rPr>
            <sz val="9"/>
            <color indexed="81"/>
            <rFont val="Tahoma"/>
            <family val="2"/>
          </rPr>
          <t xml:space="preserve">
Reference 30.
11 guage carbon steel.</t>
        </r>
      </text>
    </comment>
    <comment ref="C544" authorId="0" shapeId="0" xr:uid="{EA346499-AD9B-4E20-B172-FA45674BC46A}">
      <text>
        <r>
          <rPr>
            <b/>
            <sz val="9"/>
            <color indexed="81"/>
            <rFont val="Tahoma"/>
            <family val="2"/>
          </rPr>
          <t>Myers, Corey Adam:</t>
        </r>
        <r>
          <rPr>
            <sz val="9"/>
            <color indexed="81"/>
            <rFont val="Tahoma"/>
            <family val="2"/>
          </rPr>
          <t xml:space="preserve">
Reference 30.
11 guage carbon steel.</t>
        </r>
      </text>
    </comment>
    <comment ref="F544" authorId="0" shapeId="0" xr:uid="{C1E96646-40B9-4A24-9F95-7B5ACC77C115}">
      <text>
        <r>
          <rPr>
            <b/>
            <sz val="9"/>
            <color indexed="81"/>
            <rFont val="Tahoma"/>
            <family val="2"/>
          </rPr>
          <t>Myers, Corey Adam:</t>
        </r>
        <r>
          <rPr>
            <sz val="9"/>
            <color indexed="81"/>
            <rFont val="Tahoma"/>
            <family val="2"/>
          </rPr>
          <t xml:space="preserve">
Reference 30.
11 guage carbon steel.</t>
        </r>
      </text>
    </comment>
    <comment ref="B550" authorId="0" shapeId="0" xr:uid="{D29B3237-4D82-4F2E-9417-C85937C5EB16}">
      <text>
        <r>
          <rPr>
            <b/>
            <sz val="9"/>
            <color indexed="81"/>
            <rFont val="Tahoma"/>
            <family val="2"/>
          </rPr>
          <t>Myers, Corey Adam:</t>
        </r>
        <r>
          <rPr>
            <sz val="9"/>
            <color indexed="81"/>
            <rFont val="Tahoma"/>
            <family val="2"/>
          </rPr>
          <t xml:space="preserve">
Average of commercial quotes</t>
        </r>
      </text>
    </comment>
    <comment ref="B554" authorId="0" shapeId="0" xr:uid="{0AEC7FAC-4B51-462D-962C-D2A52ED0663A}">
      <text>
        <r>
          <rPr>
            <b/>
            <sz val="9"/>
            <color indexed="81"/>
            <rFont val="Tahoma"/>
            <family val="2"/>
          </rPr>
          <t>Myers, Corey Adam:</t>
        </r>
        <r>
          <rPr>
            <sz val="9"/>
            <color indexed="81"/>
            <rFont val="Tahoma"/>
            <family val="2"/>
          </rPr>
          <t xml:space="preserve">
Average from commercial quotes.</t>
        </r>
      </text>
    </comment>
    <comment ref="B558" authorId="0" shapeId="0" xr:uid="{5AD08138-25F6-4BB1-8E6B-971095CAE3CD}">
      <text>
        <r>
          <rPr>
            <b/>
            <sz val="9"/>
            <color indexed="81"/>
            <rFont val="Tahoma"/>
            <family val="2"/>
          </rPr>
          <t>Myers, Corey Adam:</t>
        </r>
        <r>
          <rPr>
            <sz val="9"/>
            <color indexed="81"/>
            <rFont val="Tahoma"/>
            <family val="2"/>
          </rPr>
          <t xml:space="preserve">
Reference 53</t>
        </r>
      </text>
    </comment>
    <comment ref="B582" authorId="0" shapeId="0" xr:uid="{C56CAD80-5F74-4E7E-A732-E048DD16AE24}">
      <text>
        <r>
          <rPr>
            <b/>
            <sz val="9"/>
            <color indexed="81"/>
            <rFont val="Tahoma"/>
            <family val="2"/>
          </rPr>
          <t>Myers, Corey Adam:</t>
        </r>
        <r>
          <rPr>
            <sz val="9"/>
            <color indexed="81"/>
            <rFont val="Tahoma"/>
            <family val="2"/>
          </rPr>
          <t xml:space="preserve">
Refrence 22</t>
        </r>
      </text>
    </comment>
    <comment ref="B584" authorId="0" shapeId="0" xr:uid="{0853C17F-3A89-4FB8-8A86-C426AACBAF42}">
      <text>
        <r>
          <rPr>
            <b/>
            <sz val="9"/>
            <color indexed="81"/>
            <rFont val="Tahoma"/>
            <family val="2"/>
          </rPr>
          <t>Myers, Corey Adam:</t>
        </r>
        <r>
          <rPr>
            <sz val="9"/>
            <color indexed="81"/>
            <rFont val="Tahoma"/>
            <family val="2"/>
          </rPr>
          <t xml:space="preserve">
Refrence 22</t>
        </r>
      </text>
    </comment>
    <comment ref="B586" authorId="0" shapeId="0" xr:uid="{CD2BA403-602C-405E-864D-64D775D23D92}">
      <text>
        <r>
          <rPr>
            <b/>
            <sz val="9"/>
            <color indexed="81"/>
            <rFont val="Tahoma"/>
            <family val="2"/>
          </rPr>
          <t>Myers, Corey Adam:</t>
        </r>
        <r>
          <rPr>
            <sz val="9"/>
            <color indexed="81"/>
            <rFont val="Tahoma"/>
            <family val="2"/>
          </rPr>
          <t xml:space="preserve">
Refrence 22
</t>
        </r>
      </text>
    </comment>
    <comment ref="B601" authorId="0" shapeId="0" xr:uid="{1A6BDE0C-FD35-4FB6-9F9B-767BED8B814D}">
      <text>
        <r>
          <rPr>
            <b/>
            <sz val="9"/>
            <color indexed="81"/>
            <rFont val="Tahoma"/>
            <family val="2"/>
          </rPr>
          <t>Myers, Corey Adam:</t>
        </r>
        <r>
          <rPr>
            <sz val="9"/>
            <color indexed="81"/>
            <rFont val="Tahoma"/>
            <family val="2"/>
          </rPr>
          <t xml:space="preserve">
Fill time acts as break period for drivers.
Filling of gas tanks is done concurrently to LCO2 filling and/or unfilling.</t>
        </r>
      </text>
    </comment>
    <comment ref="B602" authorId="0" shapeId="0" xr:uid="{5DF6F106-288D-4E81-9770-5C6421BEE1A6}">
      <text>
        <r>
          <rPr>
            <b/>
            <sz val="9"/>
            <color indexed="81"/>
            <rFont val="Tahoma"/>
            <family val="2"/>
          </rPr>
          <t>Myers, Corey Adam:</t>
        </r>
        <r>
          <rPr>
            <sz val="9"/>
            <color indexed="81"/>
            <rFont val="Tahoma"/>
            <family val="2"/>
          </rPr>
          <t xml:space="preserve">
Fill time acts as break period for drivers.
Filling of gas tanks is done concurrently to LCO2 filling and/or unfilling.</t>
        </r>
      </text>
    </comment>
    <comment ref="B647" authorId="0" shapeId="0" xr:uid="{858AA947-FBA6-4BA8-BAD0-3E2A00697A99}">
      <text>
        <r>
          <rPr>
            <b/>
            <sz val="9"/>
            <color indexed="81"/>
            <rFont val="Tahoma"/>
            <family val="2"/>
          </rPr>
          <t>Myers, Corey Adam:</t>
        </r>
        <r>
          <rPr>
            <sz val="9"/>
            <color indexed="81"/>
            <rFont val="Tahoma"/>
            <family val="2"/>
          </rPr>
          <t xml:space="preserve">
Fill time acts as break period for drivers.
Filling of gas tanks is done concurrently to LCO2 filling and/or unfilling.</t>
        </r>
      </text>
    </comment>
    <comment ref="B651" authorId="0" shapeId="0" xr:uid="{E53BCC79-2B05-49D4-996D-8AB60F4E5EB5}">
      <text>
        <r>
          <rPr>
            <b/>
            <sz val="9"/>
            <color indexed="81"/>
            <rFont val="Tahoma"/>
            <family val="2"/>
          </rPr>
          <t>Myers, Corey Adam:</t>
        </r>
        <r>
          <rPr>
            <sz val="9"/>
            <color indexed="81"/>
            <rFont val="Tahoma"/>
            <family val="2"/>
          </rPr>
          <t xml:space="preserve">
Fill time acts as break period for drivers.
Filling of gas tanks is done concurrently to LCO2 filling and/or unfilling.</t>
        </r>
      </text>
    </comment>
    <comment ref="B779" authorId="0" shapeId="0" xr:uid="{E887366E-4FF4-40C6-85F8-EB93752FE16D}">
      <text>
        <r>
          <rPr>
            <b/>
            <sz val="9"/>
            <color indexed="81"/>
            <rFont val="Tahoma"/>
            <family val="2"/>
          </rPr>
          <t>Myers, Corey Adam:</t>
        </r>
        <r>
          <rPr>
            <sz val="9"/>
            <color indexed="81"/>
            <rFont val="Tahoma"/>
            <family val="2"/>
          </rPr>
          <t xml:space="preserve">
Automatically calculated by macro to solve heat balance to 0.</t>
        </r>
      </text>
    </comment>
    <comment ref="B797" authorId="0" shapeId="0" xr:uid="{EF8DACBE-DBD4-49CA-B6C4-6DDDD0540812}">
      <text>
        <r>
          <rPr>
            <b/>
            <sz val="9"/>
            <color indexed="81"/>
            <rFont val="Tahoma"/>
            <family val="2"/>
          </rPr>
          <t>Myers, Corey Adam:</t>
        </r>
        <r>
          <rPr>
            <sz val="9"/>
            <color indexed="81"/>
            <rFont val="Tahoma"/>
            <family val="2"/>
          </rPr>
          <t xml:space="preserve">
Reference 16</t>
        </r>
      </text>
    </comment>
    <comment ref="C797" authorId="0" shapeId="0" xr:uid="{9F55AD47-A26B-44EA-BAC5-0C4A500D35EC}">
      <text>
        <r>
          <rPr>
            <b/>
            <sz val="9"/>
            <color indexed="81"/>
            <rFont val="Tahoma"/>
            <family val="2"/>
          </rPr>
          <t>Myers, Corey Adam:</t>
        </r>
        <r>
          <rPr>
            <sz val="9"/>
            <color indexed="81"/>
            <rFont val="Tahoma"/>
            <family val="2"/>
          </rPr>
          <t xml:space="preserve">
Reference 16</t>
        </r>
      </text>
    </comment>
    <comment ref="B800" authorId="0" shapeId="0" xr:uid="{D3C4202E-EB3C-41CD-A445-872F42512107}">
      <text>
        <r>
          <rPr>
            <b/>
            <sz val="9"/>
            <color indexed="81"/>
            <rFont val="Tahoma"/>
            <family val="2"/>
          </rPr>
          <t>Myers, Corey Adam:</t>
        </r>
        <r>
          <rPr>
            <sz val="9"/>
            <color indexed="81"/>
            <rFont val="Tahoma"/>
            <family val="2"/>
          </rPr>
          <t xml:space="preserve">
Reference 16</t>
        </r>
      </text>
    </comment>
    <comment ref="C800" authorId="0" shapeId="0" xr:uid="{BE0AEA5D-1D95-4F24-8945-9DC359B82F9F}">
      <text>
        <r>
          <rPr>
            <b/>
            <sz val="9"/>
            <color indexed="81"/>
            <rFont val="Tahoma"/>
            <family val="2"/>
          </rPr>
          <t>Myers, Corey Adam:</t>
        </r>
        <r>
          <rPr>
            <sz val="9"/>
            <color indexed="81"/>
            <rFont val="Tahoma"/>
            <family val="2"/>
          </rPr>
          <t xml:space="preserve">
Reference 16</t>
        </r>
      </text>
    </comment>
    <comment ref="A820" authorId="0" shapeId="0" xr:uid="{0E368627-0716-4E02-A2DB-0EADCF37414C}">
      <text>
        <r>
          <rPr>
            <b/>
            <sz val="9"/>
            <color indexed="81"/>
            <rFont val="Tahoma"/>
            <family val="2"/>
          </rPr>
          <t>Myers, Corey Adam:</t>
        </r>
        <r>
          <rPr>
            <sz val="9"/>
            <color indexed="81"/>
            <rFont val="Tahoma"/>
            <family val="2"/>
          </rPr>
          <t xml:space="preserve">
Refrence 42</t>
        </r>
      </text>
    </comment>
    <comment ref="A835" authorId="0" shapeId="0" xr:uid="{53BC671D-2E8B-4671-B7DE-97A95333507D}">
      <text>
        <r>
          <rPr>
            <b/>
            <sz val="9"/>
            <color indexed="81"/>
            <rFont val="Tahoma"/>
            <family val="2"/>
          </rPr>
          <t>Myers, Corey Adam:</t>
        </r>
        <r>
          <rPr>
            <sz val="9"/>
            <color indexed="81"/>
            <rFont val="Tahoma"/>
            <family val="2"/>
          </rPr>
          <t xml:space="preserve">
Reference 47</t>
        </r>
      </text>
    </comment>
    <comment ref="B841" authorId="0" shapeId="0" xr:uid="{2FFC5627-1668-49BC-9768-274C3EAB1537}">
      <text>
        <r>
          <rPr>
            <b/>
            <sz val="9"/>
            <color indexed="81"/>
            <rFont val="Tahoma"/>
            <family val="2"/>
          </rPr>
          <t>Myers, Corey Adam:</t>
        </r>
        <r>
          <rPr>
            <sz val="9"/>
            <color indexed="81"/>
            <rFont val="Tahoma"/>
            <family val="2"/>
          </rPr>
          <t xml:space="preserve">
Reference 59</t>
        </r>
      </text>
    </comment>
    <comment ref="B844" authorId="0" shapeId="0" xr:uid="{F79EAE2C-C57A-4341-BB23-B78C03233EBD}">
      <text>
        <r>
          <rPr>
            <b/>
            <sz val="9"/>
            <color indexed="81"/>
            <rFont val="Tahoma"/>
            <family val="2"/>
          </rPr>
          <t>Myers, Corey Adam:</t>
        </r>
        <r>
          <rPr>
            <sz val="9"/>
            <color indexed="81"/>
            <rFont val="Tahoma"/>
            <family val="2"/>
          </rPr>
          <t xml:space="preserve">
Calculated from Reference 60.</t>
        </r>
      </text>
    </comment>
    <comment ref="A848" authorId="0" shapeId="0" xr:uid="{0E3FB7A3-DBCB-497C-A55A-3CC647041027}">
      <text>
        <r>
          <rPr>
            <b/>
            <sz val="9"/>
            <color indexed="81"/>
            <rFont val="Tahoma"/>
            <family val="2"/>
          </rPr>
          <t>Myers, Corey Adam:</t>
        </r>
        <r>
          <rPr>
            <sz val="9"/>
            <color indexed="81"/>
            <rFont val="Tahoma"/>
            <family val="2"/>
          </rPr>
          <t xml:space="preserve">
Reference 42</t>
        </r>
      </text>
    </comment>
    <comment ref="B866" authorId="0" shapeId="0" xr:uid="{06A42E79-A121-4105-9D5D-CED4CF5A5DD0}">
      <text>
        <r>
          <rPr>
            <b/>
            <sz val="9"/>
            <color indexed="81"/>
            <rFont val="Tahoma"/>
            <family val="2"/>
          </rPr>
          <t>Myers, Corey Adam:</t>
        </r>
        <r>
          <rPr>
            <sz val="9"/>
            <color indexed="81"/>
            <rFont val="Tahoma"/>
            <family val="2"/>
          </rPr>
          <t xml:space="preserve">
Reference 48. 
3.58% reduction every 5 years
</t>
        </r>
      </text>
    </comment>
    <comment ref="B867" authorId="0" shapeId="0" xr:uid="{FB5CD9C0-D921-4F1B-8717-3E92CF1AE39D}">
      <text>
        <r>
          <rPr>
            <b/>
            <sz val="9"/>
            <color indexed="81"/>
            <rFont val="Tahoma"/>
            <family val="2"/>
          </rPr>
          <t>Myers, Corey Adam:</t>
        </r>
        <r>
          <rPr>
            <sz val="9"/>
            <color indexed="81"/>
            <rFont val="Tahoma"/>
            <family val="2"/>
          </rPr>
          <t xml:space="preserve">
Reference 48.
3.58% reduction every 5 years.</t>
        </r>
      </text>
    </comment>
    <comment ref="B878" authorId="0" shapeId="0" xr:uid="{AC560A79-B0F5-4EEF-A86C-F863B91FB4FD}">
      <text>
        <r>
          <rPr>
            <b/>
            <sz val="9"/>
            <color indexed="81"/>
            <rFont val="Tahoma"/>
            <family val="2"/>
          </rPr>
          <t>Myers, Corey Adam:</t>
        </r>
        <r>
          <rPr>
            <sz val="9"/>
            <color indexed="81"/>
            <rFont val="Tahoma"/>
            <family val="2"/>
          </rPr>
          <t xml:space="preserve">
Reference 59</t>
        </r>
      </text>
    </comment>
    <comment ref="B881" authorId="0" shapeId="0" xr:uid="{27FA39DC-222F-4FF8-8B16-36A8A78041C3}">
      <text>
        <r>
          <rPr>
            <b/>
            <sz val="9"/>
            <color indexed="81"/>
            <rFont val="Tahoma"/>
            <family val="2"/>
          </rPr>
          <t>Myers, Corey Adam:</t>
        </r>
        <r>
          <rPr>
            <sz val="9"/>
            <color indexed="81"/>
            <rFont val="Tahoma"/>
            <family val="2"/>
          </rPr>
          <t xml:space="preserve">
Calculated from Reference 60.</t>
        </r>
      </text>
    </comment>
    <comment ref="A894" authorId="0" shapeId="0" xr:uid="{FB02C86B-4035-4B57-9CCD-5493D4DDCE56}">
      <text>
        <r>
          <rPr>
            <b/>
            <sz val="9"/>
            <color indexed="81"/>
            <rFont val="Tahoma"/>
            <family val="2"/>
          </rPr>
          <t>Myers, Corey Adam:</t>
        </r>
        <r>
          <rPr>
            <sz val="9"/>
            <color indexed="81"/>
            <rFont val="Tahoma"/>
            <family val="2"/>
          </rPr>
          <t xml:space="preserve">
Reference 49.
Average over the period 1/3/2020-12/2/2022</t>
        </r>
      </text>
    </comment>
    <comment ref="B894" authorId="0" shapeId="0" xr:uid="{1BBB4140-5F9A-42DF-BCC3-C0F0E66783F4}">
      <text>
        <r>
          <rPr>
            <b/>
            <sz val="9"/>
            <color indexed="81"/>
            <rFont val="Tahoma"/>
            <family val="2"/>
          </rPr>
          <t>Myers, Corey Adam:</t>
        </r>
        <r>
          <rPr>
            <sz val="9"/>
            <color indexed="81"/>
            <rFont val="Tahoma"/>
            <family val="2"/>
          </rPr>
          <t xml:space="preserve">
accounts for congestion, interconnection time, etc.</t>
        </r>
      </text>
    </comment>
    <comment ref="F896" authorId="0" shapeId="0" xr:uid="{E86C3B99-2174-4BBD-A432-F33444522546}">
      <text>
        <r>
          <rPr>
            <b/>
            <sz val="9"/>
            <color indexed="81"/>
            <rFont val="Tahoma"/>
            <family val="2"/>
          </rPr>
          <t>Myers, Corey Adam:</t>
        </r>
        <r>
          <rPr>
            <sz val="9"/>
            <color indexed="81"/>
            <rFont val="Tahoma"/>
            <family val="2"/>
          </rPr>
          <t xml:space="preserve">
Reference 50 and 51.
Carrier-specific data estimated.
</t>
        </r>
      </text>
    </comment>
    <comment ref="G896" authorId="0" shapeId="0" xr:uid="{28552BDB-9BE5-49C0-AC70-6D8F96AE9594}">
      <text>
        <r>
          <rPr>
            <b/>
            <sz val="9"/>
            <color indexed="81"/>
            <rFont val="Tahoma"/>
            <family val="2"/>
          </rPr>
          <t>Myers, Corey Adam:</t>
        </r>
        <r>
          <rPr>
            <sz val="9"/>
            <color indexed="81"/>
            <rFont val="Tahoma"/>
            <family val="2"/>
          </rPr>
          <t xml:space="preserve">
Reference 51.
Deviation from average for STCC 2813: compressed and liquified industrial gases.
</t>
        </r>
      </text>
    </comment>
    <comment ref="H896" authorId="0" shapeId="0" xr:uid="{1D7131EC-8BFA-417B-91CF-EF56A6828A6E}">
      <text>
        <r>
          <rPr>
            <b/>
            <sz val="9"/>
            <color indexed="81"/>
            <rFont val="Tahoma"/>
            <family val="2"/>
          </rPr>
          <t>Myers, Corey Adam:</t>
        </r>
        <r>
          <rPr>
            <sz val="9"/>
            <color indexed="81"/>
            <rFont val="Tahoma"/>
            <family val="2"/>
          </rPr>
          <t xml:space="preserve">
Reference 46.
STCC 2813320
Excluding car type S342.</t>
        </r>
      </text>
    </comment>
    <comment ref="B921" authorId="0" shapeId="0" xr:uid="{19E79919-EF4B-47EC-81F4-0B0865ADAFC2}">
      <text>
        <r>
          <rPr>
            <b/>
            <sz val="9"/>
            <color indexed="81"/>
            <rFont val="Tahoma"/>
            <family val="2"/>
          </rPr>
          <t>Myers, Corey Adam:</t>
        </r>
        <r>
          <rPr>
            <sz val="9"/>
            <color indexed="81"/>
            <rFont val="Tahoma"/>
            <family val="2"/>
          </rPr>
          <t xml:space="preserve">
Reference 26
</t>
        </r>
      </text>
    </comment>
    <comment ref="B924" authorId="0" shapeId="0" xr:uid="{6AE61AB4-C322-4889-9BD9-7D718D95800E}">
      <text>
        <r>
          <rPr>
            <b/>
            <sz val="9"/>
            <color indexed="81"/>
            <rFont val="Tahoma"/>
            <family val="2"/>
          </rPr>
          <t>Myers, Corey Adam:</t>
        </r>
        <r>
          <rPr>
            <sz val="9"/>
            <color indexed="81"/>
            <rFont val="Tahoma"/>
            <family val="2"/>
          </rPr>
          <t xml:space="preserve">
Reference 27</t>
        </r>
      </text>
    </comment>
    <comment ref="A939" authorId="0" shapeId="0" xr:uid="{9082CF1F-3659-4E14-9BAF-70F9749F41EF}">
      <text>
        <r>
          <rPr>
            <b/>
            <sz val="9"/>
            <color indexed="81"/>
            <rFont val="Tahoma"/>
            <family val="2"/>
          </rPr>
          <t>Myers, Corey Adam:</t>
        </r>
        <r>
          <rPr>
            <sz val="9"/>
            <color indexed="81"/>
            <rFont val="Tahoma"/>
            <family val="2"/>
          </rPr>
          <t xml:space="preserve">
double-welded butt joint with spot radiographic examination</t>
        </r>
      </text>
    </comment>
    <comment ref="A940" authorId="0" shapeId="0" xr:uid="{9A61CD3E-1AC9-4D1F-AE01-8F5B67097C72}">
      <text>
        <r>
          <rPr>
            <b/>
            <sz val="9"/>
            <color indexed="81"/>
            <rFont val="Tahoma"/>
            <family val="2"/>
          </rPr>
          <t>Myers, Corey Adam:</t>
        </r>
        <r>
          <rPr>
            <sz val="9"/>
            <color indexed="81"/>
            <rFont val="Tahoma"/>
            <family val="2"/>
          </rPr>
          <t xml:space="preserve">
304 SS at 40 C.
Reference 40.</t>
        </r>
      </text>
    </comment>
    <comment ref="A961" authorId="0" shapeId="0" xr:uid="{9E6C2CC3-E88E-4888-B66F-DD85042C9AB5}">
      <text>
        <r>
          <rPr>
            <b/>
            <sz val="9"/>
            <color indexed="81"/>
            <rFont val="Tahoma"/>
            <family val="2"/>
          </rPr>
          <t>Myers, Corey Adam:</t>
        </r>
        <r>
          <rPr>
            <sz val="9"/>
            <color indexed="81"/>
            <rFont val="Tahoma"/>
            <family val="2"/>
          </rPr>
          <t xml:space="preserve">
Reference 7</t>
        </r>
      </text>
    </comment>
    <comment ref="E1027" authorId="0" shapeId="0" xr:uid="{5537482F-98EF-4CF5-B56F-E1B564640FFC}">
      <text>
        <r>
          <rPr>
            <b/>
            <sz val="9"/>
            <color indexed="81"/>
            <rFont val="Tahoma"/>
            <family val="2"/>
          </rPr>
          <t>Myers, Corey Adam:</t>
        </r>
        <r>
          <rPr>
            <sz val="9"/>
            <color indexed="81"/>
            <rFont val="Tahoma"/>
            <family val="2"/>
          </rPr>
          <t xml:space="preserve">
Reference 23,  25</t>
        </r>
      </text>
    </comment>
    <comment ref="A1081" authorId="0" shapeId="0" xr:uid="{7E0B4A10-4D4E-4D2F-B19F-A5F7745E2093}">
      <text>
        <r>
          <rPr>
            <b/>
            <sz val="9"/>
            <color indexed="81"/>
            <rFont val="Tahoma"/>
            <family val="2"/>
          </rPr>
          <t>Myers, Corey Adam:</t>
        </r>
        <r>
          <rPr>
            <sz val="9"/>
            <color indexed="81"/>
            <rFont val="Tahoma"/>
            <family val="2"/>
          </rPr>
          <t xml:space="preserve">
W27X178</t>
        </r>
      </text>
    </comment>
    <comment ref="A1087" authorId="0" shapeId="0" xr:uid="{D2EEFD7A-1B5F-42FE-9CA3-55A4D765819D}">
      <text>
        <r>
          <rPr>
            <b/>
            <sz val="9"/>
            <color indexed="81"/>
            <rFont val="Tahoma"/>
            <family val="2"/>
          </rPr>
          <t>Myers, Corey Adam:</t>
        </r>
        <r>
          <rPr>
            <sz val="9"/>
            <color indexed="81"/>
            <rFont val="Tahoma"/>
            <family val="2"/>
          </rPr>
          <t xml:space="preserve">
Reference 25.
Line number: 02 41 16.13 0050</t>
        </r>
      </text>
    </comment>
    <comment ref="A1113" authorId="0" shapeId="0" xr:uid="{BE96AADA-1DD5-4758-BE65-8056FF1552A3}">
      <text>
        <r>
          <rPr>
            <b/>
            <sz val="9"/>
            <color indexed="81"/>
            <rFont val="Tahoma"/>
            <family val="2"/>
          </rPr>
          <t>Myers, Corey Adam:</t>
        </r>
        <r>
          <rPr>
            <sz val="9"/>
            <color indexed="81"/>
            <rFont val="Tahoma"/>
            <family val="2"/>
          </rPr>
          <t xml:space="preserve">
Reference 7 and 44</t>
        </r>
      </text>
    </comment>
    <comment ref="A1119" authorId="0" shapeId="0" xr:uid="{9879AC24-11C0-4994-9082-8B35D3358498}">
      <text>
        <r>
          <rPr>
            <b/>
            <sz val="9"/>
            <color indexed="81"/>
            <rFont val="Tahoma"/>
            <family val="2"/>
          </rPr>
          <t>Myers, Corey Adam:</t>
        </r>
        <r>
          <rPr>
            <sz val="9"/>
            <color indexed="81"/>
            <rFont val="Tahoma"/>
            <family val="2"/>
          </rPr>
          <t xml:space="preserve">
Reference 7 and 44</t>
        </r>
      </text>
    </comment>
    <comment ref="A1167" authorId="0" shapeId="0" xr:uid="{603F8A3C-09D8-4792-8DAD-A6B430B2F664}">
      <text>
        <r>
          <rPr>
            <b/>
            <sz val="9"/>
            <color indexed="81"/>
            <rFont val="Tahoma"/>
            <family val="2"/>
          </rPr>
          <t>Myers, Corey Adam:</t>
        </r>
        <r>
          <rPr>
            <sz val="9"/>
            <color indexed="81"/>
            <rFont val="Tahoma"/>
            <family val="2"/>
          </rPr>
          <t xml:space="preserve">
Refrence 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<sst xmlns="http://schemas.openxmlformats.org/spreadsheetml/2006/main" count="2284" uniqueCount="1208">
  <si>
    <t>kg/L</t>
  </si>
  <si>
    <t>L/gal</t>
  </si>
  <si>
    <t>t</t>
  </si>
  <si>
    <t>$/y</t>
  </si>
  <si>
    <t>h/y</t>
  </si>
  <si>
    <t>$/h</t>
  </si>
  <si>
    <t>CAPEX</t>
  </si>
  <si>
    <t>CO2 mass</t>
  </si>
  <si>
    <t>mi</t>
  </si>
  <si>
    <t>y</t>
  </si>
  <si>
    <t>h</t>
  </si>
  <si>
    <t>km/mi</t>
  </si>
  <si>
    <t>lbs</t>
  </si>
  <si>
    <t>lbs/kg</t>
  </si>
  <si>
    <t>Fuel</t>
  </si>
  <si>
    <t>Maintenance</t>
  </si>
  <si>
    <t>Insurance</t>
  </si>
  <si>
    <t>Tires</t>
  </si>
  <si>
    <t>Tolls</t>
  </si>
  <si>
    <t>Injection rate</t>
  </si>
  <si>
    <t>kt-CO2/y</t>
  </si>
  <si>
    <t>t-CO2</t>
  </si>
  <si>
    <t>t-CO2/h</t>
  </si>
  <si>
    <t>Fill rate</t>
  </si>
  <si>
    <t>kg/s</t>
  </si>
  <si>
    <t>Fill time</t>
  </si>
  <si>
    <t>kg-CO2/s</t>
  </si>
  <si>
    <t>m2</t>
  </si>
  <si>
    <t>m3</t>
  </si>
  <si>
    <t>CO2 condition</t>
  </si>
  <si>
    <t>kg/m3</t>
  </si>
  <si>
    <t>C</t>
  </si>
  <si>
    <t>min</t>
  </si>
  <si>
    <t>#/y</t>
  </si>
  <si>
    <t>Discharge rate</t>
  </si>
  <si>
    <t>kg/h</t>
  </si>
  <si>
    <t>m</t>
  </si>
  <si>
    <t>NA</t>
  </si>
  <si>
    <t>#</t>
  </si>
  <si>
    <t>Drivers</t>
  </si>
  <si>
    <t>m3/ft3</t>
  </si>
  <si>
    <t>slope</t>
  </si>
  <si>
    <t>intercept</t>
  </si>
  <si>
    <t>t-CO2/y</t>
  </si>
  <si>
    <t>kg</t>
  </si>
  <si>
    <t>Total</t>
  </si>
  <si>
    <t>USD/t-CO2</t>
  </si>
  <si>
    <t>Truck</t>
  </si>
  <si>
    <t>Distance (mi)</t>
  </si>
  <si>
    <t>Intermodal</t>
  </si>
  <si>
    <t>Average</t>
  </si>
  <si>
    <t>Intermodal capacity</t>
  </si>
  <si>
    <t>m2/acre</t>
  </si>
  <si>
    <t>Land cost</t>
  </si>
  <si>
    <t>Operation period</t>
  </si>
  <si>
    <t>Total injected</t>
  </si>
  <si>
    <t>Building footprint</t>
  </si>
  <si>
    <t>Building height</t>
  </si>
  <si>
    <t>mm</t>
  </si>
  <si>
    <t>kWh/t-CO2</t>
  </si>
  <si>
    <t>g-CO2/kWh</t>
  </si>
  <si>
    <t>Reconditioning energy</t>
  </si>
  <si>
    <t>Labor</t>
  </si>
  <si>
    <t>Year</t>
  </si>
  <si>
    <t>Cost</t>
  </si>
  <si>
    <t>Concrete pad thickness</t>
  </si>
  <si>
    <t>ft</t>
  </si>
  <si>
    <t>Concrete density</t>
  </si>
  <si>
    <t>Concrete quantity</t>
  </si>
  <si>
    <t>year</t>
  </si>
  <si>
    <t>Value</t>
  </si>
  <si>
    <t>each</t>
  </si>
  <si>
    <t>bar</t>
  </si>
  <si>
    <t>d</t>
  </si>
  <si>
    <t>MPa</t>
  </si>
  <si>
    <t>Location</t>
  </si>
  <si>
    <t>a</t>
  </si>
  <si>
    <t>b</t>
  </si>
  <si>
    <t>S</t>
  </si>
  <si>
    <t>n</t>
  </si>
  <si>
    <t>Installation factors</t>
  </si>
  <si>
    <t>piping</t>
  </si>
  <si>
    <t>equipment errection</t>
  </si>
  <si>
    <t>electrical work</t>
  </si>
  <si>
    <t>instrumentation and process control</t>
  </si>
  <si>
    <t>civil engineering</t>
  </si>
  <si>
    <t>structures and buildings</t>
  </si>
  <si>
    <t>insulation, paint, etc.</t>
  </si>
  <si>
    <t>internal pressure min thickness</t>
  </si>
  <si>
    <t>Weld efficiency</t>
  </si>
  <si>
    <t>Max allowable stress</t>
  </si>
  <si>
    <t>m, ASME BPV Code Sec. VIII D.1 Part UG-27</t>
  </si>
  <si>
    <t>longitudinal stress</t>
  </si>
  <si>
    <t>Average inflation rate</t>
  </si>
  <si>
    <t>Mt-CO2/y</t>
  </si>
  <si>
    <t>Start year</t>
  </si>
  <si>
    <t>Rail car unloading tower</t>
  </si>
  <si>
    <t>Unloading package (pumps, compressors, valves, etc.)</t>
  </si>
  <si>
    <t>Injection package</t>
  </si>
  <si>
    <t>Tower</t>
  </si>
  <si>
    <t>US Steel CO2 intensity</t>
  </si>
  <si>
    <t>Max loading of tank</t>
  </si>
  <si>
    <t>m/ft</t>
  </si>
  <si>
    <t>Trucks</t>
  </si>
  <si>
    <t>Size (kt-CO2/y)</t>
  </si>
  <si>
    <t>Liquefaction equipment</t>
  </si>
  <si>
    <t>OPEX</t>
  </si>
  <si>
    <t>FINEX</t>
  </si>
  <si>
    <t>Summary</t>
  </si>
  <si>
    <t>Annual Average CO2 Mass Flow Rate (qav)</t>
  </si>
  <si>
    <t>Key Outputs</t>
  </si>
  <si>
    <t>Net Present Value (NPV) of Cash to Owners</t>
  </si>
  <si>
    <t>Rate of Return on Weighted Debt and Equity</t>
  </si>
  <si>
    <t>Capital Costs</t>
  </si>
  <si>
    <t>Operating Expenses</t>
  </si>
  <si>
    <t>Revenues</t>
  </si>
  <si>
    <t>Inputs</t>
  </si>
  <si>
    <t>Category</t>
  </si>
  <si>
    <t>Unit</t>
  </si>
  <si>
    <t>Note</t>
  </si>
  <si>
    <t>Financial Inputs</t>
  </si>
  <si>
    <t>Capitalization (fequity)</t>
  </si>
  <si>
    <t>Cost of Equity (minimum internal rate of return on equity or IRROEmin)</t>
  </si>
  <si>
    <t>/yr</t>
  </si>
  <si>
    <t>Cost of Debt (id)</t>
  </si>
  <si>
    <t>Tax Rate (rtax)</t>
  </si>
  <si>
    <t>Project Contingency Factor</t>
  </si>
  <si>
    <t>Depreciation method - recovery period for depreciation</t>
  </si>
  <si>
    <t>Tax affected cost of debt (idtax)</t>
  </si>
  <si>
    <t>Weighted average cost of capital (WACC)</t>
  </si>
  <si>
    <t>Base year for capital and O&amp;M costs</t>
  </si>
  <si>
    <t>Starting Calendar Year for Project</t>
  </si>
  <si>
    <t>Duration of Construction in years</t>
  </si>
  <si>
    <t>years</t>
  </si>
  <si>
    <t>Duration of Operation in years</t>
  </si>
  <si>
    <t>Starting Project Year for Operations</t>
  </si>
  <si>
    <t>year number</t>
  </si>
  <si>
    <t>Ending Project Year for Operations</t>
  </si>
  <si>
    <t>Last Project Year for Depreciation</t>
  </si>
  <si>
    <t>Last Project Year for Lending</t>
  </si>
  <si>
    <t>Other Quantities and Inputs</t>
  </si>
  <si>
    <t>tonne/yr</t>
  </si>
  <si>
    <t>Engineering Cost Inputs</t>
  </si>
  <si>
    <t>Total capital expenses (before contingencies)</t>
  </si>
  <si>
    <t>Real Annual Costs</t>
  </si>
  <si>
    <t>Total annual operating expenses</t>
  </si>
  <si>
    <t>Escalation and Discounting Factors</t>
  </si>
  <si>
    <t>Calendar Year</t>
  </si>
  <si>
    <t>Project Year</t>
  </si>
  <si>
    <t>Factor for dividing escal. quantities to yield pres. value using WACC</t>
  </si>
  <si>
    <t>Operating Expenses, Capital Expenses and Depreciation and Amortization</t>
  </si>
  <si>
    <t>Contingency</t>
  </si>
  <si>
    <t>Project Expenses (operating expenses or Opex) in escalated $</t>
  </si>
  <si>
    <t>Escalated and Discounted Costs (only used for reporting purposes)</t>
  </si>
  <si>
    <t>Total Investment (capital expenses or Capex) in present value $</t>
  </si>
  <si>
    <t>Project Expenses (operating expenses or Opex) in present value $</t>
  </si>
  <si>
    <t xml:space="preserve">Depreciation </t>
  </si>
  <si>
    <t>Operating Period</t>
  </si>
  <si>
    <t>CO2 Price in $/tonne</t>
  </si>
  <si>
    <t>Revenues from Transporting CO2 in escalated $</t>
  </si>
  <si>
    <t>Revenues from Transporting CO2 in present value $</t>
  </si>
  <si>
    <t>Discounted Cash Flow for Levelized Capital Structure</t>
  </si>
  <si>
    <t>Depreciation in escalated $</t>
  </si>
  <si>
    <t>Tax Basis Earnings Before Interest and Taxes (EBIT) in escalated $</t>
  </si>
  <si>
    <t>Taxes paid in escalated $</t>
  </si>
  <si>
    <t>Capex in escalated $</t>
  </si>
  <si>
    <t>Earnings Before Interest and After Taxes in escalated $</t>
  </si>
  <si>
    <t>Change in Net Working Capital in escalated $ (always zero)</t>
  </si>
  <si>
    <t>Free Cash Flow in escalated $</t>
  </si>
  <si>
    <t>Free Cash Flow in present value $ (discounted using WACC)</t>
  </si>
  <si>
    <t xml:space="preserve">*Real$ refers to a real or constant dollar analysis where the assumption is that after inflation has been factored out of costs and revenues, unit costs and revenues do not change from year to year (i.e., they are constant). </t>
  </si>
  <si>
    <t>Price for transport</t>
  </si>
  <si>
    <t>Electricity</t>
  </si>
  <si>
    <t>Depreciation factors</t>
  </si>
  <si>
    <t>Total Capital Costs before operations begin</t>
  </si>
  <si>
    <t>Liquefaction</t>
  </si>
  <si>
    <t>&lt;-- NPV for project</t>
  </si>
  <si>
    <t>Percent in Year --&gt;</t>
  </si>
  <si>
    <t>Target IRR</t>
  </si>
  <si>
    <t>IRR</t>
  </si>
  <si>
    <t>kW</t>
  </si>
  <si>
    <t>Inlet pressure</t>
  </si>
  <si>
    <t>Pressure ratio</t>
  </si>
  <si>
    <t>Recirculation</t>
  </si>
  <si>
    <t>Compression 1</t>
  </si>
  <si>
    <t>Compression 2</t>
  </si>
  <si>
    <t>Compression 3</t>
  </si>
  <si>
    <t>Compression 4</t>
  </si>
  <si>
    <t>Refrigeration 1</t>
  </si>
  <si>
    <t>Refrigeration 2</t>
  </si>
  <si>
    <t>Outlet pressure</t>
  </si>
  <si>
    <t>Power (kW)</t>
  </si>
  <si>
    <t>Calculated</t>
  </si>
  <si>
    <t>Public projects</t>
  </si>
  <si>
    <t>Public-Private-Partnership</t>
  </si>
  <si>
    <t>Industrial goods</t>
  </si>
  <si>
    <t>Machinary</t>
  </si>
  <si>
    <t>Contruction</t>
  </si>
  <si>
    <t>Railroads</t>
  </si>
  <si>
    <t>Trucking</t>
  </si>
  <si>
    <t>Pipeline</t>
  </si>
  <si>
    <t>Midwest</t>
  </si>
  <si>
    <t>contingency</t>
  </si>
  <si>
    <t>USA</t>
  </si>
  <si>
    <t>Louisiana</t>
  </si>
  <si>
    <t>Mississippi</t>
  </si>
  <si>
    <t>Texas</t>
  </si>
  <si>
    <t>Indiana</t>
  </si>
  <si>
    <t>Illinois</t>
  </si>
  <si>
    <t>Iowa</t>
  </si>
  <si>
    <t>Flowrate</t>
  </si>
  <si>
    <t>Reconditioning equipment</t>
  </si>
  <si>
    <t>Liquefaction energy</t>
  </si>
  <si>
    <t>Reconditioning heating</t>
  </si>
  <si>
    <t>Reconditioning pumping</t>
  </si>
  <si>
    <t>ft2/acre</t>
  </si>
  <si>
    <t>ft2/yd2</t>
  </si>
  <si>
    <t>d/y</t>
  </si>
  <si>
    <t>Component</t>
  </si>
  <si>
    <t>Quantity</t>
  </si>
  <si>
    <t>units</t>
  </si>
  <si>
    <t>Unit cost</t>
  </si>
  <si>
    <t>Site clearing</t>
  </si>
  <si>
    <t>Site earthwork</t>
  </si>
  <si>
    <t>Enclosed storage</t>
  </si>
  <si>
    <t>Employee parking</t>
  </si>
  <si>
    <t>Office</t>
  </si>
  <si>
    <t>Loading dock</t>
  </si>
  <si>
    <t>Pavement under loaded trucks</t>
  </si>
  <si>
    <t>Truck scales</t>
  </si>
  <si>
    <t>forklift</t>
  </si>
  <si>
    <t>air compressor</t>
  </si>
  <si>
    <t>truck footprint</t>
  </si>
  <si>
    <t>site footprint</t>
  </si>
  <si>
    <t>total footprint utilization</t>
  </si>
  <si>
    <t>$/m2</t>
  </si>
  <si>
    <t>ft3/yd3</t>
  </si>
  <si>
    <t>m3/yd3</t>
  </si>
  <si>
    <t>m2/ft2</t>
  </si>
  <si>
    <t>m2/yd2</t>
  </si>
  <si>
    <t>Tanker</t>
  </si>
  <si>
    <t>Arrival frequency</t>
  </si>
  <si>
    <t>minutes between trucks</t>
  </si>
  <si>
    <t>Changeout time</t>
  </si>
  <si>
    <t>Loading docks needed</t>
  </si>
  <si>
    <t>Land acquisition</t>
  </si>
  <si>
    <t>Metal CO2</t>
  </si>
  <si>
    <t>reference year</t>
  </si>
  <si>
    <t>California</t>
  </si>
  <si>
    <t>Compression power (MW)</t>
  </si>
  <si>
    <t>CO2 compression train (MW)</t>
  </si>
  <si>
    <t>Recirculation compressor (MW)</t>
  </si>
  <si>
    <t>NH3 cycle 1st compressor (MW)</t>
  </si>
  <si>
    <t>NH3 cycle 2nd compressor (MW)</t>
  </si>
  <si>
    <t>Cooling duty (MW)</t>
  </si>
  <si>
    <t>Precooler (MW)</t>
  </si>
  <si>
    <t>Liquefier (MW)</t>
  </si>
  <si>
    <t>NH3 cycle intercooler (MW)</t>
  </si>
  <si>
    <t>NH3 cycle main heat exchanger (MW)</t>
  </si>
  <si>
    <t>Recirculated mass flowrate (kg/s)</t>
  </si>
  <si>
    <t>Stored liquid density (kg/m3)</t>
  </si>
  <si>
    <t>Stored liquid mass flowrate (kg/s)</t>
  </si>
  <si>
    <t>Power increase per stage</t>
  </si>
  <si>
    <t>Liquid pressure</t>
  </si>
  <si>
    <t>compression chain stages</t>
  </si>
  <si>
    <t>Compression chain power</t>
  </si>
  <si>
    <t>Compression 1st stage power</t>
  </si>
  <si>
    <t>Coefficient A</t>
  </si>
  <si>
    <t>Coefficient B</t>
  </si>
  <si>
    <t>Coefficient C</t>
  </si>
  <si>
    <t>Pressure (bar)</t>
  </si>
  <si>
    <t>Area (m2)</t>
  </si>
  <si>
    <t>Specific area (m2/(kg/s))</t>
  </si>
  <si>
    <t>Compression chain</t>
  </si>
  <si>
    <t>HX1</t>
  </si>
  <si>
    <t>HX2</t>
  </si>
  <si>
    <t>Refrigeration</t>
  </si>
  <si>
    <t>Intercooler</t>
  </si>
  <si>
    <t>Main HX</t>
  </si>
  <si>
    <t>Precooler</t>
  </si>
  <si>
    <t>Liquefier</t>
  </si>
  <si>
    <t>Liquid volume</t>
  </si>
  <si>
    <t>Volume (m3)</t>
  </si>
  <si>
    <t>Flowrate adjustment</t>
  </si>
  <si>
    <t>Actual area (m2)</t>
  </si>
  <si>
    <t>Escalated Costs</t>
  </si>
  <si>
    <t>Total Investment (capital expenses or Capex) in escalated $</t>
  </si>
  <si>
    <t>Total Capital Costs in escalated dollars</t>
  </si>
  <si>
    <t>dollars</t>
  </si>
  <si>
    <t>Year for currency</t>
  </si>
  <si>
    <t>of CAPEX/y</t>
  </si>
  <si>
    <t>https://doi.org/10.1016/j.ijggc.2020.103190</t>
  </si>
  <si>
    <t>exponential</t>
  </si>
  <si>
    <t>linear</t>
  </si>
  <si>
    <t>fitting type</t>
  </si>
  <si>
    <t>base value</t>
  </si>
  <si>
    <t>base capex</t>
  </si>
  <si>
    <t>Project scale</t>
  </si>
  <si>
    <t>Reconditioning CAPEX</t>
  </si>
  <si>
    <t>2017 euro</t>
  </si>
  <si>
    <t>Country</t>
  </si>
  <si>
    <t>https://fiscaldata.treasury.gov/datasets/treasury-reporting-rates-exchange/treasury-reporting-rates-of-exchange</t>
  </si>
  <si>
    <t>sigma</t>
  </si>
  <si>
    <t>Minimum buffer</t>
  </si>
  <si>
    <t>Travel distance</t>
  </si>
  <si>
    <t>Travel speed</t>
  </si>
  <si>
    <t>mi/h</t>
  </si>
  <si>
    <t>Major arterial std dev</t>
  </si>
  <si>
    <t>Deviation</t>
  </si>
  <si>
    <t>Detour ratio</t>
  </si>
  <si>
    <t>Detour distance</t>
  </si>
  <si>
    <t>Detour time</t>
  </si>
  <si>
    <t>Time between transfers</t>
  </si>
  <si>
    <t>East</t>
  </si>
  <si>
    <t>South Central</t>
  </si>
  <si>
    <t>Mountain</t>
  </si>
  <si>
    <t>Pacific</t>
  </si>
  <si>
    <t>Alabama</t>
  </si>
  <si>
    <t>Alaska</t>
  </si>
  <si>
    <t>Arizona</t>
  </si>
  <si>
    <t>Arkansas</t>
  </si>
  <si>
    <t>Colorado</t>
  </si>
  <si>
    <t>Connecticut</t>
  </si>
  <si>
    <t>Delaware</t>
  </si>
  <si>
    <t>Florida</t>
  </si>
  <si>
    <t>Georgia</t>
  </si>
  <si>
    <t>Hawaii</t>
  </si>
  <si>
    <t>Idaho</t>
  </si>
  <si>
    <t>Kansas</t>
  </si>
  <si>
    <t>Kentucky</t>
  </si>
  <si>
    <t>Maine</t>
  </si>
  <si>
    <t>Maryland</t>
  </si>
  <si>
    <t>Massachusetts</t>
  </si>
  <si>
    <t>Michigan</t>
  </si>
  <si>
    <t>Minnesota</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</si>
  <si>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</si>
  <si>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</si>
  <si>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</si>
  <si>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</si>
  <si>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</si>
  <si>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</si>
  <si>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</si>
  <si>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</si>
  <si>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</si>
  <si>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</si>
  <si>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</si>
  <si>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</si>
  <si>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</si>
  <si>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</si>
  <si>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</si>
  <si>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</si>
  <si>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</si>
  <si>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</si>
  <si>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Utah</t>
  </si>
  <si>
    <t>Vermont</t>
  </si>
  <si>
    <t>Virginia</t>
  </si>
  <si>
    <t>Washington</t>
  </si>
  <si>
    <t>West Virginia</t>
  </si>
  <si>
    <t>Wisconsin</t>
  </si>
  <si>
    <t>Wyoming</t>
  </si>
  <si>
    <t>State</t>
  </si>
  <si>
    <t>Region</t>
  </si>
  <si>
    <t>Regional</t>
  </si>
  <si>
    <t>Injection Rate (kt-CO2/y)</t>
  </si>
  <si>
    <t>Container type</t>
  </si>
  <si>
    <t>Transport Mode</t>
  </si>
  <si>
    <t>Rail</t>
  </si>
  <si>
    <t>Construction period (y)</t>
  </si>
  <si>
    <t>Container Type</t>
  </si>
  <si>
    <t>Construction Period (y)</t>
  </si>
  <si>
    <t>Operating Period (y)</t>
  </si>
  <si>
    <t>National</t>
  </si>
  <si>
    <t>Other</t>
  </si>
  <si>
    <t>Flat IRR</t>
  </si>
  <si>
    <t>Depreciation Period (y)</t>
  </si>
  <si>
    <r>
      <rPr>
        <sz val="14"/>
        <color theme="1"/>
        <rFont val="Calibri"/>
        <family val="2"/>
      </rPr>
      <t>€</t>
    </r>
    <r>
      <rPr>
        <sz val="14"/>
        <color theme="1"/>
        <rFont val="Calibri"/>
        <family val="2"/>
        <charset val="128"/>
        <scheme val="minor"/>
      </rPr>
      <t>/USD</t>
    </r>
  </si>
  <si>
    <t>Weighted average</t>
  </si>
  <si>
    <t>State, Regional, &amp; National Data</t>
  </si>
  <si>
    <t>User selection</t>
  </si>
  <si>
    <t>Location Installation Factor</t>
  </si>
  <si>
    <t>Electricity Source</t>
  </si>
  <si>
    <t>Geographical Scale</t>
  </si>
  <si>
    <t>Grid</t>
  </si>
  <si>
    <t>User supplied</t>
  </si>
  <si>
    <t>Linear Reduction</t>
  </si>
  <si>
    <t>Net Zero Year</t>
  </si>
  <si>
    <t>Ignore</t>
  </si>
  <si>
    <t>Grid Decarbonization</t>
  </si>
  <si>
    <t>Operations start after Net Zero?</t>
  </si>
  <si>
    <t>Net Zero occurs during operations?</t>
  </si>
  <si>
    <t>Project Electricity CO2 Intensity</t>
  </si>
  <si>
    <t>Grid decarbonization considered?</t>
  </si>
  <si>
    <t>First Operating Year</t>
  </si>
  <si>
    <t>Last Operating Year</t>
  </si>
  <si>
    <t>Decarbonization rate</t>
  </si>
  <si>
    <t>g-CO2/(kWh*y)</t>
  </si>
  <si>
    <t>Starting grid CO2 intensity</t>
  </si>
  <si>
    <t>Final grid CO2 intensity</t>
  </si>
  <si>
    <t>Operating period with emissions</t>
  </si>
  <si>
    <t>Electricity CO2 Intensity (lb-CO2/MWh)</t>
  </si>
  <si>
    <t>Electricity Generation (MWh)</t>
  </si>
  <si>
    <t>Average Temperature (C)</t>
  </si>
  <si>
    <t>Land Area (km2)</t>
  </si>
  <si>
    <t>K</t>
  </si>
  <si>
    <t>Driver Salary</t>
  </si>
  <si>
    <t>Driver #</t>
  </si>
  <si>
    <t>Crane Operator Salary</t>
  </si>
  <si>
    <t>Crane Operator #</t>
  </si>
  <si>
    <t>Gas Compressor Operator Salary</t>
  </si>
  <si>
    <t>Gas Compressor Operator #</t>
  </si>
  <si>
    <t>Pump Operator Salary</t>
  </si>
  <si>
    <t>Pump Operator #</t>
  </si>
  <si>
    <t>Liquefaction/Reconditioning Operator Salary</t>
  </si>
  <si>
    <t>Average Temperature</t>
  </si>
  <si>
    <t>Driver Cost</t>
  </si>
  <si>
    <t>Crane Operator Cost</t>
  </si>
  <si>
    <t>Liquefaction/Reconditioning Operator Cost</t>
  </si>
  <si>
    <t>LCO2 Transfer Operator Cost</t>
  </si>
  <si>
    <t>Full time employee hours</t>
  </si>
  <si>
    <t>annual</t>
  </si>
  <si>
    <t>References</t>
  </si>
  <si>
    <t>Towler, Gavin, and Ray Sinnott. Chemical engineering design: principles, practice and economics of plant and process design. Butterworth-Heinemann, 2021.</t>
  </si>
  <si>
    <t>FECM/NETL CO2 Transport Cost Model
(2022): Description and User’s Manual</t>
  </si>
  <si>
    <t>The Macroeconomic and Budgetary Effects of Federal Investment, CBO</t>
  </si>
  <si>
    <t>Infrastructure and Investors Survey 2013, Delloitte.</t>
  </si>
  <si>
    <t>The WACC User's Guide, Justin Petit</t>
  </si>
  <si>
    <t>https://pages.stern.nyu.edu/~adamodar/New_Home_Page/datafile/wacc.html</t>
  </si>
  <si>
    <t>https://ir.eia.gov/ngs/notes.html</t>
  </si>
  <si>
    <t>https://www.eia.gov/electricity/state/</t>
  </si>
  <si>
    <t xml:space="preserve">https://www.ncei.noaa.gov/access/monitoring/climate-at-a-glance/statewide/time-series </t>
  </si>
  <si>
    <t>https://beta.bls.gov/dataQuery/find?st=0&amp;r=100&amp;s=popularity%3AD&amp;more=0</t>
  </si>
  <si>
    <t>Bureau of Labor Statistics. EMPLOYER COSTS FOR EMPLOYEE COMPENSATION – JUNE 2023.</t>
  </si>
  <si>
    <t>Received Temperature</t>
  </si>
  <si>
    <t>Received Pressure</t>
  </si>
  <si>
    <t>LCO2 Temperature</t>
  </si>
  <si>
    <t>LCO2 Pressure</t>
  </si>
  <si>
    <t>Injection Temperature</t>
  </si>
  <si>
    <t>Injection Pressue</t>
  </si>
  <si>
    <t>LCO2 Density</t>
  </si>
  <si>
    <t>Interstate Route</t>
  </si>
  <si>
    <t>Average Operating Speed (mph)</t>
  </si>
  <si>
    <t>Average Speed (mph)</t>
  </si>
  <si>
    <t>US Department of Transportation, Federal Highway Administration. "Freight Facts and Figures 2010". https://ops.fhwa.dot.gov/freight/freight_analysis/nat_freight_stats/docs/10factsfigures/index.htm</t>
  </si>
  <si>
    <t>Transport Overhead rate</t>
  </si>
  <si>
    <t>Production Overhead rate</t>
  </si>
  <si>
    <t>Intermediate Storage</t>
  </si>
  <si>
    <t>Long haul solution</t>
  </si>
  <si>
    <t>Two drivers</t>
  </si>
  <si>
    <t>Highway Diesel Cost ($/gal)</t>
  </si>
  <si>
    <t>US Energy and Information Administration, Petroleum and Other Liquids. https://www.eia.gov/dnav/pet/pet_pri_gnd_dcus_nus_a.htm</t>
  </si>
  <si>
    <t>Electricity Cost ($/kWh)</t>
  </si>
  <si>
    <t>US Energy and Information Administration, Electricity Data Browswer. https://www.eia.gov/electricity/data/browser/#/topic/7?agg=0,1&amp;geo=g&amp;endsec=m&amp;linechart=~~ELEC.PRICE.US-IND.A&amp;columnchart=ELEC.PRICE.US-ALL.A&amp;map=ELEC.PRICE.US-ALL.A&amp;freq=A&amp;start=2001&amp;end=2022&amp;ctype=linechart&amp;ltype=pin&amp;rtype=s&amp;maptype=0&amp;rse=0&amp;pin=</t>
  </si>
  <si>
    <t>Electricity Cost</t>
  </si>
  <si>
    <t>$/kWh</t>
  </si>
  <si>
    <t>US Environmental Protection Agency, Greenhouse Gas Emissions and Fuel Efficiency Standards for Medium- and Heavy-Duty Engines and Vehicles—Phase 2</t>
  </si>
  <si>
    <t>Day Cab</t>
  </si>
  <si>
    <t>Sleeper Cab</t>
  </si>
  <si>
    <t>Fuel Consumption</t>
  </si>
  <si>
    <t>gal/(t*mi)</t>
  </si>
  <si>
    <t>ton/t</t>
  </si>
  <si>
    <t>EPA Phase 3 end year</t>
  </si>
  <si>
    <t>Operations start after Phase 3?</t>
  </si>
  <si>
    <t>Phase 3 ends during operations?</t>
  </si>
  <si>
    <t>Years after Phase 3 ends</t>
  </si>
  <si>
    <t>Operation Period</t>
  </si>
  <si>
    <t>Project Fuel Consumption</t>
  </si>
  <si>
    <t>Inflation, currency conversions, PPI</t>
  </si>
  <si>
    <t>Heavy Tanks PPI</t>
  </si>
  <si>
    <t>US Bureau of Labor Statistics, Producer Price Indexs. https://www.bls.gov/ppi/</t>
  </si>
  <si>
    <t>Trucking PPI</t>
  </si>
  <si>
    <t>Regulatory constraints</t>
  </si>
  <si>
    <t>49 CFR 173.315</t>
  </si>
  <si>
    <t>mi/y</t>
  </si>
  <si>
    <t>No. 2 Diesel density</t>
  </si>
  <si>
    <t>Material Properties</t>
  </si>
  <si>
    <t>Transport Containers</t>
  </si>
  <si>
    <t>Rail Tanker</t>
  </si>
  <si>
    <t>Gross volume (m3)</t>
  </si>
  <si>
    <t>Useable volume (m3)</t>
  </si>
  <si>
    <t>Volume-limited CO2 mass (t)</t>
  </si>
  <si>
    <t>Truck mass (t)</t>
  </si>
  <si>
    <t>Container mass (t)</t>
  </si>
  <si>
    <t>Road weight limit (t)</t>
  </si>
  <si>
    <t>Intermodal Containers on Rail</t>
  </si>
  <si>
    <t>Intermodal Container on Truck</t>
  </si>
  <si>
    <t>Weight-limited CO2 mass over the road (t)</t>
  </si>
  <si>
    <t>Rail weight limit (t)</t>
  </si>
  <si>
    <t>Weight-limited CO2 mass over rail (t)</t>
  </si>
  <si>
    <t>CO2 transported per transport unit (t)</t>
  </si>
  <si>
    <t>Road weight limit</t>
  </si>
  <si>
    <t>23 C.F.R. Chapter I Part 658 – Truck size and weight, route designations – Length, width, and weight limitations</t>
  </si>
  <si>
    <t>V1</t>
  </si>
  <si>
    <t>F1</t>
  </si>
  <si>
    <t>M1</t>
  </si>
  <si>
    <t>W1</t>
  </si>
  <si>
    <t>F2</t>
  </si>
  <si>
    <t>V2</t>
  </si>
  <si>
    <t>M2</t>
  </si>
  <si>
    <t>V3</t>
  </si>
  <si>
    <t>F3</t>
  </si>
  <si>
    <t>W2</t>
  </si>
  <si>
    <t>Cost (2024$)</t>
  </si>
  <si>
    <t>Weight breakdown</t>
  </si>
  <si>
    <t>Powertrain</t>
  </si>
  <si>
    <t>Mass (lbs)</t>
  </si>
  <si>
    <t>Truck body</t>
  </si>
  <si>
    <t>Drivetrain and suspension</t>
  </si>
  <si>
    <t>Chasis/Frame</t>
  </si>
  <si>
    <t>Wheels and tires</t>
  </si>
  <si>
    <t>Sleeper cab</t>
  </si>
  <si>
    <t>Miscellaneous</t>
  </si>
  <si>
    <t>National Academies of Sciences, Engineering, and Medicine. 2020. Reducing Fuel
Consumption and Greenhouse Gas Emissions of Medium- and Heavy-Duty Vehicles,
Phase Two: Final Report. Washington, DC: The National Academies Press.
https://doi.org/10.17226/25542.</t>
  </si>
  <si>
    <t>National Research Council. 2014. Reducing the Fuel Consumption and Greenhouse
Gas Emissions of Medium- and Heavy-Duty Vehicles, Phase Two: First Report.
Washington, DC: The National Academies Press. https://doi.org/10.17226/18736.</t>
  </si>
  <si>
    <t>Total Tractor</t>
  </si>
  <si>
    <t>Total Trailer</t>
  </si>
  <si>
    <t>Total Sleeper Tractor</t>
  </si>
  <si>
    <t>Trailer mass (t)</t>
  </si>
  <si>
    <t>Intermodal Container on Sleeper Truck</t>
  </si>
  <si>
    <t>Mass (t)</t>
  </si>
  <si>
    <t>Tanker Truck</t>
  </si>
  <si>
    <t>150 gallons fuel</t>
  </si>
  <si>
    <t>CO2 per container</t>
  </si>
  <si>
    <t>Loaded weight</t>
  </si>
  <si>
    <t>CO2 transported per transport unit</t>
  </si>
  <si>
    <t>Unloaded weight</t>
  </si>
  <si>
    <t>Rail weight limit</t>
  </si>
  <si>
    <t>Nyman, Douglas J, Dracos, J Steve, and Varagani, Rajani. Carbon Dioxide Capture and Transportation Options in the Illinois Basin - Task 3: Assess Carbon Dioxide Transportation Options in the Illinois Basin. United States (2004). doi:10.2172/896976.</t>
  </si>
  <si>
    <t>Unit container cost</t>
  </si>
  <si>
    <t>State Sales Tax</t>
  </si>
  <si>
    <t>Cost per transport unit</t>
  </si>
  <si>
    <t>LCO2 Intermodal Container</t>
  </si>
  <si>
    <t>LCO2 Trailer</t>
  </si>
  <si>
    <t>Concrete CO2 intensity</t>
  </si>
  <si>
    <t>American Concrete Institute. ACI SPEC-301-20: Specifications for Concrete Construction (2020).</t>
  </si>
  <si>
    <t>Tractor Trailer Mass</t>
  </si>
  <si>
    <t>Overcapacity design</t>
  </si>
  <si>
    <t>Operational time</t>
  </si>
  <si>
    <t>Operational buffer</t>
  </si>
  <si>
    <t>Travel buffer</t>
  </si>
  <si>
    <t>https://doi.org/10.1016/j.trc.2018.09.012</t>
  </si>
  <si>
    <t>Detour speed</t>
  </si>
  <si>
    <t>De Leonardis, D., Huey, R., &amp; Green, J. (2018, March). National Traffic Speeds Survey III: 2015 (Report No. DOT HS 812 485). Washington, DC: National Highway Traffic Safety Administration.</t>
  </si>
  <si>
    <t>Buffer size</t>
  </si>
  <si>
    <t>Land value ($/acre)</t>
  </si>
  <si>
    <t>US Department of Agriculture, National Agricultural Statistics Service. Land Values 2023 Summary.</t>
  </si>
  <si>
    <t>CO2 Pressure (bar)</t>
  </si>
  <si>
    <t>Buffer Storage Requirement</t>
  </si>
  <si>
    <t>Boil Off Gas Rate</t>
  </si>
  <si>
    <t>Constants and Unit conversions</t>
  </si>
  <si>
    <t>Perlite Thermal Conductivity</t>
  </si>
  <si>
    <t>Polyeurethane Thermal Conductivity</t>
  </si>
  <si>
    <t>Air Thermal Diffusivity</t>
  </si>
  <si>
    <t>Air Kinematic Viscosity</t>
  </si>
  <si>
    <t>Air Density</t>
  </si>
  <si>
    <t>Steffan-Boltzman Constant</t>
  </si>
  <si>
    <t>W/(m2*K4)</t>
  </si>
  <si>
    <t>W/(m*K)</t>
  </si>
  <si>
    <t>Carbon Steel Thermal Conducitivity (1% C)</t>
  </si>
  <si>
    <t>304L Stainless Steel Thermal Conductivity</t>
  </si>
  <si>
    <t>https://doi.org/10.1016/j.ijhydene.2022.11.130</t>
  </si>
  <si>
    <t>m2/s</t>
  </si>
  <si>
    <t>Air Prandtl Number</t>
  </si>
  <si>
    <t>Air Reynolds Number</t>
  </si>
  <si>
    <t>Truck speed</t>
  </si>
  <si>
    <t>s/h</t>
  </si>
  <si>
    <t>m/s</t>
  </si>
  <si>
    <t>Container Length</t>
  </si>
  <si>
    <t>Container length (m)</t>
  </si>
  <si>
    <t>-</t>
  </si>
  <si>
    <t>Air Thermal Conductivity</t>
  </si>
  <si>
    <t>W/(m2*K)</t>
  </si>
  <si>
    <t>External Surface Area</t>
  </si>
  <si>
    <t>External Surface Area (m2)</t>
  </si>
  <si>
    <t>K/W</t>
  </si>
  <si>
    <t>External Radius</t>
  </si>
  <si>
    <t>Insulation Thickness</t>
  </si>
  <si>
    <t>Insulation Thermal Conductivity</t>
  </si>
  <si>
    <t>Internal Temperature</t>
  </si>
  <si>
    <t>Heat Flow Rate</t>
  </si>
  <si>
    <t>W</t>
  </si>
  <si>
    <t>W/m2</t>
  </si>
  <si>
    <t>Container radius (m)</t>
  </si>
  <si>
    <t>Insulation Thermal Conductivity (W/(m*K))</t>
  </si>
  <si>
    <t>Insulation Thickness (m)</t>
  </si>
  <si>
    <t>15 U.S. Code § 206 - Standard gauge for sheet and plate iron and steel</t>
  </si>
  <si>
    <t>h/d</t>
  </si>
  <si>
    <t>J/(kg*K)</t>
  </si>
  <si>
    <t>K/s</t>
  </si>
  <si>
    <t>Heat up Rate</t>
  </si>
  <si>
    <t>Pressure Control Valve Vent Pressure</t>
  </si>
  <si>
    <t>psig</t>
  </si>
  <si>
    <t>psi/bar</t>
  </si>
  <si>
    <t>49 CFR 179.401-1 Individual specification requirements.</t>
  </si>
  <si>
    <t>Vent Pressure</t>
  </si>
  <si>
    <t>Time Until Vent</t>
  </si>
  <si>
    <t>Paint Emissivity</t>
  </si>
  <si>
    <t>Sky Temperature</t>
  </si>
  <si>
    <t>Clark, Eugene, and Paul Berdahl. "Radiative cooling: resource and applications." Sponsored and Developed by uS Department of Energy/. (1981): 219.</t>
  </si>
  <si>
    <t>Air Temperature</t>
  </si>
  <si>
    <t>Average Annual Direct Normal Irradiance (kWh/(m2*d))</t>
  </si>
  <si>
    <t>Direct Normal Irradiance</t>
  </si>
  <si>
    <t>Internal Tank Thickness</t>
  </si>
  <si>
    <t>External Tank Thickness</t>
  </si>
  <si>
    <t>Internal Tank Thickness (m)</t>
  </si>
  <si>
    <t>External Tank thickness (m)</t>
  </si>
  <si>
    <t>Air Convection Coefficient</t>
  </si>
  <si>
    <t>Conduction Resistance External Tank</t>
  </si>
  <si>
    <t>Conduction Resistance Insulation</t>
  </si>
  <si>
    <t>Conduction Resistance Internal Tank</t>
  </si>
  <si>
    <t>White Paint Adsorbtivity</t>
  </si>
  <si>
    <t>CO2 Enthalpy of Vaporization</t>
  </si>
  <si>
    <t>kJ/mol</t>
  </si>
  <si>
    <t>https://doi.org/10.1007/978-94-009-3173-2</t>
  </si>
  <si>
    <t>CO2 Vaporization Rate</t>
  </si>
  <si>
    <t>CO2 Molecular Weight</t>
  </si>
  <si>
    <t>g/mol</t>
  </si>
  <si>
    <t>Steady State Surface Temperature</t>
  </si>
  <si>
    <t>Absorbed Irradiance</t>
  </si>
  <si>
    <t>Air Emissivity</t>
  </si>
  <si>
    <t>Convective Transfer</t>
  </si>
  <si>
    <t>Emitted Radiation</t>
  </si>
  <si>
    <t>Heat Balance</t>
  </si>
  <si>
    <t>https://www.nrel.gov/gis/solar-resource-maps.html</t>
  </si>
  <si>
    <t>Journal of Physical and Chemical Reference Data 14, 227 (1985); https://doi.org/10.1063/1.555749</t>
  </si>
  <si>
    <t>Conductive Transfer</t>
  </si>
  <si>
    <t>Conductive Resistance Total</t>
  </si>
  <si>
    <t>K/h</t>
  </si>
  <si>
    <t>Refurbishment cost</t>
  </si>
  <si>
    <t>Resale value</t>
  </si>
  <si>
    <t>Recovered value</t>
  </si>
  <si>
    <t>CO2 Transfer</t>
  </si>
  <si>
    <t>Transfer number</t>
  </si>
  <si>
    <t>min/h</t>
  </si>
  <si>
    <t>s/min</t>
  </si>
  <si>
    <t>Drive up time</t>
  </si>
  <si>
    <t>Hook up time</t>
  </si>
  <si>
    <t>Unhook time</t>
  </si>
  <si>
    <t>Drive out time</t>
  </si>
  <si>
    <t>Filling hookup number</t>
  </si>
  <si>
    <t>Unfilling hookup number</t>
  </si>
  <si>
    <t>Interstate length (mi)</t>
  </si>
  <si>
    <t>Weigh Station Number</t>
  </si>
  <si>
    <t>US Department of Transportation, Federal Highway Administration, Office of Highway Policy Information. Highway Statistics, Table HM-41 Roadway Extent (2001).</t>
  </si>
  <si>
    <t>Weigh Station Frequency (#/mi)</t>
  </si>
  <si>
    <t>Transport Distance</t>
  </si>
  <si>
    <t>Weigh station number</t>
  </si>
  <si>
    <t>Weigh station time</t>
  </si>
  <si>
    <t>Time per weigh station</t>
  </si>
  <si>
    <t>Load time</t>
  </si>
  <si>
    <t>Total load time</t>
  </si>
  <si>
    <t>Total unload time</t>
  </si>
  <si>
    <t>Intermodal Container Truck</t>
  </si>
  <si>
    <t>Driver break every 8 hours</t>
  </si>
  <si>
    <t>Rail Intermodal Container</t>
  </si>
  <si>
    <t>Maximum one way distance</t>
  </si>
  <si>
    <t>Max driving time</t>
  </si>
  <si>
    <t>Max driver time</t>
  </si>
  <si>
    <t>49 C.F.R. Chapter III Part 395</t>
  </si>
  <si>
    <t>Transload facility number</t>
  </si>
  <si>
    <t>Transload time</t>
  </si>
  <si>
    <t>Unit transport rate</t>
  </si>
  <si>
    <t>Loaded time</t>
  </si>
  <si>
    <t>Unloaded time</t>
  </si>
  <si>
    <t>Transport units</t>
  </si>
  <si>
    <t>Annual trips</t>
  </si>
  <si>
    <t>Logistics</t>
  </si>
  <si>
    <t>Total loaded time</t>
  </si>
  <si>
    <t>#/(transport unit*y)</t>
  </si>
  <si>
    <t>One-way Driving time</t>
  </si>
  <si>
    <t>Loaders required</t>
  </si>
  <si>
    <t>Unloaders required</t>
  </si>
  <si>
    <t>Loaded distance</t>
  </si>
  <si>
    <t>Unloaded distance</t>
  </si>
  <si>
    <t>Driver</t>
  </si>
  <si>
    <t>Container filling/discharge (gas/liquid handling)</t>
  </si>
  <si>
    <t>Transload Wrangler</t>
  </si>
  <si>
    <t>Trailer Wrangler</t>
  </si>
  <si>
    <t>Unfill time</t>
  </si>
  <si>
    <t>Fillers required</t>
  </si>
  <si>
    <t>Unfillers required</t>
  </si>
  <si>
    <t>Trailer unhitch time</t>
  </si>
  <si>
    <t>Trailer hitch time</t>
  </si>
  <si>
    <t>Transload Trailer Wranglers required</t>
  </si>
  <si>
    <t>Gas/liquid handlers</t>
  </si>
  <si>
    <t>Crane operators</t>
  </si>
  <si>
    <t>Trailer Wranglers</t>
  </si>
  <si>
    <t>Total Boil Off Gas</t>
  </si>
  <si>
    <t>Loaded fuel consumption</t>
  </si>
  <si>
    <t>Unloaded fuel consumption</t>
  </si>
  <si>
    <t>Total fuel consumption</t>
  </si>
  <si>
    <t>Total fuel-related CO2</t>
  </si>
  <si>
    <t>Operational lifetime</t>
  </si>
  <si>
    <t>US EPA, Control of Air Pollution from New Motor Vehicles: Heavy-Duty Engine and Vehicle Standards: Overview Briefing of the Proposal (2022).</t>
  </si>
  <si>
    <t>Tractor Trailers Required</t>
  </si>
  <si>
    <t>psi</t>
  </si>
  <si>
    <t>ASME BPV Code Sec. II Part D</t>
  </si>
  <si>
    <t>Buffer Tank capacity</t>
  </si>
  <si>
    <t>Internal radius</t>
  </si>
  <si>
    <t>Straight wall height</t>
  </si>
  <si>
    <t>Buffer Tank gross capacity</t>
  </si>
  <si>
    <t>Buffer Tank Number</t>
  </si>
  <si>
    <t>Pressure Safety Factor</t>
  </si>
  <si>
    <t>Internal diameter</t>
  </si>
  <si>
    <t>Internal Tank thickness</t>
  </si>
  <si>
    <t>Inner tank straight wall volume</t>
  </si>
  <si>
    <t>Inner tank straight wall mass</t>
  </si>
  <si>
    <t>304L Stainless Steel Density</t>
  </si>
  <si>
    <t>Carbon Steel Density</t>
  </si>
  <si>
    <t>Insulation thickness</t>
  </si>
  <si>
    <t>Outer tank thickness</t>
  </si>
  <si>
    <t>Outer tank inner radius</t>
  </si>
  <si>
    <t>Outer tank straight wall volume</t>
  </si>
  <si>
    <t>Outer tank straight wall mass</t>
  </si>
  <si>
    <t>Buffer storage tank design</t>
  </si>
  <si>
    <t>Buffer storage tank cost</t>
  </si>
  <si>
    <t>2010 USD, Gulf Coast</t>
  </si>
  <si>
    <t>Inner, 304L pressure vessel, vertical</t>
  </si>
  <si>
    <t>Outer, carbon steel pressure vessel, vertical</t>
  </si>
  <si>
    <t>Filling Packing</t>
  </si>
  <si>
    <t>Unfilling Package</t>
  </si>
  <si>
    <t>2004 USD</t>
  </si>
  <si>
    <t>Transfer system</t>
  </si>
  <si>
    <t>2010 USD</t>
  </si>
  <si>
    <t>Installed cost</t>
  </si>
  <si>
    <t>Filling System Installed cost</t>
  </si>
  <si>
    <t>Unfilling System Installed cost</t>
  </si>
  <si>
    <t>Total Upstream Buffer Storage Cost</t>
  </si>
  <si>
    <t>Total Downstream Buffer Storage Cost</t>
  </si>
  <si>
    <t>Upstream Buffer Cost</t>
  </si>
  <si>
    <t>Downstream Buffer Cost</t>
  </si>
  <si>
    <t>Outer tank total mass</t>
  </si>
  <si>
    <t>Inner tank total mass</t>
  </si>
  <si>
    <t>Intermediate storage</t>
  </si>
  <si>
    <t>Buffer Storage (upstream)</t>
  </si>
  <si>
    <t>Buffer Storage (downstream)</t>
  </si>
  <si>
    <t>2024 cost</t>
  </si>
  <si>
    <t>Tractor Trucks</t>
  </si>
  <si>
    <t>Flatbed Trailers</t>
  </si>
  <si>
    <t>Operating trailers</t>
  </si>
  <si>
    <t>Total trailers</t>
  </si>
  <si>
    <t>Cost per trailer</t>
  </si>
  <si>
    <t>Total trailer cost</t>
  </si>
  <si>
    <t>LCO2 Containers</t>
  </si>
  <si>
    <t>Transport container cost</t>
  </si>
  <si>
    <t>Tractor truck cost</t>
  </si>
  <si>
    <t>Transload Facilities</t>
  </si>
  <si>
    <t>Truck, Two Drivers</t>
  </si>
  <si>
    <t>Truck, Intermediate Storage</t>
  </si>
  <si>
    <t>Intermodal Container</t>
  </si>
  <si>
    <t>Total footprint</t>
  </si>
  <si>
    <t>Trailer storage capacity</t>
  </si>
  <si>
    <t>Trailer Length</t>
  </si>
  <si>
    <t>Trailer Width</t>
  </si>
  <si>
    <t>Trailer Foot print</t>
  </si>
  <si>
    <t>Correction for truck maneuvering</t>
  </si>
  <si>
    <t>Site area utilization</t>
  </si>
  <si>
    <t>Building area utilization</t>
  </si>
  <si>
    <t>Earthwork depth</t>
  </si>
  <si>
    <t>Parking requirement</t>
  </si>
  <si>
    <t>Office requirement</t>
  </si>
  <si>
    <t>building CO2</t>
  </si>
  <si>
    <t>Total transload cost</t>
  </si>
  <si>
    <t>Transload facility cost</t>
  </si>
  <si>
    <t>Facility CO2</t>
  </si>
  <si>
    <t>Production and use emissions</t>
  </si>
  <si>
    <t>t-CO2e/each</t>
  </si>
  <si>
    <t>Total emissions</t>
  </si>
  <si>
    <t>t-CO2e</t>
  </si>
  <si>
    <t>Trailer Mass</t>
  </si>
  <si>
    <t>Truck Mass</t>
  </si>
  <si>
    <t>Fuel mass (t)</t>
  </si>
  <si>
    <t>g-CO2e/mmBTU</t>
  </si>
  <si>
    <t>Low Sulfur Diesel LHV</t>
  </si>
  <si>
    <t>mmBTU/gal</t>
  </si>
  <si>
    <t>Low Sulfur Diesel Well-to-Pump CO2 intensity</t>
  </si>
  <si>
    <t>kg-CO2e/gal</t>
  </si>
  <si>
    <t>Diesel Well-to-Wheel CO2 intensity</t>
  </si>
  <si>
    <t>gCO2e/lb</t>
  </si>
  <si>
    <t>Concrete CO2</t>
  </si>
  <si>
    <t>tCO2e/t</t>
  </si>
  <si>
    <t>Recovered cost per transport unit</t>
  </si>
  <si>
    <t>Container number</t>
  </si>
  <si>
    <t>tCO2e/each</t>
  </si>
  <si>
    <t>Container emissions (tCO2e)</t>
  </si>
  <si>
    <t>Total Container emissions</t>
  </si>
  <si>
    <t>Container emissions</t>
  </si>
  <si>
    <t>tCO2e</t>
  </si>
  <si>
    <t>Upstream Vessel Mass</t>
  </si>
  <si>
    <t>Downstream Vessel Mass</t>
  </si>
  <si>
    <t>https://journals.sagepub.com/doi/10.1177/0361198118774690</t>
  </si>
  <si>
    <t>RSMeans. Building Construction Costs with RSMeans Data, Greenville, SC, Gordian, 2023.</t>
  </si>
  <si>
    <t>Building side length</t>
  </si>
  <si>
    <t>Sheet metal thickness</t>
  </si>
  <si>
    <t>Wall thickness</t>
  </si>
  <si>
    <t>Total wall length</t>
  </si>
  <si>
    <t>Wall volume</t>
  </si>
  <si>
    <t>Pad volume</t>
  </si>
  <si>
    <t>Total metal</t>
  </si>
  <si>
    <t>Rebar volume content of concrete</t>
  </si>
  <si>
    <t>Rebar content</t>
  </si>
  <si>
    <t>Metal beam spacing</t>
  </si>
  <si>
    <t>Roof metal sheeting</t>
  </si>
  <si>
    <t>Beam Number</t>
  </si>
  <si>
    <t>Beam Length</t>
  </si>
  <si>
    <t>Total Beam Length</t>
  </si>
  <si>
    <t>Beam mass per unit length</t>
  </si>
  <si>
    <t>kg/m-length</t>
  </si>
  <si>
    <t>Beam mass</t>
  </si>
  <si>
    <t>Life Cycle CO2</t>
  </si>
  <si>
    <t>Upstream buffer storage</t>
  </si>
  <si>
    <t>Trailers</t>
  </si>
  <si>
    <t>Containers</t>
  </si>
  <si>
    <t>Downstream buffer storage</t>
  </si>
  <si>
    <t>Boil Off Gas</t>
  </si>
  <si>
    <t>tCO2e/y</t>
  </si>
  <si>
    <t>Upstream emissions</t>
  </si>
  <si>
    <t>Downstream emissions</t>
  </si>
  <si>
    <t>Transport efficiency</t>
  </si>
  <si>
    <t>gal/y</t>
  </si>
  <si>
    <t>Total fuel cost</t>
  </si>
  <si>
    <t>American Transportation Research Institute. An Analysis of the Operational Costs of Trucking: 2022 Update.</t>
  </si>
  <si>
    <t>Repair &amp; Maitenance (2021$/mi)</t>
  </si>
  <si>
    <t>Tires (2021$/mi)</t>
  </si>
  <si>
    <t>Insurance (2021$/mi)</t>
  </si>
  <si>
    <t>Tolls (2021$/mi)</t>
  </si>
  <si>
    <t>Maintenance &amp; Repair</t>
  </si>
  <si>
    <t>Licenses &amp; permits</t>
  </si>
  <si>
    <t>Permits &amp; Licenses (2021$/mi)</t>
  </si>
  <si>
    <t>Insurance, Permits, Fees</t>
  </si>
  <si>
    <t>Trailer Wrangler Salary</t>
  </si>
  <si>
    <t>Trailer Wrangler #</t>
  </si>
  <si>
    <t>Trailer Wrangler Cost</t>
  </si>
  <si>
    <t>Total labor</t>
  </si>
  <si>
    <t>Mobile Equipment</t>
  </si>
  <si>
    <t>Stationary equipment</t>
  </si>
  <si>
    <t>Buildings and construction</t>
  </si>
  <si>
    <t>IRR and Contingency</t>
  </si>
  <si>
    <t>Electricity consumption (kWh/t-CO2)</t>
  </si>
  <si>
    <t>https://doi.org/10.1016/j.ijrefrig.2019.04.011</t>
  </si>
  <si>
    <t>Delivery Pressure (bar)</t>
  </si>
  <si>
    <t>Pressure</t>
  </si>
  <si>
    <t>Electricity consumption</t>
  </si>
  <si>
    <t>Liquid pressure (bar)</t>
  </si>
  <si>
    <t>Stored liquid temperature (C)</t>
  </si>
  <si>
    <t>Compressor chain cost</t>
  </si>
  <si>
    <t>Slope</t>
  </si>
  <si>
    <t>Intercept</t>
  </si>
  <si>
    <t>Coefficient D</t>
  </si>
  <si>
    <t>Refrigeration 1st stage power</t>
  </si>
  <si>
    <t>Recirculation power</t>
  </si>
  <si>
    <t>Coefficient</t>
  </si>
  <si>
    <t>Exponent</t>
  </si>
  <si>
    <t>Equipment cost (2015 euro)</t>
  </si>
  <si>
    <t>Heat exchanger cost</t>
  </si>
  <si>
    <t>Exponent A</t>
  </si>
  <si>
    <t>Residence time (s)</t>
  </si>
  <si>
    <t>Tank cost</t>
  </si>
  <si>
    <t>Capital expenditure</t>
  </si>
  <si>
    <t>Reconditioning</t>
  </si>
  <si>
    <t>Minimum scale (Mt-CO2/y)</t>
  </si>
  <si>
    <t>Maximum scale (Mt-CO2/y)</t>
  </si>
  <si>
    <t>Fitting section</t>
  </si>
  <si>
    <t>Compressor Chain HX1</t>
  </si>
  <si>
    <t>Compressor Chain HX2</t>
  </si>
  <si>
    <t>Total cost</t>
  </si>
  <si>
    <t>Refrigeration Intercooler</t>
  </si>
  <si>
    <t>Refrigeration Main HX</t>
  </si>
  <si>
    <t>Liquefaction Precooler</t>
  </si>
  <si>
    <t>Compressor chain HX total area (m2)</t>
  </si>
  <si>
    <t>Refrigeration HX total area (m2)</t>
  </si>
  <si>
    <t>Liquefaction HX total area (m2)</t>
  </si>
  <si>
    <t>Compressor chain HX number</t>
  </si>
  <si>
    <t>Reference flowrate</t>
  </si>
  <si>
    <t>Reference area (m2)</t>
  </si>
  <si>
    <t>Hollmann, John K. "Improve your contingency estimates for more realistic project budgets: Reliable risk-analysis and contingency-estimation practices help to better manage costs in CPI projects of all sizes." Chemical Engineering 121.12 (2014): 36-44.</t>
  </si>
  <si>
    <t>Capital Cost Summary</t>
  </si>
  <si>
    <t>Operating Cost Summary</t>
  </si>
  <si>
    <t>Annual electricity cost</t>
  </si>
  <si>
    <t>Pre-financing Cost Summary</t>
  </si>
  <si>
    <t>Delivered CO2</t>
  </si>
  <si>
    <t>net/gross CO2</t>
  </si>
  <si>
    <t>USD/y</t>
  </si>
  <si>
    <t>USD</t>
  </si>
  <si>
    <t>Driver Overhead Rate</t>
  </si>
  <si>
    <t>Driver Overhead rate</t>
  </si>
  <si>
    <t>mpg</t>
  </si>
  <si>
    <t>Fuel Economy Pathway</t>
  </si>
  <si>
    <t>EPA Limits</t>
  </si>
  <si>
    <t xml:space="preserve">Current Fleet Average </t>
  </si>
  <si>
    <t>Historical Trends</t>
  </si>
  <si>
    <t>30,000-40,000</t>
  </si>
  <si>
    <t>40,000-50,000</t>
  </si>
  <si>
    <t>50,000-60,000</t>
  </si>
  <si>
    <t>60,000-70,000</t>
  </si>
  <si>
    <t>70,000-80,000</t>
  </si>
  <si>
    <t>80,000-120,000</t>
  </si>
  <si>
    <t>Historical Trend</t>
  </si>
  <si>
    <t>Project fuel consumption</t>
  </si>
  <si>
    <t>Loaded fuel economy</t>
  </si>
  <si>
    <t>Unloaded fuel economy</t>
  </si>
  <si>
    <t>Project loaded fuel consumption</t>
  </si>
  <si>
    <t>Project unloaded fuel consumption</t>
  </si>
  <si>
    <t>Internal Design Pressure</t>
  </si>
  <si>
    <t>External Design Pressure</t>
  </si>
  <si>
    <t>Ambient pressure</t>
  </si>
  <si>
    <t>Mpa</t>
  </si>
  <si>
    <t>Outer tank inner diameter</t>
  </si>
  <si>
    <t>Grid Carbon Intensity</t>
  </si>
  <si>
    <t>Number of containers per unit (#)</t>
  </si>
  <si>
    <t>LCO2 intermodal container capacity</t>
  </si>
  <si>
    <t>LCO2 tanker capacity</t>
  </si>
  <si>
    <t>LCO2 rail tanker capacity</t>
  </si>
  <si>
    <t>LCO2 Rail Tanker</t>
  </si>
  <si>
    <t>2021 cost</t>
  </si>
  <si>
    <t>Association of American Railroads, Railroad Facts (2020).</t>
  </si>
  <si>
    <t>kJ/gal</t>
  </si>
  <si>
    <t>Wang, Michael, Elgowainy, Amgad, Lee, Uisung, Baek, Kwang H., Bafana, Adarsh, Benavides, Pahola T., Burnham, Andrew, Cai, Hao, Cappello, Vincenzo, Chen, Peter, Gan, Yu, Gracida-Alvarez, Ulises R., Hawkins, Troy R., Iyer, Rakesh K., Kelly, Jarod C., Kim, Taemin, Kumar, Shishir, Kwon, Hoyoung, Lee, Kyuha, Liu, Xinyu, Lu, Zifeng, Masum, Farhad, Ng, Clarence, Ou, Longwen, Reddi, Krishna, Siddique, Nazib, Sun, Pingping, Vyawahare, Pradeep, Xu, Hui, and Zaimes, George. Greenhouse gases, Regulated Emissions, and Energy use in Technologies Model ® (2022 Excel). Computer Software. USDOE Office of Energy Efficiency and Renewable Energy (EERE). 10 Oct. 2022. Web. doi:10.11578/GREET-Excel-2022/dc.20220908.1.</t>
  </si>
  <si>
    <t>Elgowainy, Amgad, et al. Railroad Energy Intensity and Criteria Air Pollutant Emissions. No. DOT/FRA/ORD-18/34. 2018.</t>
  </si>
  <si>
    <t>US Government Accountability Office. Freight Rail Information on Precision Scheduled Railroading, GAO-23-105420.</t>
  </si>
  <si>
    <t>Single unit capacity</t>
  </si>
  <si>
    <t>BNSF</t>
  </si>
  <si>
    <t>CSX</t>
  </si>
  <si>
    <t>Kansas City Southern</t>
  </si>
  <si>
    <t>Norfolk Southern</t>
  </si>
  <si>
    <t>Union Pacific</t>
  </si>
  <si>
    <t>GTC</t>
  </si>
  <si>
    <t>Canadian Pacific</t>
  </si>
  <si>
    <t>True speed correction factor</t>
  </si>
  <si>
    <t>Average speed (mi/h)</t>
  </si>
  <si>
    <t>True average speed (mi/h)</t>
  </si>
  <si>
    <t>Standard deviation (mi/h)</t>
  </si>
  <si>
    <t>True standard deviation (mi/h)</t>
  </si>
  <si>
    <t>Rail Operator Characteristics</t>
  </si>
  <si>
    <t>Rail Speed (mi/h)</t>
  </si>
  <si>
    <t>Average Speed (mi/h)</t>
  </si>
  <si>
    <t>Average Base Rate (2021$/car)</t>
  </si>
  <si>
    <t>Base rate ($/car)</t>
  </si>
  <si>
    <t>US Surface Transportation Board, Quarterly Reports of Rail Fuel Surcharge, 2019 data. https://www.stb.gov/reports-data/economic-data/quarterly-rail-fuel-surcharges/</t>
  </si>
  <si>
    <t>US Surface Transportation Board, Freight Commodity Statistics, 2019 data. https://www.stb.gov/reports-data/economic-data/freight-commodity-statistics/</t>
  </si>
  <si>
    <t>US Surface Transportation Board, Commodity Revenue Stratification Reports (CRSR), 7-Digit STCC 2019 Report. https://www.stb.gov/reports-data/economic-data/</t>
  </si>
  <si>
    <t>Base rate correction factor</t>
  </si>
  <si>
    <t>Average Fuel Surcharge ($/car*mi)</t>
  </si>
  <si>
    <t>Fuel Surcharge ($/car*mi)</t>
  </si>
  <si>
    <t>Rail Base Rate (2019$/car)</t>
  </si>
  <si>
    <t>Rail Fuel Surcharge (2019$/mi)</t>
  </si>
  <si>
    <t>Water requirement (m3/t-CO2)</t>
  </si>
  <si>
    <t>Water consumption</t>
  </si>
  <si>
    <t>Annual water cost</t>
  </si>
  <si>
    <t>m3/t-CO2</t>
  </si>
  <si>
    <t>Water escalation rate (%/y)</t>
  </si>
  <si>
    <t>US Department of Energy, Office of Energy Efficiency &amp; Renewable Energy, Water and Wastewater Annual Price Escalation Rates for Selected Cities across the United States (2017).</t>
  </si>
  <si>
    <t>Water Rate (2015$/gal)</t>
  </si>
  <si>
    <t>Makeup water cost</t>
  </si>
  <si>
    <t>2022 USD/1000 gal</t>
  </si>
  <si>
    <t>Tanker Trailer</t>
  </si>
  <si>
    <t>Tanker Trailer for Sleeper Truck</t>
  </si>
  <si>
    <t>2023 cost</t>
  </si>
  <si>
    <t>2022USD</t>
  </si>
  <si>
    <t>Operating number</t>
  </si>
  <si>
    <t>Total number</t>
  </si>
  <si>
    <t>Trailer production emissions</t>
  </si>
  <si>
    <t>Total trailer emissions</t>
  </si>
  <si>
    <t>US Department of Transportation, Mark A Maday, CO2 by Rail North American Overview, CO2 Freight Transport Workshop, Oct 12 2022.</t>
  </si>
  <si>
    <t>Truck Logistics</t>
  </si>
  <si>
    <t>Rail Logistics</t>
  </si>
  <si>
    <t>Tanker Rail Logistics</t>
  </si>
  <si>
    <t>h/car</t>
  </si>
  <si>
    <t>Unit train length</t>
  </si>
  <si>
    <t>cars</t>
  </si>
  <si>
    <t>Maximum unit train length</t>
  </si>
  <si>
    <t>Federal Register, Vol. 88, No. 84, Notices, US Department of Transportation, Federal Railroad Administration, Safety Advisory 2023-03; Accident Mitigation and Train Length.</t>
  </si>
  <si>
    <t>Nozzle number</t>
  </si>
  <si>
    <t>Transport time</t>
  </si>
  <si>
    <t>Transport distance</t>
  </si>
  <si>
    <t>Transport speed</t>
  </si>
  <si>
    <t>Intermodal Rail Logistics</t>
  </si>
  <si>
    <t>Tanker Truck Logistics</t>
  </si>
  <si>
    <t>Intermodal Truck Logistics</t>
  </si>
  <si>
    <t>Secure time</t>
  </si>
  <si>
    <t>Additional load time</t>
  </si>
  <si>
    <t>Additional unload time</t>
  </si>
  <si>
    <t>Hookup</t>
  </si>
  <si>
    <t>Unhook</t>
  </si>
  <si>
    <t>Maximum hookups per operator</t>
  </si>
  <si>
    <t>Container un/loaders</t>
  </si>
  <si>
    <t>Speed Standard Deviation</t>
  </si>
  <si>
    <t>Rail Speed standard deviation (mi/h)</t>
  </si>
  <si>
    <t>Crane Operator</t>
  </si>
  <si>
    <t>Container un/loading</t>
  </si>
  <si>
    <t>Unload Crane operators required</t>
  </si>
  <si>
    <t>Load Crane operators required</t>
  </si>
  <si>
    <t>Liquefaction system operators</t>
  </si>
  <si>
    <t>Minimum cost</t>
  </si>
  <si>
    <t>Correlated cost</t>
  </si>
  <si>
    <t>CAPEX/y</t>
  </si>
  <si>
    <t>Reconditioning system operators</t>
  </si>
  <si>
    <t>Operator cost</t>
  </si>
  <si>
    <t>Liquefaction operator</t>
  </si>
  <si>
    <t>Reconditioning operator</t>
  </si>
  <si>
    <t>Current Fleet Average</t>
  </si>
  <si>
    <t>Total Weight (lbs)</t>
  </si>
  <si>
    <t>mpg/y</t>
  </si>
  <si>
    <t>Fuel efficiency increase rate</t>
  </si>
  <si>
    <t>Reference year</t>
  </si>
  <si>
    <t>Average loaded fuel economy</t>
  </si>
  <si>
    <t>Average unloaded fuel economy</t>
  </si>
  <si>
    <t>Empty/loaded mass ratio</t>
  </si>
  <si>
    <t>Freight revenue fuel consumption</t>
  </si>
  <si>
    <t>Fuel use change</t>
  </si>
  <si>
    <t>Makeup Water</t>
  </si>
  <si>
    <t>Stationary Maintenance Cost</t>
  </si>
  <si>
    <t>Stationary Insurance Cost</t>
  </si>
  <si>
    <t>Net CO2 Transported each year (tonnes)</t>
  </si>
  <si>
    <t>Annual Tonnes of CO2 Transported (net)</t>
  </si>
  <si>
    <t>Common values</t>
  </si>
  <si>
    <t>Construction period</t>
  </si>
  <si>
    <t>Base rate</t>
  </si>
  <si>
    <t>$/car</t>
  </si>
  <si>
    <t>$/mi</t>
  </si>
  <si>
    <t>kg-CO2/(unit*trip)</t>
  </si>
  <si>
    <t>gal/(unit*trip)</t>
  </si>
  <si>
    <t>Fuel surcharge</t>
  </si>
  <si>
    <t>Difference</t>
  </si>
  <si>
    <t>Demolition unit cost</t>
  </si>
  <si>
    <t>2023$/ft3</t>
  </si>
  <si>
    <t>Building standing volume</t>
  </si>
  <si>
    <t>ft3</t>
  </si>
  <si>
    <t>Demolition cost</t>
  </si>
  <si>
    <t>2023$</t>
  </si>
  <si>
    <t>Steel scrap</t>
  </si>
  <si>
    <t>USD/ton</t>
  </si>
  <si>
    <t>US Geological Socirty, Mineral Commodities Summary (2022).</t>
  </si>
  <si>
    <t>Container cost</t>
  </si>
  <si>
    <t>Steel scrap cost</t>
  </si>
  <si>
    <t>Steel scrap unit value</t>
  </si>
  <si>
    <t>End of Life Cost Summary</t>
  </si>
  <si>
    <t>End of life</t>
  </si>
  <si>
    <t>CAPEX+OPEX</t>
  </si>
  <si>
    <t>Results Summary</t>
  </si>
  <si>
    <t>Result details</t>
  </si>
  <si>
    <t>User Inputs</t>
  </si>
  <si>
    <t>Delivered CO2 over project (net tonnes)</t>
  </si>
  <si>
    <t>States with Rail</t>
  </si>
  <si>
    <t>Assumed base rate reduction through negotiation</t>
  </si>
  <si>
    <t>Negotiated Base Rate Reduction</t>
  </si>
  <si>
    <t>Truck Long Haul Solution</t>
  </si>
  <si>
    <t>Rail transit time</t>
  </si>
  <si>
    <t>Rail Transit Time Method</t>
  </si>
  <si>
    <t>Calculated transit time (h)</t>
  </si>
  <si>
    <t>Transit time (h)</t>
  </si>
  <si>
    <t>Rail Transit Time (h)</t>
  </si>
  <si>
    <t>Water content</t>
  </si>
  <si>
    <t>Water content (ppm)</t>
  </si>
  <si>
    <t>Dehydration</t>
  </si>
  <si>
    <t>kg-CO2/h</t>
  </si>
  <si>
    <t>Water content (ppm-mol)</t>
  </si>
  <si>
    <t>ppm-mol</t>
  </si>
  <si>
    <t>H2O Molecular weight</t>
  </si>
  <si>
    <t>CO2 Flowrate</t>
  </si>
  <si>
    <t>kmol-CO2/h</t>
  </si>
  <si>
    <t>mol%</t>
  </si>
  <si>
    <t>kmol-H2O/h</t>
  </si>
  <si>
    <t>kg-H2O/h</t>
  </si>
  <si>
    <t>Corrosion limit for H2O</t>
  </si>
  <si>
    <t>American Bureau of Shipping, Requirements for Liquified Carbon Dioxide Carriers, 2024.</t>
  </si>
  <si>
    <t>H2O Removal rate</t>
  </si>
  <si>
    <t>Required water removal</t>
  </si>
  <si>
    <t>CO2 content</t>
  </si>
  <si>
    <t>per kg-H2O/h</t>
  </si>
  <si>
    <t>https://www.wbdg.org/ffc/dod/unified-facilities-criteria-ufc/ufc-3-701-01</t>
  </si>
  <si>
    <t>Capitalization (% equity)</t>
  </si>
  <si>
    <t>Cost of equity (IRROE)</t>
  </si>
  <si>
    <t>Cost of debt (interest rate)</t>
  </si>
  <si>
    <t>FINEX Parameters</t>
  </si>
  <si>
    <t>Baseline values</t>
  </si>
  <si>
    <t>Federal Income tax rate</t>
  </si>
  <si>
    <t>Depreciation period</t>
  </si>
  <si>
    <t>%/y</t>
  </si>
  <si>
    <t>%</t>
  </si>
  <si>
    <t>FINEX Factors</t>
  </si>
  <si>
    <t>Capitalization</t>
  </si>
  <si>
    <t>IRROE</t>
  </si>
  <si>
    <t>Cost of debt</t>
  </si>
  <si>
    <t>Project Contingency</t>
  </si>
  <si>
    <t>CAISO</t>
  </si>
  <si>
    <t>ERCOT</t>
  </si>
  <si>
    <t>SPP</t>
  </si>
  <si>
    <t>ISO-NE</t>
  </si>
  <si>
    <t>MISO</t>
  </si>
  <si>
    <t>NYISO</t>
  </si>
  <si>
    <t>Northwest</t>
  </si>
  <si>
    <t>PJM</t>
  </si>
  <si>
    <t>Southeast</t>
  </si>
  <si>
    <t>Southwest</t>
  </si>
  <si>
    <t>2019 Electricity Consumption GWP (g-CO2e/kWh) --&gt;</t>
  </si>
  <si>
    <t>2019 Electricity Consumption CI (g-CO2/kWh) --&gt;</t>
  </si>
  <si>
    <t>US</t>
  </si>
  <si>
    <t>https://www.netl.doe.gov/energy-analysis/details?id=57FDA460-FBBA-4504-AE0E-A0CA962ACE27</t>
  </si>
  <si>
    <t>Electricity direct emissions data baseline year:</t>
  </si>
  <si>
    <t>Electricity CI and GWP data baseline year:</t>
  </si>
  <si>
    <t>Electricity direct CO2 emissions (g-CO2/kWh)</t>
  </si>
  <si>
    <t>Electricity Consumption Life cycle CI (g-CO2/kWh)</t>
  </si>
  <si>
    <t>Electricity Consumption life cycle GWP (g-CO2e/kWh)</t>
  </si>
  <si>
    <t>CO2 Calculation</t>
  </si>
  <si>
    <t>CO2 only</t>
  </si>
  <si>
    <t>CO2e</t>
  </si>
  <si>
    <t>Net Cost</t>
  </si>
  <si>
    <t>Gross Cost</t>
  </si>
  <si>
    <t>Net</t>
  </si>
  <si>
    <t>Gross</t>
  </si>
  <si>
    <t>Net CO2 Transport Efficiency</t>
  </si>
  <si>
    <t>Boil-Off Gas</t>
  </si>
  <si>
    <t>Materials</t>
  </si>
  <si>
    <t>Net CO2 transport efficiency</t>
  </si>
  <si>
    <t>Net (%)</t>
  </si>
  <si>
    <t>Gross (t-CO2/y)</t>
  </si>
  <si>
    <t>Grid Decarbonization Pathway</t>
  </si>
  <si>
    <t>No. 2 Diesel Combustion CO2 Intensity</t>
  </si>
  <si>
    <t>Liquid CO2 Isochoric Heat Capacity</t>
  </si>
  <si>
    <t>Energy requirement</t>
  </si>
  <si>
    <t>McCollum, David L., and Joan M. Ogden. "Techno-economic models for carbon dioxide compression, transport, and storage &amp; correlations for estimating carbon dioxide density and viscosity." (2006).</t>
  </si>
  <si>
    <t>Pump efficiency</t>
  </si>
  <si>
    <t>Pressure (MPa)</t>
  </si>
  <si>
    <t>Density (kg/m3)</t>
  </si>
  <si>
    <t>kg/t</t>
  </si>
  <si>
    <t>bar/MPa</t>
  </si>
  <si>
    <t>t-CO2/d</t>
  </si>
  <si>
    <t>Energy (kWh/t-CO2)</t>
  </si>
  <si>
    <t>Temperature (C)</t>
  </si>
  <si>
    <t>Energy (kWh/t)</t>
  </si>
  <si>
    <t>kJ/(kg*K)</t>
  </si>
  <si>
    <t>MuMo-CoCo is an macro-enabled Microsoft Excel-based life cycle assessment and cost model for the transport of CO2 via rail or truck in the United States. To run MuMo-CoCo, download the file to your computer and ensure Macros are enabled in Microsoft Excel.</t>
  </si>
  <si>
    <t>MuMo-CoCo was created by Corey Myers, PhD; myers79@llnl.gov.</t>
  </si>
  <si>
    <t>Many thanks to Gregory Markham, Wenqin Li, and Menyao Yuan for their contributions to the development of MuMo-CoCo.</t>
  </si>
  <si>
    <t>If you are referencing MuMo-CoCo in a publication please cite as:</t>
  </si>
  <si>
    <t>Myers, Corey and Li, Wenqin and Markham, Gregory, The Cost of CO2 Transport by Truck and Rail in the United States. Available at SSRN: https://ssrn.com/abstract=4724930 or http://dx.doi.org/10.2139/ssrn.4724930</t>
  </si>
  <si>
    <t>Please read CONTRIBUTING.md for details on the process for submitting change requests, reporting bugs, and requesting additional functionality.</t>
  </si>
  <si>
    <t>LLNL-CODE-860116</t>
  </si>
  <si>
    <t>BSD 3-Clause License</t>
  </si>
  <si>
    <t>Getting Started</t>
  </si>
  <si>
    <t>How to</t>
  </si>
  <si>
    <t>Authors</t>
  </si>
  <si>
    <t>Citing MuMo-CoCo</t>
  </si>
  <si>
    <t>Release</t>
  </si>
  <si>
    <t>Contributing</t>
  </si>
  <si>
    <t>Notice</t>
  </si>
  <si>
    <t>This work was produced under the auspices of the U.S. Department of Energy by Lawrence Livermore National Laboratory under Contract DE-AC52-07NA27344.</t>
  </si>
  <si>
    <t>This work was prepared as an account of work sponsored by an agency of the United States Government. Neither the United States Government nor Lawrence Livermore National Security, LLC, nor any of their employees makes any warranty, expressed or implied, or assumes any legal liability or responsibility for the accuracy, completeness, or usefulness of any information, apparatus, product, or process disclosed, or represents that its use would not infringe privately owned rights. Reference herein to any specific commercial product, process, or service by trade name, trademark, manufacturer, or otherwise does not necessarily constitute or imply its endorsement, recommendation, or favoring by the United States Government or Lawrence Livermore National Security, LLC. The views and opinions of authors expressed herein do not necessarily state or reflect those of the United States Government or Lawrence Livermore National Security, LLC, and shall not be used for advertising or product endorsement purposes.</t>
  </si>
  <si>
    <t>License</t>
  </si>
  <si>
    <t>* Redistributions of source code must retain the above copyright notice, this  list of conditions and the following disclaimer.</t>
  </si>
  <si>
    <t>Redistribution and use in source and binary forms, with or without modification, are permitted provided that the following conditions are met:</t>
  </si>
  <si>
    <t>Copyright (c) 2018, Lawrence Livermore National Security, LLC All rights reserved.</t>
  </si>
  <si>
    <t>* Redistributions in binary form must reproduce the above copyright notice,  this list of conditions and the following disclaimer in the documentation  and/or other materials provided with the distribution.</t>
  </si>
  <si>
    <t>* Neither the name of the copyright holder nor the names of its contributors may be used to endorse or promote products derived from this software without specific prior written permission.</t>
  </si>
  <si>
    <t>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</si>
  <si>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 xml:space="preserve">LLNL-CODE-860116. Work at the Lawrence Livermore National Laboratory was performed under the auspices of the U.S. DOE under Contract DE-AC52-07NA27344. </t>
  </si>
  <si>
    <t>LLNL-CODE-860116. Work at the Lawrence Livermore National Laboratory was performed under the auspices of the U.S. DOE under Contract DE-AC52-07NA27344.</t>
  </si>
  <si>
    <t>Emissions details</t>
  </si>
  <si>
    <t>Time until minimum volume available</t>
  </si>
  <si>
    <t>Rail cars required</t>
  </si>
  <si>
    <t>Fill rate per car</t>
  </si>
  <si>
    <t>Rail tanker fill time</t>
  </si>
  <si>
    <t>Rail tanker discharge time</t>
  </si>
  <si>
    <t>Cycle time</t>
  </si>
  <si>
    <t>Hold time at discharge</t>
  </si>
  <si>
    <t>Buffer volume</t>
  </si>
  <si>
    <t>Additional hold time for each leg</t>
  </si>
  <si>
    <t>Adjusted Cycle time</t>
  </si>
  <si>
    <t>car#</t>
  </si>
  <si>
    <t>Transfers per year</t>
  </si>
  <si>
    <t>Unit trains operating in parallel required</t>
  </si>
  <si>
    <t>Rail cars per filler or discharger</t>
  </si>
  <si>
    <t>#/worker</t>
  </si>
  <si>
    <t>Rail car fillers</t>
  </si>
  <si>
    <t>Rail car dischargers</t>
  </si>
  <si>
    <t>Crane Operators</t>
  </si>
  <si>
    <t>Intermodals required</t>
  </si>
  <si>
    <t>Time between trains</t>
  </si>
  <si>
    <t>Unit trains operating in parallel</t>
  </si>
  <si>
    <t>4 Intermodals fill time</t>
  </si>
  <si>
    <t>4 intermodals discharge time</t>
  </si>
  <si>
    <t>Upstream buffer transfer</t>
  </si>
  <si>
    <t>Downstream buffer transfer</t>
  </si>
  <si>
    <t>2019 Average unit train car length</t>
  </si>
  <si>
    <t>Length ratio</t>
  </si>
  <si>
    <t>DOI: 10.1177/03611981211031534</t>
  </si>
  <si>
    <t>Fullerton, Garret A., Giovanni C. DiDomenico, and C. Tyler Dick. "Sensitivity of freight and passenger rail fuel efficiency to infrastructure, equipment, and operating factors." Transportation Research Record 2476.1 (2015): 59-66.</t>
  </si>
  <si>
    <t>Fuel economy correction factor</t>
  </si>
  <si>
    <t>Scheduling details</t>
  </si>
  <si>
    <t>Train length</t>
  </si>
  <si>
    <t>cars per train</t>
  </si>
  <si>
    <t>minutes</t>
  </si>
  <si>
    <t>hours</t>
  </si>
  <si>
    <t>Truck arrives every</t>
  </si>
  <si>
    <t>Train arrives every</t>
  </si>
  <si>
    <t>Adds</t>
  </si>
  <si>
    <t>trucks per day</t>
  </si>
  <si>
    <t>Average freight train length</t>
  </si>
  <si>
    <t>Grid Net Zero Year</t>
  </si>
  <si>
    <t>GHG accounting</t>
  </si>
  <si>
    <t>Negotiated Rail 'Base Rate' Reduction</t>
  </si>
  <si>
    <t>Construction Start Year</t>
  </si>
  <si>
    <r>
      <t xml:space="preserve">User inputs are selected from drop-down boxes in the </t>
    </r>
    <r>
      <rPr>
        <i/>
        <sz val="14"/>
        <color theme="1"/>
        <rFont val="Calibri"/>
        <family val="2"/>
        <scheme val="minor"/>
      </rPr>
      <t>'User Interface'</t>
    </r>
    <r>
      <rPr>
        <sz val="14"/>
        <color theme="1"/>
        <rFont val="Calibri"/>
        <family val="2"/>
        <charset val="128"/>
        <scheme val="minor"/>
      </rPr>
      <t xml:space="preserve"> sheet. Results are automatically calculated and populated in the Results sections and graph on the same </t>
    </r>
    <r>
      <rPr>
        <i/>
        <sz val="14"/>
        <color theme="1"/>
        <rFont val="Calibri"/>
        <family val="2"/>
        <scheme val="minor"/>
      </rPr>
      <t>'User Interface'</t>
    </r>
    <r>
      <rPr>
        <sz val="14"/>
        <color theme="1"/>
        <rFont val="Calibri"/>
        <family val="2"/>
        <charset val="128"/>
        <scheme val="minor"/>
      </rPr>
      <t xml:space="preserve"> sheet. When 'caclulated' input values are selected by the user, their values do not automatically update in the user selection pane; to see these values, click on the drop down list for the value of interest and the calculated value will be displayed. Input selections can be altered beyond the standard set points by manually changing the values in the </t>
    </r>
    <r>
      <rPr>
        <i/>
        <sz val="14"/>
        <color theme="1"/>
        <rFont val="Calibri"/>
        <family val="2"/>
        <scheme val="minor"/>
      </rPr>
      <t>'Options'</t>
    </r>
    <r>
      <rPr>
        <sz val="14"/>
        <color theme="1"/>
        <rFont val="Calibri"/>
        <family val="2"/>
        <charset val="128"/>
        <scheme val="minor"/>
      </rPr>
      <t xml:space="preserve"> sheet and/or changing the 'Data Validation' range of each variable in the </t>
    </r>
    <r>
      <rPr>
        <i/>
        <sz val="14"/>
        <color theme="1"/>
        <rFont val="Calibri"/>
        <family val="2"/>
        <scheme val="minor"/>
      </rPr>
      <t>'User Interface'</t>
    </r>
    <r>
      <rPr>
        <sz val="14"/>
        <color theme="1"/>
        <rFont val="Calibri"/>
        <family val="2"/>
        <charset val="128"/>
        <scheme val="minor"/>
      </rPr>
      <t xml:space="preserve"> sheet; it is not recommeded to extend analysis outside of the initial range provided. The </t>
    </r>
    <r>
      <rPr>
        <i/>
        <sz val="14"/>
        <color theme="1"/>
        <rFont val="Calibri"/>
        <family val="2"/>
        <scheme val="minor"/>
      </rPr>
      <t>'Calculations'</t>
    </r>
    <r>
      <rPr>
        <sz val="14"/>
        <color theme="1"/>
        <rFont val="Calibri"/>
        <family val="2"/>
        <charset val="128"/>
        <scheme val="minor"/>
      </rPr>
      <t xml:space="preserve"> sheet contains all the design equations and data sources used for calculations, except for financing. Financing calculations are performed in the </t>
    </r>
    <r>
      <rPr>
        <i/>
        <sz val="14"/>
        <color theme="1"/>
        <rFont val="Calibri"/>
        <family val="2"/>
        <scheme val="minor"/>
      </rPr>
      <t>'FINEX'</t>
    </r>
    <r>
      <rPr>
        <sz val="14"/>
        <color theme="1"/>
        <rFont val="Calibri"/>
        <family val="2"/>
        <charset val="128"/>
        <scheme val="minor"/>
      </rPr>
      <t xml:space="preserve"> sheet. Macros exist in the file for the calculation of boil-off gas rates and financial analyses. Macros also update available user selections based on system design choices. Blue cells in the 'Calculations' and 'FINEX' sheets indicate user selected variables.</t>
    </r>
  </si>
  <si>
    <t>Date</t>
  </si>
  <si>
    <t>By</t>
  </si>
  <si>
    <t>Change</t>
  </si>
  <si>
    <t>Mengyao Yuan</t>
  </si>
  <si>
    <t>name cells on "User Interface" for use with xlwings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</si>
</sst>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6" formatCode="&quot;$&quot;#,##0_);[Red]\(&quot;$&quot;#,##0\)"/>
    <numFmt numFmtId="8" formatCode="&quot;$&quot;#,##0.00_);[Red]\(&quot;$&quot;#,##0.00\)"/>
    <numFmt numFmtId="44" formatCode="_(&quot;$&quot;* #,##0.00_);_(&quot;$&quot;* \(#,##0.00\);_(&quot;$&quot;* &quot;-&quot;??_);_(@_)"/>
    <numFmt numFmtId="43" formatCode="_(* #,##0.00_);_(* \(#,##0.00\);_(* &quot;-&quot;??_);_(@_)"/>
    <numFmt numFmtId="164" formatCode="0.000"/>
    <numFmt numFmtId="165" formatCode="_(* #,##0_);_(* \(#,##0\);_(* &quot;-&quot;??_);_(@_)"/>
    <numFmt numFmtId="166" formatCode="0.0"/>
    <numFmt numFmtId="167" formatCode="&quot;$&quot;#,##0.000_);[Red]\(&quot;$&quot;#,##0.000\)"/>
    <numFmt numFmtId="168" formatCode="0.0%"/>
    <numFmt numFmtId="169" formatCode="0E+00"/>
    <numFmt numFmtId="170" formatCode="_(&quot;$&quot;* #,##0_);_(&quot;$&quot;* \(#,##0\);_(&quot;$&quot;* &quot;-&quot;??_);_(@_)"/>
    <numFmt numFmtId="171" formatCode="0.0000"/>
    <numFmt numFmtId="172" formatCode="#,##0.0"/>
    <numFmt numFmtId="173" formatCode="_(* #,##0.0_);_(* \(#,##0.0\);_(* &quot;-&quot;??_);_(@_)"/>
    <numFmt numFmtId="174" formatCode="0.0000%"/>
    <numFmt numFmtId="175" formatCode="0.00000"/>
    <numFmt numFmtId="176" formatCode="0.0E+00"/>
    <numFmt numFmtId="177" formatCode="_(&quot;$&quot;* #,##0.000_);_(&quot;$&quot;* \(#,##0.000\);_(&quot;$&quot;* &quot;-&quot;??_);_(@_)"/>
    <numFmt numFmtId="178" formatCode="0.00000000"/>
    <numFmt numFmtId="179" formatCode="&quot;$&quot;#,##0.0000_);[Red]\(&quot;$&quot;#,##0.0000\)"/>
    <numFmt numFmtId="180" formatCode="&quot;$&quot;#,##0.00000_);[Red]\(&quot;$&quot;#,##0.00000\)"/>
    <numFmt numFmtId="181" formatCode="0.000%"/>
    <numFmt numFmtId="182" formatCode="0.000000%"/>
    <numFmt numFmtId="183" formatCode="_(&quot;$&quot;* #,##0.0_);_(&quot;$&quot;* \(#,##0.0\);_(&quot;$&quot;* &quot;-&quot;??_);_(@_)"/>
  </numFmts>
  <fonts count="33">
    <font>
      <sz val="14"/>
      <color theme="1"/>
      <name val="Calibri"/>
      <family val="2"/>
      <charset val="12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charset val="128"/>
      <scheme val="minor"/>
    </font>
    <font>
      <sz val="14"/>
      <color rgb="FFFF0000"/>
      <name val="Calibri"/>
      <family val="2"/>
      <charset val="128"/>
      <scheme val="minor"/>
    </font>
    <font>
      <sz val="8"/>
      <name val="Calibri"/>
      <family val="2"/>
      <charset val="128"/>
      <scheme val="minor"/>
    </font>
    <font>
      <sz val="9"/>
      <color indexed="81"/>
      <name val="Tahoma"/>
      <family val="2"/>
    </font>
    <font>
      <b/>
      <sz val="9"/>
      <color indexed="81"/>
      <name val="Tahoma"/>
      <family val="2"/>
    </font>
    <font>
      <sz val="14"/>
      <color theme="1"/>
      <name val="Calibri"/>
      <family val="2"/>
      <scheme val="minor"/>
    </font>
    <font>
      <sz val="11"/>
      <color indexed="8"/>
      <name val="Calibri"/>
      <family val="2"/>
      <scheme val="minor"/>
    </font>
    <font>
      <b/>
      <sz val="14"/>
      <color theme="1"/>
      <name val="Calibri"/>
      <family val="2"/>
      <scheme val="minor"/>
    </font>
    <font>
      <sz val="10"/>
      <name val="Arial"/>
      <family val="2"/>
    </font>
    <font>
      <b/>
      <sz val="12"/>
      <name val="Helv"/>
    </font>
    <font>
      <sz val="8"/>
      <name val="Helv"/>
    </font>
    <font>
      <sz val="10"/>
      <name val="Arial"/>
      <family val="2"/>
    </font>
    <font>
      <sz val="10"/>
      <color theme="1"/>
      <name val="Arial"/>
      <family val="2"/>
    </font>
    <font>
      <b/>
      <sz val="12"/>
      <color rgb="FF3F3F3F"/>
      <name val="Calibri"/>
      <family val="2"/>
      <scheme val="minor"/>
    </font>
    <font>
      <b/>
      <sz val="14"/>
      <name val="Calibri"/>
      <family val="2"/>
      <scheme val="minor"/>
    </font>
    <font>
      <u/>
      <sz val="11"/>
      <color theme="10"/>
      <name val="Calibri"/>
      <family val="2"/>
      <scheme val="minor"/>
    </font>
    <font>
      <sz val="14"/>
      <color theme="1"/>
      <name val="Calibri"/>
      <family val="2"/>
    </font>
    <font>
      <sz val="14"/>
      <name val="Calibri"/>
      <family val="2"/>
      <scheme val="minor"/>
    </font>
    <font>
      <sz val="14"/>
      <color theme="0"/>
      <name val="Calibri"/>
      <family val="2"/>
      <scheme val="minor"/>
    </font>
    <font>
      <sz val="14"/>
      <name val="Impact"/>
      <family val="2"/>
    </font>
    <font>
      <u/>
      <sz val="14"/>
      <color theme="10"/>
      <name val="Calibri"/>
      <family val="2"/>
      <charset val="128"/>
      <scheme val="minor"/>
    </font>
    <font>
      <i/>
      <sz val="14"/>
      <color theme="1"/>
      <name val="Calibri"/>
      <family val="2"/>
      <scheme val="minor"/>
    </font>
    <font>
      <b/>
      <sz val="16"/>
      <color theme="1"/>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rgb="FFF2F2F2"/>
      </patternFill>
    </fill>
    <fill>
      <patternFill patternType="solid">
        <fgColor theme="9" tint="0.59996337778862885"/>
        <bgColor indexed="64"/>
      </patternFill>
    </fill>
    <fill>
      <patternFill patternType="solid">
        <fgColor rgb="FFFCD5B4"/>
        <bgColor indexed="64"/>
      </patternFill>
    </fill>
    <fill>
      <patternFill patternType="solid">
        <fgColor rgb="FFC5D9F1"/>
        <bgColor indexed="64"/>
      </patternFill>
    </fill>
    <fill>
      <patternFill patternType="solid">
        <fgColor theme="9" tint="0.39997558519241921"/>
        <bgColor indexed="64"/>
      </patternFill>
    </fill>
  </fills>
  <borders count="12">
    <border>
      <left/>
      <right/>
      <top/>
      <bottom/>
      <diagonal/>
    </border>
    <border>
      <left/>
      <right/>
      <top/>
      <bottom style="thin">
        <color indexed="64"/>
      </bottom>
      <diagonal/>
    </border>
    <border>
      <left style="thin">
        <color rgb="FF3F3F3F"/>
      </left>
      <right style="thin">
        <color rgb="FF3F3F3F"/>
      </right>
      <top style="thin">
        <color rgb="FF3F3F3F"/>
      </top>
      <bottom style="thin">
        <color rgb="FF3F3F3F"/>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41">
    <xf numFmtId="0" fontId="0" fillId="0" borderId="0">
      <alignment vertical="center"/>
    </xf>
    <xf numFmtId="43" fontId="10" fillId="0" borderId="0" applyFont="0" applyFill="0" applyBorder="0" applyAlignment="0" applyProtection="0"/>
    <xf numFmtId="44" fontId="9" fillId="0" borderId="0" applyFont="0" applyFill="0" applyBorder="0" applyAlignment="0" applyProtection="0"/>
    <xf numFmtId="9" fontId="10" fillId="0" borderId="0" applyFont="0" applyFill="0" applyBorder="0" applyAlignment="0" applyProtection="0"/>
    <xf numFmtId="0" fontId="8" fillId="0" borderId="0"/>
    <xf numFmtId="0" fontId="16"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4" fontId="7" fillId="0" borderId="0" applyFont="0" applyFill="0" applyBorder="0" applyAlignment="0" applyProtection="0"/>
    <xf numFmtId="0" fontId="16" fillId="0" borderId="0"/>
    <xf numFmtId="0" fontId="18" fillId="0" borderId="0"/>
    <xf numFmtId="0" fontId="19" fillId="0" borderId="0">
      <alignment horizontal="left"/>
    </xf>
    <xf numFmtId="0" fontId="18" fillId="0" borderId="0"/>
    <xf numFmtId="0" fontId="20" fillId="0" borderId="0">
      <alignment horizontal="left"/>
    </xf>
    <xf numFmtId="0" fontId="21"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5" fillId="0" borderId="0"/>
    <xf numFmtId="43" fontId="22"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0" fontId="23" fillId="3" borderId="2" applyNumberFormat="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0" fontId="3" fillId="0" borderId="0"/>
    <xf numFmtId="0" fontId="10" fillId="0" borderId="0">
      <alignment vertical="center"/>
    </xf>
    <xf numFmtId="44" fontId="3" fillId="0" borderId="0" applyFont="0" applyFill="0" applyBorder="0" applyAlignment="0" applyProtection="0"/>
    <xf numFmtId="9" fontId="3" fillId="0" borderId="0" applyFont="0" applyFill="0" applyBorder="0" applyAlignment="0" applyProtection="0"/>
    <xf numFmtId="0" fontId="2" fillId="0" borderId="0"/>
    <xf numFmtId="0" fontId="25" fillId="0" borderId="0" applyNumberForma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1" fillId="0" borderId="0"/>
    <xf numFmtId="0" fontId="30" fillId="0" borderId="0" applyNumberFormat="0" applyFill="0" applyBorder="0" applyAlignment="0" applyProtection="0">
      <alignment vertical="center"/>
    </xf>
  </cellStyleXfs>
  <cellXfs count="237">
    <xf numFmtId="0" fontId="0" fillId="0" borderId="0" xfId="0">
      <alignment vertical="center"/>
    </xf>
    <xf numFmtId="164" fontId="0" fillId="0" borderId="0" xfId="0" applyNumberFormat="1">
      <alignment vertical="center"/>
    </xf>
    <xf numFmtId="165" fontId="0" fillId="0" borderId="0" xfId="1" applyNumberFormat="1" applyFont="1" applyAlignment="1">
      <alignment vertical="center"/>
    </xf>
    <xf numFmtId="1" fontId="0" fillId="0" borderId="0" xfId="0" applyNumberFormat="1">
      <alignment vertical="center"/>
    </xf>
    <xf numFmtId="166" fontId="0" fillId="0" borderId="0" xfId="0" applyNumberFormat="1">
      <alignment vertical="center"/>
    </xf>
    <xf numFmtId="2" fontId="0" fillId="0" borderId="0" xfId="0" applyNumberFormat="1">
      <alignment vertical="center"/>
    </xf>
    <xf numFmtId="8" fontId="0" fillId="0" borderId="0" xfId="0" applyNumberFormat="1">
      <alignment vertical="center"/>
    </xf>
    <xf numFmtId="8" fontId="11" fillId="0" borderId="0" xfId="0" applyNumberFormat="1" applyFont="1">
      <alignment vertical="center"/>
    </xf>
    <xf numFmtId="0" fontId="11" fillId="0" borderId="0" xfId="0" applyFont="1">
      <alignment vertical="center"/>
    </xf>
    <xf numFmtId="167" fontId="0" fillId="0" borderId="0" xfId="0" applyNumberFormat="1">
      <alignment vertical="center"/>
    </xf>
    <xf numFmtId="6" fontId="11" fillId="0" borderId="0" xfId="0" applyNumberFormat="1" applyFont="1">
      <alignment vertical="center"/>
    </xf>
    <xf numFmtId="44" fontId="0" fillId="0" borderId="0" xfId="2" applyFont="1" applyAlignment="1">
      <alignment vertical="center"/>
    </xf>
    <xf numFmtId="168" fontId="0" fillId="0" borderId="0" xfId="0" applyNumberFormat="1">
      <alignment vertical="center"/>
    </xf>
    <xf numFmtId="10" fontId="0" fillId="0" borderId="0" xfId="0" applyNumberFormat="1">
      <alignment vertical="center"/>
    </xf>
    <xf numFmtId="169" fontId="0" fillId="0" borderId="0" xfId="0" applyNumberFormat="1">
      <alignment vertical="center"/>
    </xf>
    <xf numFmtId="6" fontId="0" fillId="0" borderId="0" xfId="0" applyNumberFormat="1">
      <alignment vertical="center"/>
    </xf>
    <xf numFmtId="9" fontId="0" fillId="0" borderId="0" xfId="0" applyNumberFormat="1">
      <alignment vertical="center"/>
    </xf>
    <xf numFmtId="171" fontId="0" fillId="0" borderId="0" xfId="0" applyNumberFormat="1">
      <alignment vertical="center"/>
    </xf>
    <xf numFmtId="0" fontId="0" fillId="0" borderId="0" xfId="0" quotePrefix="1">
      <alignment vertical="center"/>
    </xf>
    <xf numFmtId="8" fontId="0" fillId="0" borderId="0" xfId="2" applyNumberFormat="1" applyFont="1" applyAlignment="1">
      <alignment vertical="center"/>
    </xf>
    <xf numFmtId="0" fontId="15" fillId="0" borderId="0" xfId="0" applyFont="1">
      <alignment vertical="center"/>
    </xf>
    <xf numFmtId="1" fontId="11" fillId="0" borderId="0" xfId="0" applyNumberFormat="1" applyFont="1">
      <alignment vertical="center"/>
    </xf>
    <xf numFmtId="6" fontId="24" fillId="4" borderId="10" xfId="20" applyNumberFormat="1" applyFont="1" applyFill="1" applyBorder="1" applyAlignment="1">
      <alignment vertical="center"/>
    </xf>
    <xf numFmtId="8" fontId="0" fillId="0" borderId="0" xfId="0" applyNumberFormat="1" applyAlignment="1">
      <alignment horizontal="right" vertical="center"/>
    </xf>
    <xf numFmtId="6" fontId="0" fillId="0" borderId="0" xfId="0" applyNumberFormat="1" applyAlignment="1">
      <alignment horizontal="right"/>
    </xf>
    <xf numFmtId="6" fontId="0" fillId="0" borderId="0" xfId="0" applyNumberFormat="1" applyAlignment="1">
      <alignment horizontal="right" vertical="center"/>
    </xf>
    <xf numFmtId="8" fontId="0" fillId="0" borderId="0" xfId="0" applyNumberFormat="1" applyAlignment="1">
      <alignment horizontal="right"/>
    </xf>
    <xf numFmtId="44" fontId="15" fillId="0" borderId="0" xfId="2" applyFont="1" applyFill="1" applyBorder="1" applyAlignment="1">
      <alignment vertical="center"/>
    </xf>
    <xf numFmtId="0" fontId="10" fillId="0" borderId="0" xfId="32">
      <alignment vertical="center"/>
    </xf>
    <xf numFmtId="2" fontId="10" fillId="0" borderId="0" xfId="32" applyNumberFormat="1">
      <alignment vertical="center"/>
    </xf>
    <xf numFmtId="1" fontId="10" fillId="0" borderId="0" xfId="32" applyNumberFormat="1">
      <alignment vertical="center"/>
    </xf>
    <xf numFmtId="164" fontId="10" fillId="0" borderId="0" xfId="32" applyNumberFormat="1">
      <alignment vertical="center"/>
    </xf>
    <xf numFmtId="6" fontId="10" fillId="0" borderId="0" xfId="32" applyNumberFormat="1">
      <alignment vertical="center"/>
    </xf>
    <xf numFmtId="170" fontId="0" fillId="0" borderId="0" xfId="33" applyNumberFormat="1" applyFont="1" applyAlignment="1">
      <alignment vertical="center"/>
    </xf>
    <xf numFmtId="166" fontId="10" fillId="0" borderId="0" xfId="32" applyNumberFormat="1">
      <alignment vertical="center"/>
    </xf>
    <xf numFmtId="9" fontId="10" fillId="0" borderId="0" xfId="3" applyFont="1" applyAlignment="1">
      <alignment vertical="center"/>
    </xf>
    <xf numFmtId="168" fontId="0" fillId="0" borderId="0" xfId="3" applyNumberFormat="1" applyFont="1" applyAlignment="1">
      <alignment vertical="center"/>
    </xf>
    <xf numFmtId="0" fontId="17" fillId="2" borderId="0" xfId="0" applyFont="1" applyFill="1">
      <alignment vertical="center"/>
    </xf>
    <xf numFmtId="0" fontId="0" fillId="5" borderId="0" xfId="0" applyFill="1">
      <alignment vertical="center"/>
    </xf>
    <xf numFmtId="9" fontId="0" fillId="5" borderId="0" xfId="0" applyNumberFormat="1" applyFill="1">
      <alignment vertical="center"/>
    </xf>
    <xf numFmtId="0" fontId="0" fillId="5" borderId="0" xfId="0" applyFill="1" applyAlignment="1">
      <alignment horizontal="left" vertical="center"/>
    </xf>
    <xf numFmtId="0" fontId="0" fillId="6" borderId="0" xfId="0" applyFill="1">
      <alignment vertical="center"/>
    </xf>
    <xf numFmtId="10" fontId="0" fillId="5" borderId="0" xfId="0" applyNumberFormat="1" applyFill="1">
      <alignment vertical="center"/>
    </xf>
    <xf numFmtId="175" fontId="0" fillId="0" borderId="0" xfId="0" applyNumberFormat="1">
      <alignment vertical="center"/>
    </xf>
    <xf numFmtId="6" fontId="0" fillId="0" borderId="0" xfId="2" applyNumberFormat="1" applyFont="1" applyFill="1" applyAlignment="1">
      <alignment vertical="center"/>
    </xf>
    <xf numFmtId="2" fontId="17" fillId="2" borderId="0" xfId="0" applyNumberFormat="1" applyFont="1" applyFill="1">
      <alignment vertical="center"/>
    </xf>
    <xf numFmtId="171" fontId="17" fillId="2" borderId="0" xfId="0" applyNumberFormat="1" applyFont="1" applyFill="1">
      <alignment vertical="center"/>
    </xf>
    <xf numFmtId="1" fontId="17" fillId="2" borderId="0" xfId="0" applyNumberFormat="1" applyFont="1" applyFill="1">
      <alignment vertical="center"/>
    </xf>
    <xf numFmtId="166" fontId="17" fillId="2" borderId="0" xfId="0" applyNumberFormat="1" applyFont="1" applyFill="1">
      <alignment vertical="center"/>
    </xf>
    <xf numFmtId="166" fontId="15" fillId="0" borderId="0" xfId="0" applyNumberFormat="1" applyFont="1">
      <alignment vertical="center"/>
    </xf>
    <xf numFmtId="1" fontId="15" fillId="0" borderId="0" xfId="0" applyNumberFormat="1" applyFont="1">
      <alignment vertical="center"/>
    </xf>
    <xf numFmtId="1" fontId="15" fillId="0" borderId="0" xfId="2" applyNumberFormat="1" applyFont="1" applyFill="1" applyBorder="1" applyAlignment="1">
      <alignment vertical="center"/>
    </xf>
    <xf numFmtId="1" fontId="0" fillId="0" borderId="0" xfId="2" applyNumberFormat="1" applyFont="1" applyFill="1" applyAlignment="1">
      <alignment vertical="center"/>
    </xf>
    <xf numFmtId="1" fontId="0" fillId="5" borderId="0" xfId="0" applyNumberFormat="1" applyFill="1">
      <alignment vertical="center"/>
    </xf>
    <xf numFmtId="1" fontId="0" fillId="6" borderId="0" xfId="0" applyNumberFormat="1" applyFill="1">
      <alignment vertical="center"/>
    </xf>
    <xf numFmtId="11" fontId="0" fillId="0" borderId="0" xfId="0" applyNumberFormat="1">
      <alignment vertical="center"/>
    </xf>
    <xf numFmtId="166" fontId="15" fillId="0" borderId="0" xfId="0" quotePrefix="1" applyNumberFormat="1" applyFont="1">
      <alignment vertical="center"/>
    </xf>
    <xf numFmtId="176" fontId="0" fillId="0" borderId="0" xfId="0" applyNumberFormat="1">
      <alignment vertical="center"/>
    </xf>
    <xf numFmtId="16" fontId="0" fillId="0" borderId="0" xfId="0" applyNumberFormat="1">
      <alignment vertical="center"/>
    </xf>
    <xf numFmtId="6" fontId="17" fillId="2" borderId="0" xfId="0" applyNumberFormat="1" applyFont="1" applyFill="1">
      <alignment vertical="center"/>
    </xf>
    <xf numFmtId="6" fontId="15" fillId="0" borderId="0" xfId="0" applyNumberFormat="1" applyFont="1">
      <alignment vertical="center"/>
    </xf>
    <xf numFmtId="0" fontId="15" fillId="0" borderId="0" xfId="6" applyFont="1"/>
    <xf numFmtId="2" fontId="15" fillId="0" borderId="0" xfId="6" applyNumberFormat="1" applyFont="1"/>
    <xf numFmtId="1" fontId="15" fillId="0" borderId="0" xfId="6" applyNumberFormat="1" applyFont="1"/>
    <xf numFmtId="164" fontId="15" fillId="0" borderId="0" xfId="6" applyNumberFormat="1" applyFont="1"/>
    <xf numFmtId="166" fontId="15" fillId="0" borderId="0" xfId="6" applyNumberFormat="1" applyFont="1"/>
    <xf numFmtId="0" fontId="15" fillId="0" borderId="0" xfId="0" quotePrefix="1" applyFont="1">
      <alignment vertical="center"/>
    </xf>
    <xf numFmtId="9" fontId="15" fillId="0" borderId="0" xfId="0" applyNumberFormat="1" applyFont="1">
      <alignment vertical="center"/>
    </xf>
    <xf numFmtId="2" fontId="15" fillId="0" borderId="0" xfId="0" applyNumberFormat="1" applyFont="1">
      <alignment vertical="center"/>
    </xf>
    <xf numFmtId="164" fontId="0" fillId="0" borderId="0" xfId="2" applyNumberFormat="1" applyFont="1" applyFill="1" applyAlignment="1">
      <alignment vertical="center"/>
    </xf>
    <xf numFmtId="173" fontId="0" fillId="0" borderId="0" xfId="1" applyNumberFormat="1" applyFont="1" applyFill="1" applyAlignment="1">
      <alignment vertical="center"/>
    </xf>
    <xf numFmtId="165" fontId="0" fillId="0" borderId="0" xfId="0" applyNumberFormat="1">
      <alignment vertical="center"/>
    </xf>
    <xf numFmtId="9" fontId="17" fillId="2" borderId="0" xfId="0" applyNumberFormat="1" applyFont="1" applyFill="1">
      <alignment vertical="center"/>
    </xf>
    <xf numFmtId="8" fontId="17" fillId="2" borderId="0" xfId="0" applyNumberFormat="1" applyFont="1" applyFill="1">
      <alignment vertical="center"/>
    </xf>
    <xf numFmtId="164" fontId="17" fillId="2" borderId="0" xfId="0" applyNumberFormat="1" applyFont="1" applyFill="1">
      <alignment vertical="center"/>
    </xf>
    <xf numFmtId="167" fontId="17" fillId="2" borderId="0" xfId="0" applyNumberFormat="1" applyFont="1" applyFill="1">
      <alignment vertical="center"/>
    </xf>
    <xf numFmtId="0" fontId="10" fillId="0" borderId="0" xfId="32" quotePrefix="1">
      <alignment vertical="center"/>
    </xf>
    <xf numFmtId="6" fontId="10" fillId="0" borderId="0" xfId="32" quotePrefix="1" applyNumberFormat="1">
      <alignment vertical="center"/>
    </xf>
    <xf numFmtId="1" fontId="10" fillId="0" borderId="0" xfId="33" applyNumberFormat="1" applyFont="1" applyAlignment="1">
      <alignment vertical="center"/>
    </xf>
    <xf numFmtId="0" fontId="15" fillId="0" borderId="0" xfId="31" applyFont="1"/>
    <xf numFmtId="1" fontId="15" fillId="0" borderId="0" xfId="31" applyNumberFormat="1" applyFont="1"/>
    <xf numFmtId="174" fontId="15" fillId="0" borderId="0" xfId="34" applyNumberFormat="1" applyFont="1"/>
    <xf numFmtId="166" fontId="15" fillId="0" borderId="0" xfId="31" applyNumberFormat="1" applyFont="1"/>
    <xf numFmtId="6" fontId="15" fillId="0" borderId="0" xfId="31" applyNumberFormat="1" applyFont="1"/>
    <xf numFmtId="6" fontId="15" fillId="0" borderId="0" xfId="35" applyNumberFormat="1" applyFont="1"/>
    <xf numFmtId="177" fontId="0" fillId="0" borderId="0" xfId="2" applyNumberFormat="1" applyFont="1" applyAlignment="1">
      <alignment vertical="center"/>
    </xf>
    <xf numFmtId="178" fontId="0" fillId="0" borderId="0" xfId="3" applyNumberFormat="1" applyFont="1" applyAlignment="1">
      <alignment vertical="center"/>
    </xf>
    <xf numFmtId="1" fontId="0" fillId="0" borderId="0" xfId="2" applyNumberFormat="1" applyFont="1" applyAlignment="1">
      <alignment vertical="center"/>
    </xf>
    <xf numFmtId="8" fontId="15" fillId="0" borderId="0" xfId="0" applyNumberFormat="1" applyFont="1">
      <alignment vertical="center"/>
    </xf>
    <xf numFmtId="2" fontId="15" fillId="0" borderId="0" xfId="31" applyNumberFormat="1" applyFont="1"/>
    <xf numFmtId="179" fontId="0" fillId="0" borderId="0" xfId="0" applyNumberFormat="1">
      <alignment vertical="center"/>
    </xf>
    <xf numFmtId="180" fontId="0" fillId="0" borderId="0" xfId="0" applyNumberFormat="1">
      <alignment vertical="center"/>
    </xf>
    <xf numFmtId="0" fontId="17" fillId="0" borderId="0" xfId="0" applyFont="1">
      <alignment vertical="center"/>
    </xf>
    <xf numFmtId="6" fontId="17" fillId="0" borderId="0" xfId="0" applyNumberFormat="1" applyFont="1">
      <alignment vertical="center"/>
    </xf>
    <xf numFmtId="166" fontId="17" fillId="0" borderId="0" xfId="0" applyNumberFormat="1" applyFont="1">
      <alignment vertical="center"/>
    </xf>
    <xf numFmtId="171" fontId="0" fillId="0" borderId="0" xfId="0" quotePrefix="1" applyNumberFormat="1">
      <alignment vertical="center"/>
    </xf>
    <xf numFmtId="6" fontId="24" fillId="4" borderId="0" xfId="20" applyNumberFormat="1" applyFont="1" applyFill="1" applyBorder="1" applyAlignment="1">
      <alignment vertical="center"/>
    </xf>
    <xf numFmtId="168" fontId="15" fillId="0" borderId="0" xfId="19" applyNumberFormat="1" applyFont="1" applyAlignment="1">
      <alignment horizontal="right" vertical="center"/>
    </xf>
    <xf numFmtId="0" fontId="17" fillId="2" borderId="0" xfId="19" applyFont="1" applyFill="1" applyAlignment="1">
      <alignment vertical="center"/>
    </xf>
    <xf numFmtId="0" fontId="15" fillId="2" borderId="0" xfId="19" applyFont="1" applyFill="1" applyAlignment="1">
      <alignment vertical="center"/>
    </xf>
    <xf numFmtId="0" fontId="27" fillId="2" borderId="0" xfId="19" applyFont="1" applyFill="1" applyAlignment="1">
      <alignment vertical="center"/>
    </xf>
    <xf numFmtId="0" fontId="24" fillId="2" borderId="0" xfId="19" applyFont="1" applyFill="1" applyAlignment="1">
      <alignment vertical="center"/>
    </xf>
    <xf numFmtId="0" fontId="28" fillId="2" borderId="0" xfId="19" applyFont="1" applyFill="1" applyAlignment="1">
      <alignment vertical="center"/>
    </xf>
    <xf numFmtId="0" fontId="17" fillId="0" borderId="0" xfId="19" applyFont="1" applyAlignment="1">
      <alignment vertical="center"/>
    </xf>
    <xf numFmtId="0" fontId="17" fillId="0" borderId="0" xfId="19" applyFont="1" applyAlignment="1">
      <alignment horizontal="center" vertical="center"/>
    </xf>
    <xf numFmtId="0" fontId="27" fillId="0" borderId="0" xfId="19" applyFont="1" applyAlignment="1">
      <alignment vertical="center"/>
    </xf>
    <xf numFmtId="0" fontId="24" fillId="0" borderId="0" xfId="19" applyFont="1" applyAlignment="1">
      <alignment horizontal="center" vertical="center"/>
    </xf>
    <xf numFmtId="0" fontId="15" fillId="0" borderId="0" xfId="19" applyFont="1" applyAlignment="1">
      <alignment vertical="center"/>
    </xf>
    <xf numFmtId="0" fontId="28" fillId="0" borderId="0" xfId="19" applyFont="1" applyAlignment="1">
      <alignment vertical="center"/>
    </xf>
    <xf numFmtId="3" fontId="29" fillId="0" borderId="0" xfId="19" applyNumberFormat="1" applyFont="1" applyAlignment="1">
      <alignment vertical="center"/>
    </xf>
    <xf numFmtId="0" fontId="15" fillId="0" borderId="0" xfId="19" applyFont="1" applyAlignment="1">
      <alignment horizontal="left" vertical="center"/>
    </xf>
    <xf numFmtId="0" fontId="15" fillId="0" borderId="0" xfId="19" applyFont="1" applyAlignment="1">
      <alignment horizontal="center" vertical="center"/>
    </xf>
    <xf numFmtId="0" fontId="24" fillId="0" borderId="0" xfId="19" applyFont="1" applyAlignment="1">
      <alignment horizontal="left" vertical="center"/>
    </xf>
    <xf numFmtId="4" fontId="27" fillId="0" borderId="0" xfId="22" applyNumberFormat="1" applyFont="1" applyFill="1" applyBorder="1" applyAlignment="1">
      <alignment vertical="center"/>
    </xf>
    <xf numFmtId="4" fontId="27" fillId="0" borderId="0" xfId="19" applyNumberFormat="1" applyFont="1" applyAlignment="1">
      <alignment vertical="center"/>
    </xf>
    <xf numFmtId="172" fontId="27" fillId="0" borderId="0" xfId="19" applyNumberFormat="1" applyFont="1" applyAlignment="1">
      <alignment vertical="center"/>
    </xf>
    <xf numFmtId="3" fontId="27" fillId="0" borderId="0" xfId="19" applyNumberFormat="1" applyFont="1" applyAlignment="1">
      <alignment vertical="center"/>
    </xf>
    <xf numFmtId="0" fontId="27" fillId="0" borderId="0" xfId="19" applyFont="1" applyAlignment="1">
      <alignment vertical="center" wrapText="1"/>
    </xf>
    <xf numFmtId="164" fontId="15" fillId="0" borderId="0" xfId="19" applyNumberFormat="1" applyFont="1" applyAlignment="1">
      <alignment vertical="center"/>
    </xf>
    <xf numFmtId="0" fontId="27" fillId="0" borderId="0" xfId="19" applyFont="1" applyAlignment="1">
      <alignment horizontal="left" vertical="center"/>
    </xf>
    <xf numFmtId="164" fontId="27" fillId="0" borderId="0" xfId="19" applyNumberFormat="1" applyFont="1" applyAlignment="1">
      <alignment vertical="center"/>
    </xf>
    <xf numFmtId="0" fontId="24" fillId="0" borderId="0" xfId="19" applyFont="1" applyAlignment="1">
      <alignment vertical="center"/>
    </xf>
    <xf numFmtId="6" fontId="15" fillId="0" borderId="0" xfId="19" applyNumberFormat="1" applyFont="1" applyAlignment="1">
      <alignment vertical="center"/>
    </xf>
    <xf numFmtId="3" fontId="15" fillId="0" borderId="0" xfId="19" applyNumberFormat="1" applyFont="1" applyAlignment="1">
      <alignment vertical="center"/>
    </xf>
    <xf numFmtId="3" fontId="27" fillId="2" borderId="0" xfId="19" applyNumberFormat="1" applyFont="1" applyFill="1" applyAlignment="1">
      <alignment vertical="center"/>
    </xf>
    <xf numFmtId="172" fontId="27" fillId="2" borderId="0" xfId="19" applyNumberFormat="1" applyFont="1" applyFill="1" applyAlignment="1">
      <alignment vertical="center"/>
    </xf>
    <xf numFmtId="4" fontId="27" fillId="2" borderId="0" xfId="19" applyNumberFormat="1" applyFont="1" applyFill="1" applyAlignment="1">
      <alignment vertical="center"/>
    </xf>
    <xf numFmtId="0" fontId="27" fillId="0" borderId="0" xfId="19" applyFont="1" applyAlignment="1">
      <alignment horizontal="left" vertical="center" wrapText="1"/>
    </xf>
    <xf numFmtId="165" fontId="27" fillId="0" borderId="0" xfId="24" applyNumberFormat="1" applyFont="1" applyFill="1" applyBorder="1" applyAlignment="1">
      <alignment vertical="center"/>
    </xf>
    <xf numFmtId="1" fontId="15" fillId="6" borderId="0" xfId="21" applyNumberFormat="1" applyFont="1" applyFill="1" applyBorder="1" applyAlignment="1">
      <alignment horizontal="right" vertical="center"/>
    </xf>
    <xf numFmtId="10" fontId="27" fillId="0" borderId="0" xfId="21" applyNumberFormat="1" applyFont="1" applyFill="1" applyBorder="1" applyAlignment="1">
      <alignment vertical="center"/>
    </xf>
    <xf numFmtId="9" fontId="27" fillId="0" borderId="0" xfId="21" applyFont="1" applyFill="1" applyBorder="1" applyAlignment="1">
      <alignment vertical="center"/>
    </xf>
    <xf numFmtId="168" fontId="27" fillId="0" borderId="0" xfId="21" applyNumberFormat="1" applyFont="1" applyFill="1" applyBorder="1" applyAlignment="1">
      <alignment vertical="center"/>
    </xf>
    <xf numFmtId="9" fontId="27" fillId="0" borderId="0" xfId="19" applyNumberFormat="1" applyFont="1" applyAlignment="1">
      <alignment vertical="center"/>
    </xf>
    <xf numFmtId="8" fontId="27" fillId="0" borderId="0" xfId="19" applyNumberFormat="1" applyFont="1" applyAlignment="1">
      <alignment vertical="center"/>
    </xf>
    <xf numFmtId="0" fontId="27" fillId="6" borderId="0" xfId="19" applyFont="1" applyFill="1" applyAlignment="1">
      <alignment vertical="center"/>
    </xf>
    <xf numFmtId="1" fontId="27" fillId="6" borderId="0" xfId="19" applyNumberFormat="1" applyFont="1" applyFill="1" applyAlignment="1">
      <alignment vertical="center"/>
    </xf>
    <xf numFmtId="0" fontId="27" fillId="0" borderId="0" xfId="19" applyFont="1" applyAlignment="1">
      <alignment horizontal="center" vertical="center"/>
    </xf>
    <xf numFmtId="6" fontId="27" fillId="0" borderId="0" xfId="19" applyNumberFormat="1" applyFont="1" applyAlignment="1">
      <alignment vertical="center"/>
    </xf>
    <xf numFmtId="0" fontId="27" fillId="0" borderId="0" xfId="25" applyNumberFormat="1" applyFont="1" applyFill="1" applyBorder="1" applyAlignment="1">
      <alignment vertical="center"/>
    </xf>
    <xf numFmtId="1" fontId="27" fillId="0" borderId="0" xfId="25" applyNumberFormat="1" applyFont="1" applyFill="1" applyBorder="1" applyAlignment="1">
      <alignment vertical="center"/>
    </xf>
    <xf numFmtId="0" fontId="24" fillId="0" borderId="0" xfId="19" applyFont="1" applyAlignment="1">
      <alignment vertical="center" wrapText="1"/>
    </xf>
    <xf numFmtId="0" fontId="15" fillId="0" borderId="0" xfId="19" applyFont="1" applyAlignment="1">
      <alignment horizontal="left" vertical="center" wrapText="1"/>
    </xf>
    <xf numFmtId="3" fontId="24" fillId="0" borderId="0" xfId="20" applyNumberFormat="1" applyFont="1" applyFill="1" applyBorder="1" applyAlignment="1">
      <alignment horizontal="right" vertical="center"/>
    </xf>
    <xf numFmtId="3" fontId="24" fillId="0" borderId="3" xfId="20" applyNumberFormat="1" applyFont="1" applyFill="1" applyBorder="1" applyAlignment="1">
      <alignment horizontal="right" vertical="center"/>
    </xf>
    <xf numFmtId="0" fontId="17" fillId="0" borderId="1" xfId="19" applyFont="1" applyBorder="1" applyAlignment="1">
      <alignment horizontal="center" vertical="center"/>
    </xf>
    <xf numFmtId="4" fontId="24" fillId="0" borderId="1" xfId="20" applyNumberFormat="1" applyFont="1" applyFill="1" applyBorder="1" applyAlignment="1">
      <alignment horizontal="right" vertical="center"/>
    </xf>
    <xf numFmtId="0" fontId="24" fillId="0" borderId="1" xfId="19" applyFont="1" applyBorder="1" applyAlignment="1">
      <alignment horizontal="right" vertical="center"/>
    </xf>
    <xf numFmtId="0" fontId="24" fillId="0" borderId="5" xfId="19" applyFont="1" applyBorder="1" applyAlignment="1">
      <alignment horizontal="right" vertical="center"/>
    </xf>
    <xf numFmtId="0" fontId="15" fillId="0" borderId="9" xfId="19" applyFont="1" applyBorder="1" applyAlignment="1">
      <alignment vertical="center"/>
    </xf>
    <xf numFmtId="3" fontId="27" fillId="2" borderId="0" xfId="20" applyNumberFormat="1" applyFont="1" applyFill="1" applyBorder="1" applyAlignment="1">
      <alignment vertical="center"/>
    </xf>
    <xf numFmtId="9" fontId="27" fillId="0" borderId="8" xfId="19" applyNumberFormat="1" applyFont="1" applyBorder="1" applyAlignment="1">
      <alignment vertical="center"/>
    </xf>
    <xf numFmtId="9" fontId="27" fillId="0" borderId="3" xfId="19" applyNumberFormat="1" applyFont="1" applyBorder="1" applyAlignment="1">
      <alignment vertical="center"/>
    </xf>
    <xf numFmtId="0" fontId="15" fillId="0" borderId="4" xfId="19" applyFont="1" applyBorder="1" applyAlignment="1">
      <alignment vertical="center"/>
    </xf>
    <xf numFmtId="3" fontId="27" fillId="2" borderId="1" xfId="20" applyNumberFormat="1" applyFont="1" applyFill="1" applyBorder="1" applyAlignment="1">
      <alignment vertical="center"/>
    </xf>
    <xf numFmtId="9" fontId="27" fillId="0" borderId="1" xfId="19" applyNumberFormat="1" applyFont="1" applyBorder="1" applyAlignment="1">
      <alignment vertical="center"/>
    </xf>
    <xf numFmtId="9" fontId="27" fillId="0" borderId="5" xfId="19" applyNumberFormat="1" applyFont="1" applyBorder="1" applyAlignment="1">
      <alignment vertical="center"/>
    </xf>
    <xf numFmtId="3" fontId="27" fillId="0" borderId="0" xfId="20" applyNumberFormat="1" applyFont="1" applyFill="1" applyBorder="1" applyAlignment="1">
      <alignment vertical="center"/>
    </xf>
    <xf numFmtId="2" fontId="27" fillId="0" borderId="0" xfId="19" applyNumberFormat="1" applyFont="1" applyAlignment="1">
      <alignment vertical="center"/>
    </xf>
    <xf numFmtId="0" fontId="17" fillId="0" borderId="7" xfId="19" applyFont="1" applyBorder="1" applyAlignment="1">
      <alignment vertical="center"/>
    </xf>
    <xf numFmtId="4" fontId="24" fillId="0" borderId="8" xfId="20" applyNumberFormat="1" applyFont="1" applyFill="1" applyBorder="1" applyAlignment="1">
      <alignment horizontal="center" vertical="center"/>
    </xf>
    <xf numFmtId="0" fontId="24" fillId="0" borderId="4" xfId="19" applyFont="1" applyBorder="1" applyAlignment="1">
      <alignment horizontal="left" vertical="center" wrapText="1"/>
    </xf>
    <xf numFmtId="4" fontId="24" fillId="0" borderId="5" xfId="20" applyNumberFormat="1" applyFont="1" applyFill="1" applyBorder="1" applyAlignment="1">
      <alignment horizontal="center" vertical="center"/>
    </xf>
    <xf numFmtId="0" fontId="27" fillId="0" borderId="9" xfId="19" applyFont="1" applyBorder="1" applyAlignment="1">
      <alignment vertical="center" wrapText="1"/>
    </xf>
    <xf numFmtId="3" fontId="27" fillId="2" borderId="3" xfId="20" applyNumberFormat="1" applyFont="1" applyFill="1" applyBorder="1" applyAlignment="1">
      <alignment vertical="center"/>
    </xf>
    <xf numFmtId="0" fontId="27" fillId="0" borderId="4" xfId="19" applyFont="1" applyBorder="1" applyAlignment="1">
      <alignment vertical="center" wrapText="1"/>
    </xf>
    <xf numFmtId="3" fontId="27" fillId="2" borderId="5" xfId="20" applyNumberFormat="1" applyFont="1" applyFill="1" applyBorder="1" applyAlignment="1">
      <alignment vertical="center"/>
    </xf>
    <xf numFmtId="0" fontId="27" fillId="2" borderId="0" xfId="19" applyFont="1" applyFill="1" applyAlignment="1">
      <alignment vertical="center" wrapText="1"/>
    </xf>
    <xf numFmtId="4" fontId="27" fillId="2" borderId="0" xfId="20" applyNumberFormat="1" applyFont="1" applyFill="1" applyBorder="1" applyAlignment="1">
      <alignment vertical="center"/>
    </xf>
    <xf numFmtId="0" fontId="24" fillId="0" borderId="9" xfId="19" applyFont="1" applyBorder="1" applyAlignment="1">
      <alignment horizontal="left" vertical="center"/>
    </xf>
    <xf numFmtId="0" fontId="27" fillId="0" borderId="3" xfId="19" applyFont="1" applyBorder="1" applyAlignment="1">
      <alignment horizontal="center" vertical="center"/>
    </xf>
    <xf numFmtId="0" fontId="24" fillId="0" borderId="4" xfId="19" applyFont="1" applyBorder="1" applyAlignment="1">
      <alignment horizontal="left" vertical="center"/>
    </xf>
    <xf numFmtId="1" fontId="27" fillId="0" borderId="1" xfId="19" applyNumberFormat="1" applyFont="1" applyBorder="1" applyAlignment="1">
      <alignment horizontal="center" vertical="center"/>
    </xf>
    <xf numFmtId="1" fontId="27" fillId="0" borderId="5" xfId="19" applyNumberFormat="1" applyFont="1" applyBorder="1" applyAlignment="1">
      <alignment horizontal="center" vertical="center"/>
    </xf>
    <xf numFmtId="165" fontId="15" fillId="0" borderId="0" xfId="20" applyNumberFormat="1" applyFont="1" applyFill="1" applyBorder="1" applyAlignment="1">
      <alignment vertical="center"/>
    </xf>
    <xf numFmtId="2" fontId="15" fillId="0" borderId="0" xfId="26" applyNumberFormat="1" applyFont="1" applyFill="1" applyBorder="1" applyAlignment="1">
      <alignment vertical="center"/>
    </xf>
    <xf numFmtId="2" fontId="15" fillId="0" borderId="0" xfId="24" applyNumberFormat="1" applyFont="1" applyFill="1" applyBorder="1" applyAlignment="1">
      <alignment vertical="center"/>
    </xf>
    <xf numFmtId="9" fontId="15" fillId="2" borderId="0" xfId="26" applyNumberFormat="1" applyFont="1" applyFill="1" applyBorder="1" applyAlignment="1">
      <alignment vertical="center"/>
    </xf>
    <xf numFmtId="9" fontId="27" fillId="2" borderId="0" xfId="26" applyNumberFormat="1" applyFont="1" applyFill="1" applyBorder="1" applyAlignment="1">
      <alignment vertical="center"/>
    </xf>
    <xf numFmtId="9" fontId="15" fillId="0" borderId="0" xfId="19" applyNumberFormat="1" applyFont="1" applyAlignment="1">
      <alignment vertical="center"/>
    </xf>
    <xf numFmtId="0" fontId="15" fillId="0" borderId="7" xfId="19" applyFont="1" applyBorder="1" applyAlignment="1">
      <alignment horizontal="left" vertical="center"/>
    </xf>
    <xf numFmtId="9" fontId="15" fillId="0" borderId="6" xfId="21" applyFont="1" applyFill="1" applyBorder="1" applyAlignment="1">
      <alignment vertical="center"/>
    </xf>
    <xf numFmtId="3" fontId="15" fillId="0" borderId="6" xfId="25" applyNumberFormat="1" applyFont="1" applyFill="1" applyBorder="1" applyAlignment="1">
      <alignment vertical="center"/>
    </xf>
    <xf numFmtId="3" fontId="15" fillId="0" borderId="8" xfId="25" applyNumberFormat="1" applyFont="1" applyFill="1" applyBorder="1" applyAlignment="1">
      <alignment vertical="center"/>
    </xf>
    <xf numFmtId="3" fontId="15" fillId="0" borderId="0" xfId="20" applyNumberFormat="1" applyFont="1" applyFill="1" applyBorder="1" applyAlignment="1">
      <alignment vertical="center"/>
    </xf>
    <xf numFmtId="0" fontId="15" fillId="0" borderId="9" xfId="19" applyFont="1" applyBorder="1" applyAlignment="1">
      <alignment horizontal="left" vertical="center"/>
    </xf>
    <xf numFmtId="3" fontId="15" fillId="0" borderId="3" xfId="19" applyNumberFormat="1" applyFont="1" applyBorder="1" applyAlignment="1">
      <alignment vertical="center"/>
    </xf>
    <xf numFmtId="0" fontId="27" fillId="0" borderId="4" xfId="19" applyFont="1" applyBorder="1" applyAlignment="1">
      <alignment horizontal="left" vertical="center" wrapText="1"/>
    </xf>
    <xf numFmtId="3" fontId="15" fillId="0" borderId="1" xfId="19" applyNumberFormat="1" applyFont="1" applyBorder="1" applyAlignment="1">
      <alignment vertical="center"/>
    </xf>
    <xf numFmtId="3" fontId="15" fillId="0" borderId="5" xfId="19" applyNumberFormat="1" applyFont="1" applyBorder="1" applyAlignment="1">
      <alignment vertical="center"/>
    </xf>
    <xf numFmtId="3" fontId="15" fillId="0" borderId="6" xfId="19" applyNumberFormat="1" applyFont="1" applyBorder="1" applyAlignment="1">
      <alignment vertical="center"/>
    </xf>
    <xf numFmtId="3" fontId="15" fillId="0" borderId="8" xfId="19" applyNumberFormat="1" applyFont="1" applyBorder="1" applyAlignment="1">
      <alignment vertical="center"/>
    </xf>
    <xf numFmtId="0" fontId="27" fillId="0" borderId="9" xfId="19" applyFont="1" applyBorder="1" applyAlignment="1">
      <alignment horizontal="left" vertical="center" wrapText="1"/>
    </xf>
    <xf numFmtId="3" fontId="15" fillId="0" borderId="0" xfId="26" applyNumberFormat="1" applyFont="1" applyFill="1" applyBorder="1" applyAlignment="1">
      <alignment vertical="center"/>
    </xf>
    <xf numFmtId="3" fontId="27" fillId="0" borderId="0" xfId="26" applyNumberFormat="1" applyFont="1" applyFill="1" applyBorder="1" applyAlignment="1">
      <alignment vertical="center"/>
    </xf>
    <xf numFmtId="10" fontId="15" fillId="0" borderId="0" xfId="21" applyNumberFormat="1" applyFont="1" applyFill="1" applyBorder="1" applyAlignment="1">
      <alignment vertical="center"/>
    </xf>
    <xf numFmtId="3" fontId="15" fillId="0" borderId="0" xfId="19" quotePrefix="1" applyNumberFormat="1" applyFont="1" applyAlignment="1">
      <alignment vertical="center"/>
    </xf>
    <xf numFmtId="165" fontId="15" fillId="2" borderId="0" xfId="25" applyNumberFormat="1" applyFont="1" applyFill="1" applyBorder="1" applyAlignment="1">
      <alignment vertical="center"/>
    </xf>
    <xf numFmtId="165" fontId="27" fillId="2" borderId="0" xfId="25" applyNumberFormat="1" applyFont="1" applyFill="1" applyBorder="1" applyAlignment="1">
      <alignment vertical="center"/>
    </xf>
    <xf numFmtId="3" fontId="15" fillId="0" borderId="0" xfId="24" applyNumberFormat="1" applyFont="1" applyBorder="1" applyAlignment="1">
      <alignment horizontal="right" vertical="center"/>
    </xf>
    <xf numFmtId="3" fontId="15" fillId="0" borderId="0" xfId="24" applyNumberFormat="1" applyFont="1" applyBorder="1" applyAlignment="1">
      <alignment vertical="center"/>
    </xf>
    <xf numFmtId="4" fontId="15" fillId="0" borderId="0" xfId="24" applyNumberFormat="1" applyFont="1" applyBorder="1" applyAlignment="1">
      <alignment horizontal="right" vertical="center"/>
    </xf>
    <xf numFmtId="4" fontId="15" fillId="0" borderId="0" xfId="24" applyNumberFormat="1" applyFont="1" applyBorder="1" applyAlignment="1">
      <alignment vertical="center"/>
    </xf>
    <xf numFmtId="3" fontId="15" fillId="2" borderId="0" xfId="24" applyNumberFormat="1" applyFont="1" applyFill="1" applyBorder="1" applyAlignment="1">
      <alignment vertical="center"/>
    </xf>
    <xf numFmtId="3" fontId="27" fillId="2" borderId="0" xfId="24" applyNumberFormat="1" applyFont="1" applyFill="1" applyBorder="1" applyAlignment="1">
      <alignment vertical="center"/>
    </xf>
    <xf numFmtId="3" fontId="15" fillId="0" borderId="0" xfId="25" applyNumberFormat="1" applyFont="1" applyAlignment="1">
      <alignment vertical="center"/>
    </xf>
    <xf numFmtId="3" fontId="27" fillId="0" borderId="0" xfId="24" applyNumberFormat="1" applyFont="1" applyBorder="1" applyAlignment="1">
      <alignment vertical="center"/>
    </xf>
    <xf numFmtId="0" fontId="17" fillId="0" borderId="1" xfId="19" applyFont="1" applyBorder="1" applyAlignment="1">
      <alignment vertical="center"/>
    </xf>
    <xf numFmtId="3" fontId="15" fillId="2" borderId="0" xfId="19" applyNumberFormat="1" applyFont="1" applyFill="1" applyAlignment="1">
      <alignment vertical="center"/>
    </xf>
    <xf numFmtId="3" fontId="17" fillId="7" borderId="11" xfId="20" applyNumberFormat="1" applyFont="1" applyFill="1" applyBorder="1" applyAlignment="1">
      <alignment vertical="center"/>
    </xf>
    <xf numFmtId="0" fontId="0" fillId="2" borderId="0" xfId="0" applyFill="1">
      <alignment vertical="center"/>
    </xf>
    <xf numFmtId="1" fontId="0" fillId="2" borderId="0" xfId="0" applyNumberFormat="1" applyFill="1">
      <alignment vertical="center"/>
    </xf>
    <xf numFmtId="6" fontId="0" fillId="2" borderId="0" xfId="0" applyNumberFormat="1" applyFill="1">
      <alignment vertical="center"/>
    </xf>
    <xf numFmtId="8" fontId="0" fillId="2" borderId="0" xfId="0" applyNumberFormat="1" applyFill="1">
      <alignment vertical="center"/>
    </xf>
    <xf numFmtId="0" fontId="17" fillId="5" borderId="0" xfId="0" applyFont="1" applyFill="1">
      <alignment vertical="center"/>
    </xf>
    <xf numFmtId="9" fontId="0" fillId="6" borderId="0" xfId="0" applyNumberFormat="1" applyFill="1">
      <alignment vertical="center"/>
    </xf>
    <xf numFmtId="164" fontId="15" fillId="0" borderId="0" xfId="0" applyNumberFormat="1" applyFont="1">
      <alignment vertical="center"/>
    </xf>
    <xf numFmtId="0" fontId="30" fillId="0" borderId="0" xfId="40">
      <alignment vertical="center"/>
    </xf>
    <xf numFmtId="181" fontId="0" fillId="0" borderId="0" xfId="0" applyNumberFormat="1">
      <alignment vertical="center"/>
    </xf>
    <xf numFmtId="182" fontId="0" fillId="0" borderId="0" xfId="0" applyNumberFormat="1">
      <alignment vertical="center"/>
    </xf>
    <xf numFmtId="168" fontId="15" fillId="0" borderId="0" xfId="0" applyNumberFormat="1" applyFont="1">
      <alignment vertical="center"/>
    </xf>
    <xf numFmtId="10" fontId="15" fillId="6" borderId="0" xfId="21" applyNumberFormat="1" applyFont="1" applyFill="1" applyBorder="1" applyAlignment="1">
      <alignment horizontal="right" vertical="center"/>
    </xf>
    <xf numFmtId="9" fontId="15" fillId="0" borderId="0" xfId="19" applyNumberFormat="1" applyFont="1" applyAlignment="1">
      <alignment horizontal="right" vertical="center"/>
    </xf>
    <xf numFmtId="1" fontId="15" fillId="0" borderId="0" xfId="19" applyNumberFormat="1" applyFont="1" applyAlignment="1">
      <alignment horizontal="right" vertical="center"/>
    </xf>
    <xf numFmtId="168" fontId="0" fillId="5" borderId="0" xfId="0" applyNumberFormat="1" applyFill="1">
      <alignment vertical="center"/>
    </xf>
    <xf numFmtId="0" fontId="0" fillId="0" borderId="0" xfId="0" applyAlignment="1">
      <alignment horizontal="right" vertical="center"/>
    </xf>
    <xf numFmtId="168" fontId="0" fillId="2" borderId="0" xfId="0" applyNumberFormat="1" applyFill="1">
      <alignment vertical="center"/>
    </xf>
    <xf numFmtId="9" fontId="0" fillId="2" borderId="0" xfId="0" applyNumberFormat="1" applyFill="1">
      <alignment vertical="center"/>
    </xf>
    <xf numFmtId="164" fontId="0" fillId="0" borderId="0" xfId="0" applyNumberFormat="1" applyAlignment="1"/>
    <xf numFmtId="0" fontId="0" fillId="0" borderId="0" xfId="0" applyAlignment="1">
      <alignment vertical="center" wrapText="1"/>
    </xf>
    <xf numFmtId="0" fontId="32" fillId="0" borderId="0" xfId="0" applyFont="1">
      <alignment vertical="center"/>
    </xf>
    <xf numFmtId="168" fontId="15" fillId="6" borderId="0" xfId="19" applyNumberFormat="1" applyFont="1" applyFill="1" applyAlignment="1">
      <alignment horizontal="right" vertical="center"/>
    </xf>
    <xf numFmtId="168" fontId="15" fillId="6" borderId="0" xfId="21" applyNumberFormat="1" applyFont="1" applyFill="1" applyBorder="1" applyAlignment="1">
      <alignment vertical="center"/>
    </xf>
    <xf numFmtId="0" fontId="0" fillId="2" borderId="0" xfId="0" applyFill="1" applyAlignment="1">
      <alignment horizontal="right" vertical="center"/>
    </xf>
    <xf numFmtId="1" fontId="0" fillId="2" borderId="0" xfId="0" applyNumberFormat="1" applyFill="1" applyAlignment="1">
      <alignment horizontal="center" vertical="center"/>
    </xf>
    <xf numFmtId="14" fontId="0" fillId="0" borderId="0" xfId="0" applyNumberFormat="1">
      <alignment vertical="center"/>
    </xf>
    <xf numFmtId="183" fontId="0" fillId="2" borderId="0" xfId="2" applyNumberFormat="1" applyFont="1" applyFill="1" applyAlignment="1">
      <alignment vertical="center"/>
    </xf>
  </cellXfs>
  <cellStyles count="41">
    <cellStyle name="Comma" xfId="1" builtinId="3"/>
    <cellStyle name="Comma 2" xfId="7" xr:uid="{6CE6847E-17F6-4266-9735-CEEB2090570A}"/>
    <cellStyle name="Comma 2 2" xfId="28" xr:uid="{2449C09E-E98D-4B1E-85B4-6C24B7ABC3C8}"/>
    <cellStyle name="Comma 3" xfId="17" xr:uid="{65A8BFEA-72BA-422D-ABC4-FDFD3909297A}"/>
    <cellStyle name="Comma 6 2" xfId="25" xr:uid="{C530F9CE-6683-4ED2-845C-BDED41C67C04}"/>
    <cellStyle name="Comma 7" xfId="24" xr:uid="{67EBC1B0-7400-4062-8C94-0C140AC8F8E1}"/>
    <cellStyle name="Comma 8" xfId="20" xr:uid="{C3EEB720-585A-455B-B9FE-8377C81CC659}"/>
    <cellStyle name="Currency" xfId="2" builtinId="4"/>
    <cellStyle name="Currency 2" xfId="9" xr:uid="{7386CECB-613E-4776-A247-571B72533B12}"/>
    <cellStyle name="Currency 2 2" xfId="30" xr:uid="{11BE7744-8350-425E-AEEB-D56C5CBBC693}"/>
    <cellStyle name="Currency 3" xfId="22" xr:uid="{A61C98EF-B5A9-42FD-968A-A8408B5B3E8C}"/>
    <cellStyle name="Currency 4" xfId="33" xr:uid="{03C501D6-E773-4B8D-B645-1C90AA69F2B7}"/>
    <cellStyle name="Currency 4 2" xfId="26" xr:uid="{B37F1D5A-CBEB-4CE8-803D-059ADA70C044}"/>
    <cellStyle name="Currency 5" xfId="38" xr:uid="{6C38B9BB-A0A1-4C19-8663-64FEE1BDB4A0}"/>
    <cellStyle name="Hyperlink" xfId="40" builtinId="8"/>
    <cellStyle name="Hyperlink 2" xfId="36" xr:uid="{4917C2D0-FF1E-4EFB-89B7-55B4718C3A6B}"/>
    <cellStyle name="Normal" xfId="0" builtinId="0"/>
    <cellStyle name="Normal 13 2" xfId="19" xr:uid="{85675BBA-A1CE-43D1-B8E0-2B81276D438F}"/>
    <cellStyle name="Normal 2" xfId="4" xr:uid="{F6632B2B-FB50-4ED6-99E4-15DF9D96BA3A}"/>
    <cellStyle name="Normal 2 2" xfId="10" xr:uid="{DD7A73AE-7BC3-4363-BEB4-A669E30F7757}"/>
    <cellStyle name="Normal 2 3" xfId="32" xr:uid="{4D5E6147-E521-479E-B1F3-6A3DA40ABE48}"/>
    <cellStyle name="Normal 3" xfId="5" xr:uid="{81F1D3FF-8EAB-4794-BE5B-470AA0FD2729}"/>
    <cellStyle name="Normal 3 2" xfId="13" xr:uid="{00CDC774-4FE9-4C3C-86A6-8C3D35354656}"/>
    <cellStyle name="Normal 4" xfId="6" xr:uid="{3D76B246-6A42-447D-AA59-94D2C57352A6}"/>
    <cellStyle name="Normal 4 2" xfId="27" xr:uid="{0F8F4D3F-0CD7-4889-BF93-2DC411188CC3}"/>
    <cellStyle name="Normal 5" xfId="11" xr:uid="{302D8ACE-146D-4CE3-BFCA-5EF441A43E3E}"/>
    <cellStyle name="Normal 6" xfId="15" xr:uid="{D99F1438-903B-4C5E-9397-7F4E9C51F456}"/>
    <cellStyle name="Normal 7" xfId="16" xr:uid="{8E68163E-41F5-4D50-89C9-89B640FA0207}"/>
    <cellStyle name="Normal 7 2" xfId="39" xr:uid="{753A8217-132B-4A4C-855E-F6E18BB54B15}"/>
    <cellStyle name="Normal 8" xfId="31" xr:uid="{149EB4D3-61FF-4CFF-B056-44A7DCCDB52E}"/>
    <cellStyle name="Normal 9" xfId="35" xr:uid="{996E49BF-48A9-46F1-9122-3DCEEB3FF191}"/>
    <cellStyle name="Output 2" xfId="23" xr:uid="{B7E8B983-482D-496C-9CAF-1E75824582EC}"/>
    <cellStyle name="Percent" xfId="3" builtinId="5"/>
    <cellStyle name="Percent 2" xfId="8" xr:uid="{AB3C79AF-2153-446C-90EF-4E5DE7DE2A8C}"/>
    <cellStyle name="Percent 2 2" xfId="29" xr:uid="{10AFCF61-0CC3-47D4-83DA-A101EC18A81A}"/>
    <cellStyle name="Percent 3" xfId="18" xr:uid="{71C835A0-27F7-4DA3-9182-56C1FA40525B}"/>
    <cellStyle name="Percent 4" xfId="21" xr:uid="{26011241-02AA-42BD-9F2F-DF91F63BB091}"/>
    <cellStyle name="Percent 5" xfId="34" xr:uid="{CA314085-FBDA-407A-B6C2-FA1E9B845052}"/>
    <cellStyle name="Percent 6" xfId="37" xr:uid="{9B12AE2B-88A0-4003-B4C9-5FE5893D7C9C}"/>
    <cellStyle name="Source Text" xfId="14" xr:uid="{B2A1C614-0C40-41E1-B7F7-E073DF44B7D2}"/>
    <cellStyle name="Title-2" xfId="12" xr:uid="{14C68D84-2AA6-4FE2-9281-B83D106BC197}"/>
  </cellStyles>
  <dxfs count="0"/>
  <tableStyles count="0" defaultTableStyle="TableStyleMedium2" defaultPivotStyle="PivotStyleLight16"/>
  <colors>
    <mruColors>
      <color rgb="FFC5D9F1"/>
      <color rgb="FFFF3399"/>
      <color rgb="FFFCD5B4"/>
      <color rgb="FFE4DFEC"/>
      <color rgb="FFE4DFE2"/>
      <color rgb="FF006A5C"/>
      <color rgb="FF1901F6"/>
      <color rgb="FF0DA777"/>
      <color rgb="FF03EFC8"/>
      <color rgb="FF0290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haredStrings" Target="sharedString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4.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heetMetadata" Target="metadata.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plotSurface>
          <cx:spPr>
            <a:ln>
              <a:solidFill>
                <a:schemeClr val="tx1"/>
              </a:solidFill>
            </a:ln>
          </cx:spPr>
        </cx:plotSurface>
        <cx:series layoutId="waterfall" uniqueId="{2466B56E-ECAB-4F70-B6DA-740DD60B7AC3}">
          <cx:spPr>
            <a:solidFill>
              <a:schemeClr val="tx1">
                <a:lumMod val="50000"/>
                <a:lumOff val="50000"/>
              </a:schemeClr>
            </a:solidFill>
            <a:ln w="3175">
              <a:solidFill>
                <a:schemeClr val="tx1"/>
              </a:solidFill>
            </a:ln>
          </cx:spPr>
          <cx:dataPt idx="8">
            <cx:spPr>
              <a:solidFill>
                <a:sysClr val="windowText" lastClr="000000"/>
              </a:solidFill>
            </cx:spPr>
          </cx:dataPt>
          <cx:dataPt idx="18">
            <cx:spPr>
              <a:solidFill>
                <a:sysClr val="windowText" lastClr="000000"/>
              </a:solidFill>
            </cx:spPr>
          </cx:dataPt>
          <cx:dataPt idx="19">
            <cx:spPr>
              <a:solidFill>
                <a:sysClr val="windowText" lastClr="000000">
                  <a:lumMod val="50000"/>
                  <a:lumOff val="50000"/>
                </a:sysClr>
              </a:solidFill>
            </cx:spPr>
          </cx:dataPt>
          <cx:dataPt idx="20">
            <cx:spPr>
              <a:solidFill>
                <a:sysClr val="windowText" lastClr="000000"/>
              </a:solidFill>
            </cx:spPr>
          </cx:dataPt>
          <cx:dataLabels pos="outEnd">
            <cx:numFmt formatCode="$#,##0_);[Red]($#,##0)" sourceLinked="0"/>
            <cx:txPr>
              <a:bodyPr spcFirstLastPara="1" vertOverflow="ellipsis" horzOverflow="overflow" wrap="square" lIns="0" tIns="0" rIns="0" bIns="0" anchor="ctr" anchorCtr="1"/>
              <a:lstStyle/>
              <a:p>
                <a:pPr algn="ctr" rtl="0">
                  <a:defRPr sz="2000">
                    <a:solidFill>
                      <a:schemeClr val="tx1"/>
                    </a:solidFill>
                  </a:defRPr>
                </a:pPr>
                <a:endParaRPr lang="en-US" sz="2000" b="0" i="0" u="none" strike="noStrike" baseline="0">
                  <a:solidFill>
                    <a:schemeClr val="tx1"/>
                  </a:solidFill>
                  <a:latin typeface="Calibri" panose="020F0502020204030204"/>
                </a:endParaRPr>
              </a:p>
            </cx:txPr>
            <cx:visibility seriesName="0" categoryName="0" value="1"/>
            <cx:separator>, </cx:separator>
          </cx:dataLabels>
          <cx:dataId val="0"/>
          <cx:layoutPr>
            <cx:subtotals>
              <cx:idx val="8"/>
              <cx:idx val="18"/>
              <cx:idx val="20"/>
            </cx:subtotals>
          </cx:layoutPr>
        </cx:series>
      </cx:plotAreaRegion>
      <cx:axis id="0">
        <cx:catScaling gapWidth="0.5"/>
        <cx:tickLabels/>
        <cx:txPr>
          <a:bodyPr spcFirstLastPara="1" vertOverflow="ellipsis" horzOverflow="overflow" wrap="square" lIns="0" tIns="0" rIns="0" bIns="0" anchor="ctr" anchorCtr="1"/>
          <a:lstStyle/>
          <a:p>
            <a:pPr algn="ctr" rtl="0">
              <a:defRPr sz="1600">
                <a:solidFill>
                  <a:schemeClr val="tx1"/>
                </a:solidFill>
              </a:defRPr>
            </a:pPr>
            <a:endParaRPr lang="en-US" sz="1600" b="0" i="0" u="none" strike="noStrike" baseline="0">
              <a:solidFill>
                <a:schemeClr val="tx1"/>
              </a:solidFill>
              <a:latin typeface="Calibri" panose="020F0502020204030204"/>
            </a:endParaRPr>
          </a:p>
        </cx:txPr>
      </cx:axis>
      <cx:axis id="1">
        <cx:valScaling/>
        <cx:title>
          <cx:tx>
            <cx:rich>
              <a:bodyPr spcFirstLastPara="1" vertOverflow="ellipsis" horzOverflow="overflow" wrap="square" lIns="0" tIns="0" rIns="0" bIns="0" anchor="ctr" anchorCtr="1"/>
              <a:lstStyle/>
              <a:p>
                <a:pPr algn="ctr" rtl="0">
                  <a:defRPr sz="2800">
                    <a:solidFill>
                      <a:schemeClr val="tx1"/>
                    </a:solidFill>
                  </a:defRPr>
                </a:pPr>
                <a:r>
                  <a:rPr lang="en-US" sz="2800" b="0" i="0" u="none" strike="noStrike" baseline="0">
                    <a:solidFill>
                      <a:schemeClr val="tx1"/>
                    </a:solidFill>
                    <a:latin typeface="Calibri" panose="020F0502020204030204"/>
                  </a:rPr>
                  <a:t>Cost per net t-CO</a:t>
                </a:r>
                <a:r>
                  <a:rPr lang="en-US" sz="2800" b="0" i="0" u="none" strike="noStrike" baseline="-25000">
                    <a:solidFill>
                      <a:schemeClr val="tx1"/>
                    </a:solidFill>
                    <a:latin typeface="Calibri" panose="020F0502020204030204"/>
                  </a:rPr>
                  <a:t>2</a:t>
                </a:r>
              </a:p>
            </cx:rich>
          </cx:tx>
        </cx:title>
        <cx:majorGridlines/>
        <cx:tickLabels/>
        <cx:numFmt formatCode="$#,##0_);[Red]($#,##0)" sourceLinked="0"/>
        <cx:spPr>
          <a:ln>
            <a:solidFill>
              <a:schemeClr val="tx1"/>
            </a:solidFill>
          </a:ln>
        </cx:spPr>
        <cx:txPr>
          <a:bodyPr spcFirstLastPara="1" vertOverflow="ellipsis" horzOverflow="overflow" wrap="square" lIns="0" tIns="0" rIns="0" bIns="0" anchor="ctr" anchorCtr="1"/>
          <a:lstStyle/>
          <a:p>
            <a:pPr algn="ctr" rtl="0">
              <a:defRPr sz="2400">
                <a:solidFill>
                  <a:schemeClr val="tx1"/>
                </a:solidFill>
              </a:defRPr>
            </a:pPr>
            <a:endParaRPr lang="en-US" sz="2400" b="0" i="0" u="none" strike="noStrike" baseline="0">
              <a:solidFill>
                <a:schemeClr val="tx1"/>
              </a:solidFill>
              <a:latin typeface="Calibri" panose="020F0502020204030204"/>
            </a:endParaRPr>
          </a:p>
        </cx:txPr>
      </cx:axis>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11</xdr:col>
      <xdr:colOff>137584</xdr:colOff>
      <xdr:row>2</xdr:row>
      <xdr:rowOff>234531</xdr:rowOff>
    </xdr:from>
    <xdr:to>
      <xdr:col>22</xdr:col>
      <xdr:colOff>1377950</xdr:colOff>
      <xdr:row>38</xdr:row>
      <xdr:rowOff>79375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2E79D26E-D578-8787-5EFC-06189E3FA24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8425584" y="739356"/>
              <a:ext cx="11889316" cy="841734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JM_Files\Projects\FY%202013\d9999%20Saline%20EOR%20Transport%20Models\CO2%20Saline%20Storage%20Cost%20Model\aa%20Cur%20Ver\NETL_CO2_Sal_Stor_Cost_Mod_2013_04_02%20dj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MESA\SUBCLIN%20205\205.001\Sub%20Act%201%20Onshore%20Model\Onshore%20Model\Models\FE_NETL_CO2_Sal_Stor_Cost_Model_v3_final_2017_09_3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WINDOWS\TEMP\USFreight97-93.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MODIFIED%20-%20FECM%20NETL%20CO2%20Transport%20Cost%20Model%20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_ME_FIRST"/>
      <sheetName val="Project_Management"/>
      <sheetName val="ResSum1"/>
      <sheetName val="ResSum"/>
      <sheetName val="CTUSInp1"/>
      <sheetName val="CTUSInp"/>
      <sheetName val="Plume&amp;Well Schedule"/>
      <sheetName val="Geo-Activity Interaction"/>
      <sheetName val="Geol Sal"/>
      <sheetName val="Geol DB Sal"/>
      <sheetName val="FinMod"/>
      <sheetName val="Cost Breakdown"/>
      <sheetName val="Update Tracker"/>
      <sheetName val="Activity_Inputs"/>
      <sheetName val="Back-End_Cost Items"/>
      <sheetName val="Site Data1"/>
      <sheetName val="Site Data 2"/>
      <sheetName val="Example cost"/>
      <sheetName val="Drilling Costs"/>
      <sheetName val="Documentation"/>
    </sheetNames>
    <sheetDataSet>
      <sheetData sheetId="0"/>
      <sheetData sheetId="1"/>
      <sheetData sheetId="2"/>
      <sheetData sheetId="3"/>
      <sheetData sheetId="4"/>
      <sheetData sheetId="5"/>
      <sheetData sheetId="6"/>
      <sheetData sheetId="7">
        <row r="57">
          <cell r="E57">
            <v>14500</v>
          </cell>
          <cell r="F57" t="str">
            <v>ft</v>
          </cell>
        </row>
        <row r="58">
          <cell r="E58">
            <v>14275</v>
          </cell>
          <cell r="F58" t="str">
            <v>ft</v>
          </cell>
        </row>
        <row r="60">
          <cell r="E60">
            <v>14050</v>
          </cell>
          <cell r="F60" t="str">
            <v>ft</v>
          </cell>
        </row>
        <row r="61">
          <cell r="E61">
            <v>13850</v>
          </cell>
          <cell r="F61" t="str">
            <v>ft</v>
          </cell>
        </row>
        <row r="62">
          <cell r="E62">
            <v>500</v>
          </cell>
          <cell r="F62" t="str">
            <v xml:space="preserve">Feet </v>
          </cell>
        </row>
        <row r="63">
          <cell r="E63">
            <v>40</v>
          </cell>
          <cell r="F63" t="str">
            <v xml:space="preserve">Feet </v>
          </cell>
        </row>
        <row r="65">
          <cell r="E65">
            <v>14275</v>
          </cell>
          <cell r="F65" t="str">
            <v>ft</v>
          </cell>
        </row>
        <row r="66">
          <cell r="E66">
            <v>14275</v>
          </cell>
          <cell r="F66" t="str">
            <v>ft</v>
          </cell>
        </row>
      </sheetData>
      <sheetData sheetId="8"/>
      <sheetData sheetId="9"/>
      <sheetData sheetId="10"/>
      <sheetData sheetId="11"/>
      <sheetData sheetId="12"/>
      <sheetData sheetId="13">
        <row r="9">
          <cell r="E9">
            <v>128.67599999999999</v>
          </cell>
          <cell r="F9" t="str">
            <v>$/Hour</v>
          </cell>
        </row>
        <row r="10">
          <cell r="E10">
            <v>132.744</v>
          </cell>
          <cell r="F10" t="str">
            <v>$/Hour</v>
          </cell>
        </row>
        <row r="11">
          <cell r="E11">
            <v>90</v>
          </cell>
          <cell r="F11" t="str">
            <v>$/Hour</v>
          </cell>
        </row>
        <row r="12">
          <cell r="E12">
            <v>60</v>
          </cell>
          <cell r="F12" t="str">
            <v>$/Hour</v>
          </cell>
        </row>
      </sheetData>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_ME_FIRST"/>
      <sheetName val="Parameters"/>
      <sheetName val="Simulation"/>
      <sheetName val="Key_Inputs"/>
      <sheetName val="Fin_Resp_Inputs"/>
      <sheetName val="Summ_Output"/>
      <sheetName val="Cost Breakdown 1"/>
      <sheetName val="Res_Bas"/>
      <sheetName val="Res_Bas1"/>
      <sheetName val="Res_CatP1"/>
      <sheetName val="Res_CatV1"/>
      <sheetName val="Res_FRWat1"/>
      <sheetName val="Res_SUStg1"/>
      <sheetName val="Res_SUStg"/>
      <sheetName val="Res_FRWat"/>
      <sheetName val="Res_CatV"/>
      <sheetName val="Res_CatP"/>
      <sheetName val="Geol Sal"/>
      <sheetName val="Geol DB Sal"/>
      <sheetName val="Geol DB Sources"/>
      <sheetName val="Water"/>
      <sheetName val="FinMod_Main"/>
      <sheetName val="FinMod FR Details"/>
      <sheetName val="FR_Lookups"/>
      <sheetName val="Activity_Inputs"/>
      <sheetName val="Surf Eq Cost"/>
      <sheetName val="Back-End_Cost Items"/>
      <sheetName val="Plume&amp;Well Schedule"/>
      <sheetName val="Geo-Activity Interaction"/>
      <sheetName val="Drilling Costs"/>
      <sheetName val="Vers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98">
          <cell r="D98">
            <v>4.0669467941409814E-3</v>
          </cell>
        </row>
      </sheetData>
      <sheetData sheetId="18"/>
      <sheetData sheetId="19"/>
      <sheetData sheetId="20"/>
      <sheetData sheetId="21"/>
      <sheetData sheetId="22"/>
      <sheetData sheetId="23"/>
      <sheetData sheetId="24">
        <row r="9">
          <cell r="E9">
            <v>128.67599999999999</v>
          </cell>
        </row>
      </sheetData>
      <sheetData sheetId="25"/>
      <sheetData sheetId="26"/>
      <sheetData sheetId="27"/>
      <sheetData sheetId="28">
        <row r="31">
          <cell r="E31">
            <v>6750</v>
          </cell>
        </row>
      </sheetData>
      <sheetData sheetId="29"/>
      <sheetData sheetId="3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il shipments 93-97"/>
      <sheetName val="Waterborne Flows 93-97"/>
      <sheetName val="Air and vessel 93-97"/>
      <sheetName val="Figure 2 compare"/>
      <sheetName val="Factors Comparisons"/>
      <sheetName val="1997  Table 1a Modified"/>
      <sheetName val="Figure 1"/>
      <sheetName val="1993-97 Table 1  US Highlights"/>
      <sheetName val="93-97 US Freight Table 1"/>
      <sheetName val="93-97 US Freight Table 1 (b)"/>
      <sheetName val="93-97 Percents Tab 2&amp;3"/>
      <sheetName val="Integrated View 93-97"/>
      <sheetName val="Figure 3 modal shares"/>
      <sheetName val="1993-97 Percents"/>
      <sheetName val="BTS &amp; ORNL estimates"/>
      <sheetName val="Oil Pipeline (2)"/>
      <sheetName val="1997 Table 2"/>
      <sheetName val="Table 4 Distance"/>
      <sheetName val="Distance percent change"/>
      <sheetName val="Distance 93-97"/>
      <sheetName val="Distance Fig value per ton"/>
      <sheetName val="Distance Bar"/>
      <sheetName val="Table 5 Size 93-97"/>
      <sheetName val="Size percent change"/>
      <sheetName val="Size Fig value per ton"/>
      <sheetName val="Size Bar "/>
      <sheetName val="BTS Mode"/>
      <sheetName val="Ton-miles data"/>
      <sheetName val="Ton-miles figure"/>
      <sheetName val="table 3 commodities"/>
      <sheetName val="Commodities ranked by value"/>
      <sheetName val="Commod ranked by tons"/>
      <sheetName val="Commod ranked by ton-miles"/>
      <sheetName val="Commod ranked by miles per ton "/>
      <sheetName val="Commod ranked by val per t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 sheetId="22"/>
      <sheetData sheetId="23"/>
      <sheetData sheetId="24"/>
      <sheetData sheetId="25" refreshError="1"/>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_ME_FIRST"/>
      <sheetName val="Main"/>
      <sheetName val="Combo Results"/>
      <sheetName val="Eng Mod"/>
      <sheetName val="Cases"/>
      <sheetName val="Cases_def"/>
      <sheetName val="PL Pressure Relation"/>
      <sheetName val="Cost Indices"/>
      <sheetName val="Pipe Cap"/>
      <sheetName val="Pipe Cap plot"/>
      <sheetName val="Parameters"/>
      <sheetName val="Version"/>
    </sheetNames>
    <sheetDataSet>
      <sheetData sheetId="0"/>
      <sheetData sheetId="1"/>
      <sheetData sheetId="2"/>
      <sheetData sheetId="3">
        <row r="7">
          <cell r="D7">
            <v>53</v>
          </cell>
          <cell r="E7" t="str">
            <v>°F</v>
          </cell>
        </row>
        <row r="10">
          <cell r="D10">
            <v>62</v>
          </cell>
          <cell r="E10" t="str">
            <v>mi</v>
          </cell>
        </row>
        <row r="11">
          <cell r="D11">
            <v>2200</v>
          </cell>
          <cell r="E11" t="str">
            <v>psig</v>
          </cell>
        </row>
        <row r="12">
          <cell r="D12">
            <v>1200</v>
          </cell>
        </row>
        <row r="16">
          <cell r="D16">
            <v>1</v>
          </cell>
        </row>
        <row r="48">
          <cell r="G48">
            <v>11.999999999999998</v>
          </cell>
        </row>
        <row r="67">
          <cell r="D67">
            <v>1600.7392174208383</v>
          </cell>
        </row>
      </sheetData>
      <sheetData sheetId="4"/>
      <sheetData sheetId="5"/>
      <sheetData sheetId="6"/>
      <sheetData sheetId="7"/>
      <sheetData sheetId="8"/>
      <sheetData sheetId="9"/>
      <sheetData sheetId="10">
        <row r="6">
          <cell r="M6" t="str">
            <v>Elevation Delta (ft)</v>
          </cell>
        </row>
      </sheetData>
      <sheetData sheetId="1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netl.doe.gov/energy-analysis/details?id=57FDA460-FBBA-4504-AE0E-A0CA962ACE27" TargetMode="External"/><Relationship Id="rId3" Type="http://schemas.openxmlformats.org/officeDocument/2006/relationships/hyperlink" Target="https://www.nrel.gov/gis/solar-resource-maps.html" TargetMode="External"/><Relationship Id="rId7" Type="http://schemas.openxmlformats.org/officeDocument/2006/relationships/hyperlink" Target="https://www.wbdg.org/ffc/dod/unified-facilities-criteria-ufc/ufc-3-701-01" TargetMode="External"/><Relationship Id="rId12" Type="http://schemas.openxmlformats.org/officeDocument/2006/relationships/comments" Target="../comments1.xml"/><Relationship Id="rId2" Type="http://schemas.openxmlformats.org/officeDocument/2006/relationships/hyperlink" Target="https://www.ncei.noaa.gov/access/monitoring/climate-at-a-glance/statewide/time-series" TargetMode="External"/><Relationship Id="rId1" Type="http://schemas.openxmlformats.org/officeDocument/2006/relationships/hyperlink" Target="https://www.eia.gov/electricity/state/" TargetMode="External"/><Relationship Id="rId6" Type="http://schemas.openxmlformats.org/officeDocument/2006/relationships/hyperlink" Target="https://doi.org/10.1016/j.ijrefrig.2019.04.011" TargetMode="External"/><Relationship Id="rId11" Type="http://schemas.openxmlformats.org/officeDocument/2006/relationships/vmlDrawing" Target="../drawings/vmlDrawing1.vml"/><Relationship Id="rId5" Type="http://schemas.openxmlformats.org/officeDocument/2006/relationships/hyperlink" Target="https://pages.stern.nyu.edu/~adamodar/New_Home_Page/datafile/wacc.html" TargetMode="External"/><Relationship Id="rId10" Type="http://schemas.openxmlformats.org/officeDocument/2006/relationships/printerSettings" Target="../printerSettings/printerSettings1.bin"/><Relationship Id="rId4" Type="http://schemas.openxmlformats.org/officeDocument/2006/relationships/hyperlink" Target="https://beta.bls.gov/dataQuery/find?st=0&amp;r=100&amp;s=popularity%3AD&amp;more=0" TargetMode="External"/><Relationship Id="rId9" Type="http://schemas.openxmlformats.org/officeDocument/2006/relationships/hyperlink" Target="https://doi.org/10.1016/j.ijggc.2020.103190"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0F491-F6B0-48D4-9746-9437913A3389}">
  <dimension ref="B2:D3"/>
  <sheetViews>
    <sheetView zoomScale="85" zoomScaleNormal="85" workbookViewId="0">
      <pane ySplit="2" topLeftCell="A3" activePane="bottomLeft" state="frozen"/>
      <selection pane="bottomLeft" activeCell="B2" sqref="B2"/>
    </sheetView>
  </sheetViews>
  <sheetFormatPr defaultRowHeight="18.75"/>
  <cols>
    <col min="1" max="1" width="4.796875" customWidth="1"/>
    <col min="2" max="2" width="9.296875" bestFit="1" customWidth="1"/>
    <col min="3" max="3" width="12.296875" bestFit="1" customWidth="1"/>
  </cols>
  <sheetData>
    <row r="2" spans="2:4">
      <c r="B2" t="s">
        <v>1203</v>
      </c>
      <c r="C2" t="s">
        <v>1204</v>
      </c>
      <c r="D2" t="s">
        <v>1205</v>
      </c>
    </row>
    <row r="3" spans="2:4">
      <c r="B3" s="235">
        <v>45379</v>
      </c>
      <c r="C3" t="s">
        <v>1206</v>
      </c>
      <c r="D3" t="s">
        <v>1207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7088B-BDB5-4476-B020-F9ACD6195321}">
  <sheetPr codeName="Sheet2"/>
  <dimension ref="A1:A32"/>
  <sheetViews>
    <sheetView zoomScale="55" zoomScaleNormal="55" workbookViewId="0">
      <selection activeCell="A6" sqref="A6"/>
    </sheetView>
  </sheetViews>
  <sheetFormatPr defaultRowHeight="18.75"/>
  <cols>
    <col min="1" max="1" width="128.8984375" customWidth="1"/>
  </cols>
  <sheetData>
    <row r="1" spans="1:1" ht="21">
      <c r="A1" s="230" t="s">
        <v>1139</v>
      </c>
    </row>
    <row r="2" spans="1:1" ht="37.5">
      <c r="A2" s="229" t="s">
        <v>1131</v>
      </c>
    </row>
    <row r="4" spans="1:1" ht="21">
      <c r="A4" s="230" t="s">
        <v>1140</v>
      </c>
    </row>
    <row r="5" spans="1:1" ht="150">
      <c r="A5" s="229" t="s">
        <v>1202</v>
      </c>
    </row>
    <row r="6" spans="1:1">
      <c r="A6" s="229"/>
    </row>
    <row r="7" spans="1:1" ht="21">
      <c r="A7" s="230" t="s">
        <v>1141</v>
      </c>
    </row>
    <row r="8" spans="1:1">
      <c r="A8" t="s">
        <v>1132</v>
      </c>
    </row>
    <row r="9" spans="1:1">
      <c r="A9" t="s">
        <v>1133</v>
      </c>
    </row>
    <row r="11" spans="1:1" ht="21">
      <c r="A11" s="230" t="s">
        <v>1142</v>
      </c>
    </row>
    <row r="12" spans="1:1">
      <c r="A12" t="s">
        <v>1134</v>
      </c>
    </row>
    <row r="13" spans="1:1" ht="37.5">
      <c r="A13" s="229" t="s">
        <v>1135</v>
      </c>
    </row>
    <row r="15" spans="1:1" ht="21">
      <c r="A15" s="230" t="s">
        <v>1144</v>
      </c>
    </row>
    <row r="16" spans="1:1">
      <c r="A16" t="s">
        <v>1136</v>
      </c>
    </row>
    <row r="18" spans="1:1" ht="21">
      <c r="A18" s="230" t="s">
        <v>1143</v>
      </c>
    </row>
    <row r="19" spans="1:1">
      <c r="A19" t="s">
        <v>1137</v>
      </c>
    </row>
    <row r="21" spans="1:1" ht="21">
      <c r="A21" s="230" t="s">
        <v>1145</v>
      </c>
    </row>
    <row r="22" spans="1:1">
      <c r="A22" t="s">
        <v>1146</v>
      </c>
    </row>
    <row r="23" spans="1:1" ht="131.25">
      <c r="A23" s="229" t="s">
        <v>1147</v>
      </c>
    </row>
    <row r="25" spans="1:1" ht="21">
      <c r="A25" s="230" t="s">
        <v>1148</v>
      </c>
    </row>
    <row r="26" spans="1:1">
      <c r="A26" t="s">
        <v>1138</v>
      </c>
    </row>
    <row r="27" spans="1:1">
      <c r="A27" t="s">
        <v>1151</v>
      </c>
    </row>
    <row r="28" spans="1:1">
      <c r="A28" s="229" t="s">
        <v>1150</v>
      </c>
    </row>
    <row r="29" spans="1:1">
      <c r="A29" s="229" t="s">
        <v>1149</v>
      </c>
    </row>
    <row r="30" spans="1:1" ht="37.5">
      <c r="A30" s="229" t="s">
        <v>1152</v>
      </c>
    </row>
    <row r="31" spans="1:1" ht="37.5">
      <c r="A31" s="229" t="s">
        <v>1153</v>
      </c>
    </row>
    <row r="32" spans="1:1" ht="112.5">
      <c r="A32" s="229" t="s">
        <v>1154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91B54-62E5-4D7F-8BA0-5C1CE60481C0}">
  <sheetPr codeName="Sheet29"/>
  <dimension ref="A1:AC15024"/>
  <sheetViews>
    <sheetView tabSelected="1" zoomScale="85" zoomScaleNormal="85" workbookViewId="0">
      <selection activeCell="E6" sqref="E6"/>
    </sheetView>
  </sheetViews>
  <sheetFormatPr defaultRowHeight="18.75"/>
  <cols>
    <col min="1" max="1" width="32.796875" customWidth="1"/>
    <col min="2" max="2" width="19.3984375" bestFit="1" customWidth="1"/>
    <col min="3" max="3" width="15.09765625" bestFit="1" customWidth="1"/>
    <col min="4" max="4" width="34.3984375" bestFit="1" customWidth="1"/>
    <col min="5" max="5" width="10.296875" bestFit="1" customWidth="1"/>
    <col min="6" max="6" width="14.59765625" bestFit="1" customWidth="1"/>
    <col min="7" max="7" width="7.3984375" customWidth="1"/>
    <col min="8" max="8" width="25.296875" bestFit="1" customWidth="1"/>
    <col min="9" max="9" width="9" bestFit="1" customWidth="1"/>
    <col min="10" max="10" width="13.59765625" bestFit="1" customWidth="1"/>
    <col min="11" max="11" width="10.09765625" customWidth="1"/>
    <col min="12" max="12" width="12.69921875" bestFit="1" customWidth="1"/>
    <col min="13" max="13" width="10.09765625" bestFit="1" customWidth="1"/>
    <col min="14" max="14" width="7.59765625" bestFit="1" customWidth="1"/>
    <col min="15" max="15" width="7.5" bestFit="1" customWidth="1"/>
    <col min="16" max="16" width="9.296875" bestFit="1" customWidth="1"/>
    <col min="17" max="17" width="10.59765625" customWidth="1"/>
    <col min="18" max="18" width="9.8984375" customWidth="1"/>
    <col min="19" max="19" width="12.8984375" bestFit="1" customWidth="1"/>
    <col min="20" max="20" width="11.59765625" bestFit="1" customWidth="1"/>
    <col min="21" max="21" width="12.09765625" bestFit="1" customWidth="1"/>
    <col min="22" max="22" width="7.5" bestFit="1" customWidth="1"/>
    <col min="23" max="23" width="18.69921875" bestFit="1" customWidth="1"/>
    <col min="24" max="24" width="19.19921875" bestFit="1" customWidth="1"/>
    <col min="25" max="26" width="11.8984375" customWidth="1"/>
    <col min="27" max="27" width="8.59765625" bestFit="1" customWidth="1"/>
    <col min="28" max="28" width="9.09765625" bestFit="1" customWidth="1"/>
    <col min="29" max="29" width="6.59765625" customWidth="1"/>
  </cols>
  <sheetData>
    <row r="1" spans="1:10" ht="21">
      <c r="A1" s="230" t="s">
        <v>1156</v>
      </c>
    </row>
    <row r="3" spans="1:10">
      <c r="A3" s="214" t="s">
        <v>1040</v>
      </c>
      <c r="B3" s="38"/>
      <c r="D3" s="37" t="s">
        <v>1038</v>
      </c>
      <c r="E3" s="210"/>
      <c r="F3" s="210"/>
    </row>
    <row r="4" spans="1:10">
      <c r="A4" s="38" t="s">
        <v>104</v>
      </c>
      <c r="B4" s="38">
        <v>300</v>
      </c>
      <c r="D4" s="211" t="str">
        <f>Calculations!A1187</f>
        <v>Net CO2 Transport Efficiency</v>
      </c>
      <c r="E4" s="226">
        <f>Calculations!B1187</f>
        <v>0.9378603042111735</v>
      </c>
      <c r="F4" s="210"/>
    </row>
    <row r="5" spans="1:10">
      <c r="A5" s="38" t="s">
        <v>48</v>
      </c>
      <c r="B5" s="38">
        <v>300</v>
      </c>
      <c r="D5" s="210"/>
      <c r="E5" s="210" t="s">
        <v>1106</v>
      </c>
      <c r="F5" s="210" t="s">
        <v>1107</v>
      </c>
    </row>
    <row r="6" spans="1:10">
      <c r="A6" s="38" t="s">
        <v>381</v>
      </c>
      <c r="B6" s="40" t="s">
        <v>360</v>
      </c>
      <c r="C6" s="3"/>
      <c r="D6" s="210" t="s">
        <v>45</v>
      </c>
      <c r="E6" s="212">
        <f>Price</f>
        <v>124.72852413652745</v>
      </c>
      <c r="F6" s="236">
        <f>E6*$E$4</f>
        <v>116.97793159049434</v>
      </c>
    </row>
    <row r="7" spans="1:10">
      <c r="A7" s="38" t="s">
        <v>75</v>
      </c>
      <c r="B7" s="40" t="s">
        <v>248</v>
      </c>
      <c r="D7" s="210" t="s">
        <v>6</v>
      </c>
      <c r="E7" s="212">
        <f>Calculations!B1190</f>
        <v>11.436288475721968</v>
      </c>
      <c r="F7" s="236">
        <f t="shared" ref="F7:F9" si="0">E7*$E$4</f>
        <v>10.725640988887342</v>
      </c>
    </row>
    <row r="8" spans="1:10">
      <c r="A8" s="38" t="s">
        <v>365</v>
      </c>
      <c r="B8" s="40" t="s">
        <v>47</v>
      </c>
      <c r="D8" s="210" t="s">
        <v>106</v>
      </c>
      <c r="E8" s="212">
        <f>Calculations!B1192</f>
        <v>82.792966785995773</v>
      </c>
      <c r="F8" s="236">
        <f t="shared" si="0"/>
        <v>77.648237016459575</v>
      </c>
    </row>
    <row r="9" spans="1:10">
      <c r="A9" s="38" t="s">
        <v>368</v>
      </c>
      <c r="B9" s="40" t="s">
        <v>240</v>
      </c>
      <c r="D9" s="210" t="s">
        <v>107</v>
      </c>
      <c r="E9" s="212">
        <f>FINEX!C7</f>
        <v>30.499268874809715</v>
      </c>
      <c r="F9" s="236">
        <f t="shared" si="0"/>
        <v>28.604053585147415</v>
      </c>
    </row>
    <row r="10" spans="1:10">
      <c r="A10" s="38" t="s">
        <v>1047</v>
      </c>
      <c r="B10" s="38" t="s">
        <v>37</v>
      </c>
    </row>
    <row r="11" spans="1:10">
      <c r="A11" s="38" t="s">
        <v>1050</v>
      </c>
      <c r="B11" s="53" t="s">
        <v>37</v>
      </c>
      <c r="D11" s="47" t="s">
        <v>1039</v>
      </c>
      <c r="E11" s="212" t="s">
        <v>1108</v>
      </c>
      <c r="F11" s="210" t="s">
        <v>1109</v>
      </c>
      <c r="H11" s="73" t="s">
        <v>1157</v>
      </c>
      <c r="I11" s="210" t="s">
        <v>1114</v>
      </c>
      <c r="J11" s="210" t="s">
        <v>1115</v>
      </c>
    </row>
    <row r="12" spans="1:10">
      <c r="A12" s="38" t="s">
        <v>1045</v>
      </c>
      <c r="B12" s="40" t="s">
        <v>445</v>
      </c>
      <c r="D12" s="210" t="s">
        <v>1041</v>
      </c>
      <c r="E12" s="211">
        <f>Calculations!B1188</f>
        <v>8440742.7379005607</v>
      </c>
      <c r="F12" s="210">
        <f>Calculations!B10</f>
        <v>9000000</v>
      </c>
      <c r="H12" s="213" t="s">
        <v>172</v>
      </c>
      <c r="I12" s="226">
        <f>J12/(Calculations!$B$4*1000)</f>
        <v>1.4004427062843376E-2</v>
      </c>
      <c r="J12" s="211">
        <f>Calculations!B1140+Calculations!B1149</f>
        <v>4201.3281188530127</v>
      </c>
    </row>
    <row r="13" spans="1:10">
      <c r="A13" s="38" t="s">
        <v>380</v>
      </c>
      <c r="B13" s="40" t="s">
        <v>382</v>
      </c>
      <c r="D13" s="210" t="str">
        <f>Calculations!A1155</f>
        <v>Liquefaction equipment</v>
      </c>
      <c r="E13" s="213">
        <f>Calculations!B1155/$E$12</f>
        <v>1.9583235220253243</v>
      </c>
      <c r="F13" s="213">
        <f>E13*$E$4</f>
        <v>1.8366338941105673</v>
      </c>
      <c r="H13" s="227" t="s">
        <v>14</v>
      </c>
      <c r="I13" s="226">
        <f>J13/(Calculations!$B$4*1000)</f>
        <v>4.6919055732710845E-2</v>
      </c>
      <c r="J13" s="211">
        <f>Calculations!B1145</f>
        <v>14075.716719813254</v>
      </c>
    </row>
    <row r="14" spans="1:10">
      <c r="A14" s="38" t="s">
        <v>1116</v>
      </c>
      <c r="B14" s="40" t="s">
        <v>384</v>
      </c>
      <c r="D14" s="210" t="str">
        <f>Calculations!A1156</f>
        <v>Buffer Storage (upstream)</v>
      </c>
      <c r="E14" s="213">
        <f>Calculations!B1156/$E$12</f>
        <v>1.2493565337701475</v>
      </c>
      <c r="F14" s="213">
        <f t="shared" ref="F14:F32" si="1">E14*$E$4</f>
        <v>1.1717218988298879</v>
      </c>
      <c r="H14" s="210" t="s">
        <v>1112</v>
      </c>
      <c r="I14" s="226">
        <f>J14/(Calculations!$B$4*1000)</f>
        <v>1.2162129932723894E-3</v>
      </c>
      <c r="J14" s="211">
        <f>SUM(Calculations!B1141:B1144,Calculations!B1146,Calculations!B1148)</f>
        <v>364.86389798171683</v>
      </c>
    </row>
    <row r="15" spans="1:10">
      <c r="A15" s="38" t="s">
        <v>1198</v>
      </c>
      <c r="B15" s="40">
        <v>2045</v>
      </c>
      <c r="D15" s="210" t="str">
        <f>Calculations!A1157</f>
        <v>Trucks</v>
      </c>
      <c r="E15" s="213">
        <f>Calculations!B1157/$E$12</f>
        <v>5.047206322164997</v>
      </c>
      <c r="F15" s="213">
        <f t="shared" si="1"/>
        <v>4.7335744567222227</v>
      </c>
      <c r="H15" s="213" t="s">
        <v>1111</v>
      </c>
      <c r="I15" s="226">
        <f>J15/(Calculations!$B$4*1000)</f>
        <v>0</v>
      </c>
      <c r="J15" s="211">
        <f>Calculations!B1147</f>
        <v>0</v>
      </c>
    </row>
    <row r="16" spans="1:10">
      <c r="A16" s="38" t="s">
        <v>1199</v>
      </c>
      <c r="B16" s="38" t="s">
        <v>1104</v>
      </c>
      <c r="D16" s="210" t="str">
        <f>Calculations!A1158</f>
        <v>Flatbed Trailers</v>
      </c>
      <c r="E16" s="213">
        <f>Calculations!B1158/$E$12</f>
        <v>0</v>
      </c>
      <c r="F16" s="213">
        <f t="shared" si="1"/>
        <v>0</v>
      </c>
      <c r="H16" s="210" t="s">
        <v>45</v>
      </c>
      <c r="I16" s="226">
        <f>J16/(Calculations!$B$4*1000)</f>
        <v>6.213969578882661E-2</v>
      </c>
      <c r="J16" s="211">
        <f>SUM(J12:J15)</f>
        <v>18641.908736647983</v>
      </c>
    </row>
    <row r="17" spans="1:29">
      <c r="A17" s="38" t="s">
        <v>886</v>
      </c>
      <c r="B17" s="40" t="s">
        <v>889</v>
      </c>
      <c r="D17" s="210" t="str">
        <f>Calculations!A1159</f>
        <v>LCO2 Containers</v>
      </c>
      <c r="E17" s="213">
        <f>Calculations!B1159/$E$12</f>
        <v>0.96137731659125925</v>
      </c>
      <c r="F17" s="213">
        <f t="shared" si="1"/>
        <v>0.90163762260000002</v>
      </c>
      <c r="H17" s="213" t="s">
        <v>1113</v>
      </c>
      <c r="I17" s="226">
        <f>Calculations!B1187</f>
        <v>0.9378603042111735</v>
      </c>
      <c r="J17" s="227"/>
    </row>
    <row r="18" spans="1:29">
      <c r="A18" s="38" t="s">
        <v>1200</v>
      </c>
      <c r="B18" s="39">
        <v>0.1</v>
      </c>
      <c r="D18" s="210" t="str">
        <f>Calculations!A1160</f>
        <v>Intermediate storage</v>
      </c>
      <c r="E18" s="213">
        <f>Calculations!B1160/$E$12</f>
        <v>0.47833488715003303</v>
      </c>
      <c r="F18" s="213">
        <f t="shared" si="1"/>
        <v>0.44861130277734734</v>
      </c>
    </row>
    <row r="19" spans="1:29">
      <c r="A19" s="38" t="s">
        <v>1055</v>
      </c>
      <c r="B19" s="53">
        <v>0</v>
      </c>
      <c r="D19" s="210" t="str">
        <f>Calculations!A1161</f>
        <v>Buffer Storage (downstream)</v>
      </c>
      <c r="E19" s="213">
        <f>Calculations!B1161/$E$12</f>
        <v>1.1896142268333199</v>
      </c>
      <c r="F19" s="213">
        <f t="shared" si="1"/>
        <v>1.1156919606718374</v>
      </c>
      <c r="H19" s="73" t="s">
        <v>1188</v>
      </c>
      <c r="I19" s="210"/>
      <c r="J19" s="210"/>
    </row>
    <row r="20" spans="1:29">
      <c r="A20" s="38" t="s">
        <v>545</v>
      </c>
      <c r="B20" s="53">
        <v>15</v>
      </c>
      <c r="D20" s="210" t="str">
        <f>Calculations!A1162</f>
        <v>Reconditioning equipment</v>
      </c>
      <c r="E20" s="213">
        <f>Calculations!B1162/$E$12</f>
        <v>0.55207566718688739</v>
      </c>
      <c r="F20" s="213">
        <f t="shared" si="1"/>
        <v>0.51776985317548074</v>
      </c>
      <c r="H20" s="233" t="s">
        <v>1193</v>
      </c>
      <c r="I20" s="234">
        <f>IF($B$8=Options!$E$4,"NA",IF($B$9=Options!$F$4,(Calculations!$A$65*Calculations!$A$64*Calculations!$A$63)/Calculations!B630,(Calculations!$A$65*Calculations!$A$64*Calculations!$A$63)/Calculations!B593))</f>
        <v>39.843034657304102</v>
      </c>
      <c r="J20" s="210" t="s">
        <v>1191</v>
      </c>
    </row>
    <row r="21" spans="1:29">
      <c r="A21" s="38" t="s">
        <v>370</v>
      </c>
      <c r="B21" s="38">
        <v>30</v>
      </c>
      <c r="D21" s="210" t="str">
        <f>D7</f>
        <v>CAPEX</v>
      </c>
      <c r="E21" s="213">
        <f>SUM(E13:E20)</f>
        <v>11.43628847572197</v>
      </c>
      <c r="F21" s="213">
        <f>SUM(F13:F20)</f>
        <v>10.725640988887344</v>
      </c>
      <c r="H21" s="233" t="s">
        <v>1195</v>
      </c>
      <c r="I21" s="234">
        <f>IF($B$8=Options!$E$4,"NA",(Calculations!$A$64*Calculations!$A$63)/I20)</f>
        <v>36.141825350043121</v>
      </c>
      <c r="J21" s="210" t="s">
        <v>1196</v>
      </c>
    </row>
    <row r="22" spans="1:29">
      <c r="A22" s="38" t="s">
        <v>369</v>
      </c>
      <c r="B22" s="38">
        <v>1</v>
      </c>
      <c r="D22" s="210" t="str">
        <f>Calculations!A1174</f>
        <v>Electricity</v>
      </c>
      <c r="E22" s="213">
        <f>(Calculations!B1174*$B$21)/$E$12</f>
        <v>21.561745077088588</v>
      </c>
      <c r="F22" s="213">
        <f t="shared" si="1"/>
        <v>20.221904797322075</v>
      </c>
      <c r="H22" s="233" t="s">
        <v>1194</v>
      </c>
      <c r="I22" s="234" t="str">
        <f>IF($B$8=Options!$E$4,IF($B$9=Options!$F$4,Calculations!B722/2,Calculations!B688/2),"NA")</f>
        <v>NA</v>
      </c>
      <c r="J22" s="210" t="s">
        <v>1192</v>
      </c>
    </row>
    <row r="23" spans="1:29">
      <c r="A23" s="38" t="s">
        <v>1201</v>
      </c>
      <c r="B23" s="38">
        <v>2024</v>
      </c>
      <c r="D23" s="210" t="str">
        <f>Calculations!A1175</f>
        <v>Fuel</v>
      </c>
      <c r="E23" s="213">
        <f>(Calculations!B1175*$B$21)/$E$12</f>
        <v>16.049276692912564</v>
      </c>
      <c r="F23" s="213">
        <f t="shared" si="1"/>
        <v>15.051979521584274</v>
      </c>
      <c r="H23" s="233" t="s">
        <v>1189</v>
      </c>
      <c r="I23" s="234" t="str">
        <f>IF($B$8=Options!$E$4,IF($B$9=Options!$F$4,Calculations!B727,Calculations!B692),"NA")</f>
        <v>NA</v>
      </c>
      <c r="J23" s="210" t="s">
        <v>1190</v>
      </c>
    </row>
    <row r="24" spans="1:29">
      <c r="A24" s="38" t="s">
        <v>1073</v>
      </c>
      <c r="B24" s="38" t="s">
        <v>192</v>
      </c>
      <c r="D24" s="210" t="str">
        <f>Calculations!A1176</f>
        <v>Makeup Water</v>
      </c>
      <c r="E24" s="213">
        <f>(Calculations!B1176*$B$21)/$E$12</f>
        <v>0.14149504159615137</v>
      </c>
      <c r="F24" s="213">
        <f t="shared" si="1"/>
        <v>0.13270258275573918</v>
      </c>
      <c r="I24" s="3"/>
      <c r="K24" s="11"/>
      <c r="L24" s="36"/>
      <c r="M24" s="11"/>
      <c r="N24" s="11"/>
      <c r="O24" s="11"/>
      <c r="P24" s="11"/>
      <c r="Q24" s="11"/>
      <c r="R24" s="11"/>
      <c r="S24" s="11"/>
      <c r="T24" s="11"/>
      <c r="U24" s="11"/>
      <c r="V24" s="11"/>
      <c r="W24" s="11"/>
      <c r="X24" s="11"/>
      <c r="Y24" s="11"/>
      <c r="Z24" s="11"/>
      <c r="AA24" s="11"/>
      <c r="AB24" s="11"/>
      <c r="AC24" s="11"/>
    </row>
    <row r="25" spans="1:29">
      <c r="A25" s="38" t="s">
        <v>179</v>
      </c>
      <c r="B25" s="42">
        <v>9.8199999999999996E-2</v>
      </c>
      <c r="D25" s="210" t="str">
        <f>Calculations!A1177</f>
        <v>Base rate</v>
      </c>
      <c r="E25" s="213">
        <f>(Calculations!B1177*$B$21)/$E$12</f>
        <v>0</v>
      </c>
      <c r="F25" s="213">
        <f t="shared" si="1"/>
        <v>0</v>
      </c>
      <c r="I25" s="3"/>
      <c r="K25" s="24"/>
      <c r="L25" s="24"/>
      <c r="M25" s="24"/>
      <c r="N25" s="24"/>
      <c r="O25" s="24"/>
      <c r="P25" s="24"/>
      <c r="Q25" s="24"/>
      <c r="R25" s="24"/>
      <c r="S25" s="24"/>
      <c r="T25" s="24"/>
      <c r="U25" s="24"/>
      <c r="V25" s="24"/>
      <c r="W25" s="24"/>
      <c r="X25" s="24"/>
      <c r="Y25" s="24"/>
      <c r="Z25" s="24"/>
      <c r="AA25" s="24"/>
      <c r="AB25" s="26"/>
      <c r="AC25" s="16"/>
    </row>
    <row r="26" spans="1:29">
      <c r="A26" s="38" t="s">
        <v>374</v>
      </c>
      <c r="B26" s="38">
        <v>10</v>
      </c>
      <c r="D26" s="210" t="str">
        <f>Calculations!A1178</f>
        <v>Fuel surcharge</v>
      </c>
      <c r="E26" s="213">
        <f>(Calculations!B1178*$B$21)/$E$12</f>
        <v>0</v>
      </c>
      <c r="F26" s="213">
        <f t="shared" si="1"/>
        <v>0</v>
      </c>
      <c r="G26" s="18"/>
      <c r="I26" s="3"/>
      <c r="K26" s="25"/>
      <c r="L26" s="25"/>
      <c r="M26" s="25"/>
      <c r="N26" s="23"/>
      <c r="O26" s="23"/>
      <c r="P26" s="23"/>
      <c r="Q26" s="23"/>
      <c r="R26" s="23"/>
      <c r="S26" s="23"/>
      <c r="T26" s="23"/>
      <c r="U26" s="23"/>
      <c r="V26" s="23"/>
      <c r="W26" s="23"/>
      <c r="X26" s="23"/>
      <c r="Y26" s="23"/>
      <c r="Z26" s="23"/>
      <c r="AA26" s="23"/>
      <c r="AB26" s="23"/>
      <c r="AC26" s="16"/>
    </row>
    <row r="27" spans="1:29">
      <c r="A27" s="38" t="s">
        <v>1070</v>
      </c>
      <c r="B27" s="39">
        <v>0.45</v>
      </c>
      <c r="D27" s="210" t="str">
        <f>Calculations!A1179</f>
        <v>Maintenance</v>
      </c>
      <c r="E27" s="213">
        <f>(Calculations!B1179*$B$21)/$E$12</f>
        <v>12.480633304411423</v>
      </c>
      <c r="F27" s="213">
        <f t="shared" si="1"/>
        <v>11.705090547623401</v>
      </c>
      <c r="I27" s="3"/>
      <c r="J27" s="3"/>
      <c r="K27" s="25"/>
      <c r="L27" s="25"/>
      <c r="M27" s="25"/>
      <c r="N27" s="23"/>
      <c r="O27" s="23"/>
      <c r="P27" s="23"/>
      <c r="Q27" s="23"/>
      <c r="R27" s="23"/>
      <c r="S27" s="23"/>
      <c r="T27" s="23"/>
      <c r="U27" s="23"/>
      <c r="V27" s="23"/>
      <c r="W27" s="23"/>
      <c r="X27" s="23"/>
      <c r="Y27" s="23"/>
      <c r="Z27" s="23"/>
      <c r="AA27" s="23"/>
      <c r="AB27" s="23"/>
      <c r="AC27" s="16"/>
    </row>
    <row r="28" spans="1:29">
      <c r="A28" s="38" t="s">
        <v>1071</v>
      </c>
      <c r="B28" s="42">
        <v>0.1077</v>
      </c>
      <c r="D28" s="210" t="str">
        <f>Calculations!A1180</f>
        <v>Insurance, Permits, Fees</v>
      </c>
      <c r="E28" s="213">
        <f>(Calculations!B1180*$B$21)/$E$12</f>
        <v>4.9435267288966935</v>
      </c>
      <c r="F28" s="213">
        <f t="shared" si="1"/>
        <v>4.6363374818391208</v>
      </c>
      <c r="I28" s="3"/>
      <c r="K28" s="25"/>
      <c r="L28" s="25"/>
      <c r="M28" s="25"/>
      <c r="N28" s="23"/>
      <c r="O28" s="23"/>
      <c r="P28" s="23"/>
      <c r="Q28" s="23"/>
      <c r="R28" s="23"/>
      <c r="S28" s="23"/>
      <c r="T28" s="23"/>
      <c r="U28" s="23"/>
      <c r="V28" s="23"/>
      <c r="W28" s="23"/>
      <c r="X28" s="23"/>
      <c r="Y28" s="23"/>
      <c r="Z28" s="23"/>
      <c r="AA28" s="23"/>
      <c r="AB28" s="23"/>
      <c r="AC28" s="16"/>
    </row>
    <row r="29" spans="1:29">
      <c r="A29" s="38" t="s">
        <v>1072</v>
      </c>
      <c r="B29" s="42">
        <v>3.9100000000000003E-2</v>
      </c>
      <c r="C29" s="6"/>
      <c r="D29" s="210" t="str">
        <f>Calculations!A1181</f>
        <v>Labor</v>
      </c>
      <c r="E29" s="213">
        <f>(Calculations!B1181*$B$21)/$E$12</f>
        <v>28.355643867407416</v>
      </c>
      <c r="F29" s="213">
        <f t="shared" si="1"/>
        <v>26.593632783590415</v>
      </c>
      <c r="I29" s="3"/>
      <c r="K29" s="25"/>
      <c r="L29" s="25"/>
      <c r="M29" s="25"/>
      <c r="N29" s="23"/>
      <c r="O29" s="23"/>
      <c r="P29" s="23"/>
      <c r="Q29" s="23"/>
      <c r="R29" s="23"/>
      <c r="S29" s="23"/>
      <c r="T29" s="23"/>
      <c r="U29" s="23"/>
      <c r="V29" s="23"/>
      <c r="W29" s="23"/>
      <c r="X29" s="23"/>
      <c r="Y29" s="23"/>
      <c r="Z29" s="23"/>
      <c r="AA29" s="23"/>
      <c r="AB29" s="23"/>
      <c r="AC29" s="16"/>
    </row>
    <row r="30" spans="1:29">
      <c r="A30" s="38" t="s">
        <v>126</v>
      </c>
      <c r="B30" s="224">
        <v>0.11196650454679086</v>
      </c>
      <c r="C30" s="6"/>
      <c r="D30" s="210" t="str">
        <f>Calculations!A1182</f>
        <v>End of life</v>
      </c>
      <c r="E30" s="213">
        <f>(Calculations!B1182)/$E$12</f>
        <v>-0.73935392631705632</v>
      </c>
      <c r="F30" s="213">
        <f t="shared" si="1"/>
        <v>-0.69341069825543999</v>
      </c>
      <c r="I30" s="3"/>
      <c r="K30" s="25"/>
      <c r="L30" s="25"/>
      <c r="M30" s="25"/>
      <c r="N30" s="23"/>
      <c r="O30" s="23"/>
      <c r="P30" s="23"/>
      <c r="Q30" s="23"/>
      <c r="R30" s="23"/>
      <c r="S30" s="23"/>
      <c r="T30" s="23"/>
      <c r="U30" s="23"/>
      <c r="V30" s="23"/>
      <c r="W30" s="23"/>
      <c r="X30" s="23"/>
      <c r="Y30" s="23"/>
      <c r="Z30" s="23"/>
      <c r="AA30" s="23"/>
      <c r="AB30" s="23"/>
      <c r="AC30" s="16"/>
    </row>
    <row r="31" spans="1:29">
      <c r="A31" s="3"/>
      <c r="B31" s="15"/>
      <c r="C31" s="6"/>
      <c r="D31" s="210" t="s">
        <v>1037</v>
      </c>
      <c r="E31" s="213">
        <f>SUM(E21:E30)</f>
        <v>94.229255261717753</v>
      </c>
      <c r="F31" s="213">
        <f>SUM(F21:F30)</f>
        <v>88.373878005346938</v>
      </c>
      <c r="I31" s="3"/>
      <c r="K31" s="25"/>
      <c r="L31" s="25"/>
      <c r="M31" s="25"/>
      <c r="N31" s="23"/>
      <c r="O31" s="23"/>
      <c r="P31" s="23"/>
      <c r="Q31" s="23"/>
      <c r="R31" s="23"/>
      <c r="S31" s="23"/>
      <c r="T31" s="23"/>
      <c r="U31" s="23"/>
      <c r="V31" s="23"/>
      <c r="W31" s="23"/>
      <c r="X31" s="23"/>
      <c r="Y31" s="23"/>
      <c r="Z31" s="23"/>
      <c r="AA31" s="23"/>
      <c r="AB31" s="23"/>
      <c r="AC31" s="16"/>
    </row>
    <row r="32" spans="1:29">
      <c r="A32" s="3"/>
      <c r="B32" s="15"/>
      <c r="C32" s="6"/>
      <c r="D32" s="213" t="str">
        <f>D9</f>
        <v>FINEX</v>
      </c>
      <c r="E32" s="213">
        <f>E9</f>
        <v>30.499268874809715</v>
      </c>
      <c r="F32" s="213">
        <f t="shared" si="1"/>
        <v>28.604053585147415</v>
      </c>
      <c r="I32" s="3"/>
      <c r="K32" s="25"/>
      <c r="L32" s="25"/>
      <c r="M32" s="25"/>
      <c r="N32" s="23"/>
      <c r="O32" s="23"/>
      <c r="P32" s="23"/>
      <c r="Q32" s="23"/>
      <c r="R32" s="23"/>
      <c r="S32" s="23"/>
      <c r="T32" s="23"/>
      <c r="U32" s="23"/>
      <c r="V32" s="23"/>
      <c r="W32" s="23"/>
      <c r="X32" s="23"/>
      <c r="Y32" s="23"/>
      <c r="Z32" s="23"/>
      <c r="AA32" s="23"/>
      <c r="AB32" s="23"/>
      <c r="AC32" s="16"/>
    </row>
    <row r="33" spans="1:29">
      <c r="A33" s="3"/>
      <c r="B33" s="15"/>
      <c r="C33" s="6"/>
      <c r="D33" s="213" t="str">
        <f>D6</f>
        <v>Total</v>
      </c>
      <c r="E33" s="213">
        <f>SUM(E31:E32)</f>
        <v>124.72852413652747</v>
      </c>
      <c r="F33" s="213">
        <f>SUM(F31:F32)</f>
        <v>116.97793159049435</v>
      </c>
      <c r="I33" s="3"/>
      <c r="K33" s="25"/>
      <c r="L33" s="25"/>
      <c r="M33" s="25"/>
      <c r="N33" s="23"/>
      <c r="O33" s="23"/>
      <c r="P33" s="23"/>
      <c r="Q33" s="23"/>
      <c r="R33" s="23"/>
      <c r="S33" s="23"/>
      <c r="T33" s="23"/>
      <c r="U33" s="23"/>
      <c r="V33" s="23"/>
      <c r="W33" s="23"/>
      <c r="X33" s="23"/>
      <c r="Y33" s="23"/>
      <c r="Z33" s="23"/>
      <c r="AA33" s="23"/>
      <c r="AB33" s="23"/>
      <c r="AC33" s="16"/>
    </row>
    <row r="34" spans="1:29">
      <c r="A34" s="3"/>
      <c r="B34" s="15"/>
      <c r="C34" s="6"/>
      <c r="D34" s="210" t="s">
        <v>179</v>
      </c>
      <c r="E34" s="226">
        <f>Target</f>
        <v>9.8000000000000004E-2</v>
      </c>
      <c r="F34" s="210"/>
      <c r="I34" s="3"/>
      <c r="K34" s="25"/>
      <c r="L34" s="25"/>
      <c r="M34" s="25"/>
      <c r="N34" s="23"/>
      <c r="O34" s="23"/>
      <c r="P34" s="23"/>
      <c r="Q34" s="23"/>
      <c r="R34" s="23"/>
      <c r="S34" s="23"/>
      <c r="T34" s="23"/>
      <c r="U34" s="23"/>
      <c r="V34" s="23"/>
      <c r="W34" s="23"/>
      <c r="X34" s="23"/>
      <c r="Y34" s="23"/>
      <c r="Z34" s="23"/>
      <c r="AA34" s="23"/>
      <c r="AB34" s="23"/>
      <c r="AC34" s="16"/>
    </row>
    <row r="35" spans="1:29">
      <c r="A35" s="3"/>
      <c r="B35" s="15"/>
      <c r="C35" s="6"/>
      <c r="D35" s="213" t="s">
        <v>151</v>
      </c>
      <c r="E35" s="226">
        <f>Calculations!D172</f>
        <v>0.11360635933286745</v>
      </c>
      <c r="F35" s="210"/>
      <c r="I35" s="3"/>
      <c r="K35" s="25"/>
      <c r="L35" s="25"/>
      <c r="M35" s="25"/>
      <c r="N35" s="23"/>
      <c r="O35" s="23"/>
      <c r="P35" s="23"/>
      <c r="Q35" s="23"/>
      <c r="R35" s="23"/>
      <c r="S35" s="23"/>
      <c r="T35" s="23"/>
      <c r="U35" s="23"/>
      <c r="V35" s="23"/>
      <c r="W35" s="23"/>
      <c r="X35" s="23"/>
      <c r="Y35" s="23"/>
      <c r="Z35" s="23"/>
      <c r="AA35" s="23"/>
      <c r="AB35" s="23"/>
      <c r="AC35" s="16"/>
    </row>
    <row r="36" spans="1:29">
      <c r="A36" s="3"/>
      <c r="B36" s="15"/>
      <c r="C36" s="6"/>
      <c r="D36" s="6"/>
      <c r="E36" s="16"/>
      <c r="I36" s="3"/>
      <c r="K36" s="25"/>
      <c r="L36" s="25"/>
      <c r="M36" s="25"/>
      <c r="N36" s="23"/>
      <c r="O36" s="23"/>
      <c r="P36" s="23"/>
      <c r="Q36" s="23"/>
      <c r="R36" s="23"/>
      <c r="S36" s="23"/>
      <c r="T36" s="23"/>
      <c r="U36" s="23"/>
      <c r="V36" s="23"/>
      <c r="W36" s="23"/>
      <c r="X36" s="23"/>
      <c r="Y36" s="23"/>
      <c r="Z36" s="23"/>
      <c r="AA36" s="23"/>
      <c r="AB36" s="23"/>
      <c r="AC36" s="16"/>
    </row>
    <row r="37" spans="1:29">
      <c r="A37" s="3"/>
      <c r="B37" s="15"/>
      <c r="C37" s="6"/>
      <c r="I37" s="3"/>
      <c r="K37" s="25"/>
      <c r="L37" s="25"/>
      <c r="M37" s="25"/>
      <c r="N37" s="23"/>
      <c r="O37" s="23"/>
      <c r="P37" s="23"/>
      <c r="Q37" s="23"/>
      <c r="R37" s="23"/>
      <c r="S37" s="23"/>
      <c r="T37" s="23"/>
      <c r="U37" s="23"/>
      <c r="V37" s="23"/>
      <c r="W37" s="23"/>
      <c r="X37" s="23"/>
      <c r="Y37" s="23"/>
      <c r="Z37" s="23"/>
      <c r="AA37" s="23"/>
      <c r="AB37" s="23"/>
      <c r="AC37" s="16"/>
    </row>
    <row r="38" spans="1:29">
      <c r="A38" s="3"/>
      <c r="B38" s="15"/>
      <c r="C38" s="6"/>
      <c r="I38" s="3"/>
      <c r="K38" s="25"/>
      <c r="L38" s="25"/>
      <c r="M38" s="25"/>
      <c r="N38" s="23"/>
      <c r="O38" s="23"/>
      <c r="P38" s="23"/>
      <c r="Q38" s="23"/>
      <c r="R38" s="23"/>
      <c r="S38" s="23"/>
      <c r="T38" s="23"/>
      <c r="U38" s="23"/>
      <c r="V38" s="23"/>
      <c r="W38" s="23"/>
      <c r="X38" s="23"/>
      <c r="Y38" s="23"/>
      <c r="Z38" s="23"/>
      <c r="AA38" s="23"/>
      <c r="AB38" s="23"/>
      <c r="AC38" s="16"/>
    </row>
    <row r="39" spans="1:29">
      <c r="A39" s="3"/>
      <c r="C39" s="6"/>
      <c r="I39" s="3"/>
      <c r="K39" s="25"/>
      <c r="L39" s="25"/>
      <c r="M39" s="25"/>
      <c r="N39" s="23"/>
      <c r="O39" s="23"/>
      <c r="P39" s="23"/>
      <c r="Q39" s="23"/>
      <c r="R39" s="23"/>
      <c r="S39" s="23"/>
      <c r="T39" s="23"/>
      <c r="U39" s="23"/>
      <c r="V39" s="23"/>
      <c r="W39" s="23"/>
      <c r="X39" s="23"/>
      <c r="Y39" s="23"/>
      <c r="Z39" s="23"/>
      <c r="AA39" s="23"/>
      <c r="AB39" s="23"/>
      <c r="AC39" s="16"/>
    </row>
    <row r="40" spans="1:29">
      <c r="A40" s="3"/>
      <c r="B40" s="15"/>
      <c r="C40" s="6"/>
      <c r="I40" s="3"/>
      <c r="K40" s="25"/>
      <c r="L40" s="25"/>
      <c r="M40" s="25"/>
      <c r="N40" s="23"/>
      <c r="O40" s="23"/>
      <c r="P40" s="23"/>
      <c r="Q40" s="23"/>
      <c r="R40" s="23"/>
      <c r="S40" s="23"/>
      <c r="T40" s="23"/>
      <c r="U40" s="23"/>
      <c r="V40" s="23"/>
      <c r="W40" s="23"/>
      <c r="X40" s="23"/>
      <c r="Y40" s="23"/>
      <c r="Z40" s="23"/>
      <c r="AA40" s="23"/>
      <c r="AB40" s="23"/>
      <c r="AC40" s="16"/>
    </row>
    <row r="41" spans="1:29">
      <c r="A41" s="3"/>
      <c r="B41" s="15"/>
      <c r="C41" s="6"/>
      <c r="I41" s="3"/>
      <c r="K41" s="25"/>
      <c r="L41" s="25"/>
      <c r="M41" s="25"/>
      <c r="N41" s="23"/>
      <c r="O41" s="23"/>
      <c r="P41" s="23"/>
      <c r="Q41" s="23"/>
      <c r="R41" s="23"/>
      <c r="S41" s="23"/>
      <c r="T41" s="23"/>
      <c r="U41" s="23"/>
      <c r="V41" s="23"/>
      <c r="W41" s="23"/>
      <c r="X41" s="23"/>
      <c r="Y41" s="23"/>
      <c r="Z41" s="23"/>
      <c r="AA41" s="23"/>
      <c r="AB41" s="23"/>
      <c r="AC41" s="16"/>
    </row>
    <row r="42" spans="1:29">
      <c r="A42" s="3"/>
      <c r="B42" s="15"/>
      <c r="C42" s="6"/>
      <c r="I42" s="3"/>
      <c r="K42" s="25"/>
      <c r="L42" s="25"/>
      <c r="M42" s="25"/>
      <c r="N42" s="23"/>
      <c r="O42" s="23"/>
      <c r="P42" s="23"/>
      <c r="Q42" s="23"/>
      <c r="R42" s="23"/>
      <c r="S42" s="23"/>
      <c r="T42" s="23"/>
      <c r="U42" s="23"/>
      <c r="V42" s="23"/>
      <c r="W42" s="23"/>
      <c r="X42" s="23"/>
      <c r="Y42" s="23"/>
      <c r="Z42" s="23"/>
      <c r="AA42" s="23"/>
      <c r="AB42" s="23"/>
      <c r="AC42" s="16"/>
    </row>
    <row r="43" spans="1:29">
      <c r="A43" s="3"/>
      <c r="B43" s="15"/>
      <c r="C43" s="6"/>
      <c r="I43" s="3"/>
      <c r="K43" s="25"/>
      <c r="L43" s="25"/>
      <c r="M43" s="25"/>
      <c r="N43" s="23"/>
      <c r="O43" s="23"/>
      <c r="P43" s="23"/>
      <c r="Q43" s="23"/>
      <c r="R43" s="23"/>
      <c r="S43" s="23"/>
      <c r="T43" s="23"/>
      <c r="U43" s="23"/>
      <c r="V43" s="23"/>
      <c r="W43" s="23"/>
      <c r="X43" s="23"/>
      <c r="Y43" s="23"/>
      <c r="Z43" s="23"/>
      <c r="AA43" s="23"/>
      <c r="AB43" s="23"/>
      <c r="AC43" s="16"/>
    </row>
    <row r="44" spans="1:29">
      <c r="A44" s="3"/>
      <c r="B44" s="15"/>
      <c r="C44" s="6"/>
      <c r="D44" s="6"/>
      <c r="I44" s="3"/>
      <c r="K44" s="25"/>
      <c r="L44" s="25"/>
      <c r="M44" s="25"/>
      <c r="N44" s="23"/>
      <c r="O44" s="23"/>
      <c r="P44" s="23"/>
      <c r="Q44" s="23"/>
      <c r="R44" s="23"/>
      <c r="S44" s="23"/>
      <c r="T44" s="23"/>
      <c r="U44" s="23"/>
      <c r="V44" s="23"/>
      <c r="W44" s="23"/>
      <c r="X44" s="23"/>
      <c r="Y44" s="23"/>
      <c r="Z44" s="23"/>
      <c r="AA44" s="23"/>
      <c r="AB44" s="23"/>
      <c r="AC44" s="16"/>
    </row>
    <row r="45" spans="1:29">
      <c r="A45" s="3"/>
      <c r="B45" s="15"/>
      <c r="C45" s="6"/>
      <c r="D45" s="6"/>
      <c r="I45" s="3"/>
      <c r="K45" s="25"/>
      <c r="L45" s="25"/>
      <c r="M45" s="25"/>
      <c r="N45" s="23"/>
      <c r="O45" s="23"/>
      <c r="P45" s="23"/>
      <c r="Q45" s="23"/>
      <c r="R45" s="23"/>
      <c r="S45" s="23"/>
      <c r="T45" s="23"/>
      <c r="U45" s="23"/>
      <c r="V45" s="23"/>
      <c r="W45" s="23"/>
      <c r="X45" s="23"/>
      <c r="Y45" s="23"/>
      <c r="Z45" s="23"/>
      <c r="AA45" s="23"/>
      <c r="AB45" s="23"/>
      <c r="AC45" s="16"/>
    </row>
    <row r="46" spans="1:29">
      <c r="D46" s="16"/>
      <c r="I46" s="3"/>
      <c r="K46" s="25"/>
      <c r="L46" s="25"/>
      <c r="M46" s="25"/>
      <c r="N46" s="23"/>
      <c r="O46" s="23"/>
      <c r="P46" s="23"/>
      <c r="Q46" s="23"/>
      <c r="R46" s="23"/>
      <c r="S46" s="23"/>
      <c r="T46" s="23"/>
      <c r="U46" s="23"/>
      <c r="V46" s="23"/>
      <c r="W46" s="23"/>
      <c r="X46" s="23"/>
      <c r="Y46" s="23"/>
      <c r="Z46" s="23"/>
      <c r="AA46" s="23"/>
      <c r="AB46" s="23"/>
      <c r="AC46" s="16"/>
    </row>
    <row r="47" spans="1:29">
      <c r="D47" s="16"/>
      <c r="I47" s="3"/>
      <c r="K47" s="25"/>
      <c r="L47" s="25"/>
      <c r="M47" s="25"/>
      <c r="N47" s="23"/>
      <c r="O47" s="23"/>
      <c r="P47" s="23"/>
      <c r="Q47" s="23"/>
      <c r="R47" s="23"/>
      <c r="S47" s="23"/>
      <c r="T47" s="23"/>
      <c r="U47" s="23"/>
      <c r="V47" s="23"/>
      <c r="W47" s="23"/>
      <c r="X47" s="23"/>
      <c r="Y47" s="23"/>
      <c r="Z47" s="23"/>
      <c r="AA47" s="23"/>
      <c r="AB47" s="23"/>
      <c r="AC47" s="16"/>
    </row>
    <row r="48" spans="1:29">
      <c r="A48" s="3"/>
      <c r="D48" s="16"/>
      <c r="I48" s="3"/>
      <c r="K48" s="25"/>
      <c r="L48" s="25"/>
      <c r="M48" s="25"/>
      <c r="N48" s="23"/>
      <c r="O48" s="23"/>
      <c r="P48" s="23"/>
      <c r="Q48" s="23"/>
      <c r="R48" s="23"/>
      <c r="S48" s="23"/>
      <c r="T48" s="23"/>
      <c r="U48" s="23"/>
      <c r="V48" s="23"/>
      <c r="W48" s="23"/>
      <c r="X48" s="23"/>
      <c r="Y48" s="23"/>
      <c r="Z48" s="23"/>
      <c r="AA48" s="23"/>
      <c r="AB48" s="23"/>
      <c r="AC48" s="16"/>
    </row>
    <row r="49" spans="1:29">
      <c r="A49" s="3"/>
      <c r="D49" s="16"/>
      <c r="I49" s="3"/>
      <c r="K49" s="25"/>
      <c r="L49" s="25"/>
      <c r="M49" s="25"/>
      <c r="N49" s="23"/>
      <c r="O49" s="23"/>
      <c r="P49" s="23"/>
      <c r="Q49" s="23"/>
      <c r="R49" s="23"/>
      <c r="S49" s="23"/>
      <c r="T49" s="23"/>
      <c r="U49" s="23"/>
      <c r="V49" s="23"/>
      <c r="W49" s="23"/>
      <c r="X49" s="23"/>
      <c r="Y49" s="23"/>
      <c r="Z49" s="23"/>
      <c r="AA49" s="23"/>
      <c r="AB49" s="23"/>
      <c r="AC49" s="16"/>
    </row>
    <row r="50" spans="1:29">
      <c r="A50" s="3"/>
      <c r="D50" s="16"/>
      <c r="I50" s="3"/>
      <c r="K50" s="25"/>
      <c r="L50" s="25"/>
      <c r="M50" s="25"/>
      <c r="N50" s="23"/>
      <c r="O50" s="23"/>
      <c r="P50" s="23"/>
      <c r="Q50" s="23"/>
      <c r="R50" s="23"/>
      <c r="S50" s="23"/>
      <c r="T50" s="23"/>
      <c r="U50" s="23"/>
      <c r="V50" s="23"/>
      <c r="W50" s="23"/>
      <c r="X50" s="23"/>
      <c r="Y50" s="23"/>
      <c r="Z50" s="23"/>
      <c r="AA50" s="23"/>
      <c r="AB50" s="23"/>
      <c r="AC50" s="16"/>
    </row>
    <row r="51" spans="1:29">
      <c r="D51" s="16"/>
      <c r="I51" s="3"/>
      <c r="K51" s="25"/>
      <c r="L51" s="25"/>
      <c r="M51" s="25"/>
      <c r="N51" s="23"/>
      <c r="O51" s="23"/>
      <c r="P51" s="23"/>
      <c r="Q51" s="23"/>
      <c r="R51" s="23"/>
      <c r="S51" s="23"/>
      <c r="T51" s="23"/>
      <c r="U51" s="23"/>
      <c r="V51" s="23"/>
      <c r="W51" s="23"/>
      <c r="X51" s="23"/>
      <c r="Y51" s="23"/>
      <c r="Z51" s="23"/>
      <c r="AA51" s="23"/>
      <c r="AB51" s="23"/>
      <c r="AC51" s="16"/>
    </row>
    <row r="52" spans="1:29">
      <c r="B52" s="15"/>
      <c r="D52" s="16"/>
      <c r="I52" s="3"/>
      <c r="K52" s="25"/>
      <c r="L52" s="25"/>
      <c r="M52" s="25"/>
      <c r="N52" s="23"/>
      <c r="O52" s="23"/>
      <c r="P52" s="23"/>
      <c r="Q52" s="23"/>
      <c r="R52" s="23"/>
      <c r="S52" s="23"/>
      <c r="T52" s="23"/>
      <c r="U52" s="23"/>
      <c r="V52" s="23"/>
      <c r="W52" s="23"/>
      <c r="X52" s="23"/>
      <c r="Y52" s="23"/>
      <c r="Z52" s="23"/>
      <c r="AA52" s="23"/>
      <c r="AB52" s="23"/>
      <c r="AC52" s="16"/>
    </row>
    <row r="53" spans="1:29">
      <c r="D53" s="16"/>
      <c r="I53" s="3"/>
      <c r="K53" s="25"/>
      <c r="L53" s="25"/>
      <c r="M53" s="25"/>
      <c r="N53" s="23"/>
      <c r="O53" s="23"/>
      <c r="P53" s="23"/>
      <c r="Q53" s="23"/>
      <c r="R53" s="23"/>
      <c r="S53" s="23"/>
      <c r="T53" s="23"/>
      <c r="U53" s="23"/>
      <c r="V53" s="23"/>
      <c r="W53" s="23"/>
      <c r="X53" s="23"/>
      <c r="Y53" s="23"/>
      <c r="Z53" s="23"/>
      <c r="AA53" s="23"/>
      <c r="AB53" s="23"/>
      <c r="AC53" s="16"/>
    </row>
    <row r="54" spans="1:29">
      <c r="A54" s="3"/>
      <c r="B54" s="15"/>
      <c r="D54" s="16"/>
      <c r="I54" s="3"/>
      <c r="K54" s="25"/>
      <c r="L54" s="25"/>
      <c r="M54" s="25"/>
      <c r="N54" s="23"/>
      <c r="O54" s="23"/>
      <c r="P54" s="23"/>
      <c r="Q54" s="23"/>
      <c r="R54" s="23"/>
      <c r="S54" s="23"/>
      <c r="T54" s="23"/>
      <c r="U54" s="23"/>
      <c r="V54" s="23"/>
      <c r="W54" s="23"/>
      <c r="X54" s="23"/>
      <c r="Y54" s="23"/>
      <c r="Z54" s="23"/>
      <c r="AA54" s="23"/>
      <c r="AB54" s="23"/>
      <c r="AC54" s="16"/>
    </row>
    <row r="55" spans="1:29">
      <c r="D55" s="16"/>
      <c r="I55" s="3"/>
      <c r="K55" s="25"/>
      <c r="L55" s="25"/>
      <c r="M55" s="25"/>
      <c r="N55" s="23"/>
      <c r="O55" s="23"/>
      <c r="P55" s="23"/>
      <c r="Q55" s="23"/>
      <c r="R55" s="23"/>
      <c r="S55" s="23"/>
      <c r="T55" s="23"/>
      <c r="U55" s="23"/>
      <c r="V55" s="23"/>
      <c r="W55" s="23"/>
      <c r="X55" s="23"/>
      <c r="Y55" s="23"/>
      <c r="Z55" s="23"/>
      <c r="AA55" s="23"/>
      <c r="AB55" s="23"/>
      <c r="AC55" s="16"/>
    </row>
    <row r="56" spans="1:29">
      <c r="D56" s="16"/>
      <c r="I56" s="3"/>
      <c r="K56" s="25"/>
      <c r="L56" s="25"/>
      <c r="M56" s="25"/>
      <c r="N56" s="23"/>
      <c r="O56" s="23"/>
      <c r="P56" s="23"/>
      <c r="Q56" s="23"/>
      <c r="R56" s="23"/>
      <c r="S56" s="23"/>
      <c r="T56" s="23"/>
      <c r="U56" s="23"/>
      <c r="V56" s="23"/>
      <c r="W56" s="23"/>
      <c r="X56" s="23"/>
      <c r="Y56" s="23"/>
      <c r="Z56" s="23"/>
      <c r="AA56" s="23"/>
      <c r="AB56" s="23"/>
      <c r="AC56" s="16"/>
    </row>
    <row r="57" spans="1:29">
      <c r="D57" s="16"/>
      <c r="I57" s="3"/>
      <c r="K57" s="25"/>
      <c r="L57" s="25"/>
      <c r="M57" s="25"/>
      <c r="N57" s="23"/>
      <c r="O57" s="23"/>
      <c r="P57" s="23"/>
      <c r="Q57" s="23"/>
      <c r="R57" s="23"/>
      <c r="S57" s="23"/>
      <c r="T57" s="23"/>
      <c r="U57" s="23"/>
      <c r="V57" s="23"/>
      <c r="W57" s="23"/>
      <c r="X57" s="23"/>
      <c r="Y57" s="23"/>
      <c r="Z57" s="23"/>
      <c r="AA57" s="23"/>
      <c r="AB57" s="23"/>
      <c r="AC57" s="16"/>
    </row>
    <row r="58" spans="1:29">
      <c r="D58" s="16"/>
      <c r="I58" s="3"/>
      <c r="K58" s="25"/>
      <c r="L58" s="25"/>
      <c r="M58" s="25"/>
      <c r="N58" s="23"/>
      <c r="O58" s="23"/>
      <c r="P58" s="23"/>
      <c r="Q58" s="23"/>
      <c r="R58" s="23"/>
      <c r="S58" s="23"/>
      <c r="T58" s="23"/>
      <c r="U58" s="23"/>
      <c r="V58" s="23"/>
      <c r="W58" s="23"/>
      <c r="X58" s="23"/>
      <c r="Y58" s="23"/>
      <c r="Z58" s="23"/>
      <c r="AA58" s="23"/>
      <c r="AB58" s="23"/>
      <c r="AC58" s="16"/>
    </row>
    <row r="59" spans="1:29">
      <c r="D59" s="16"/>
      <c r="I59" s="3"/>
      <c r="K59" s="25"/>
      <c r="L59" s="25"/>
      <c r="M59" s="25"/>
      <c r="N59" s="23"/>
      <c r="O59" s="23"/>
      <c r="P59" s="23"/>
      <c r="Q59" s="23"/>
      <c r="R59" s="23"/>
      <c r="S59" s="23"/>
      <c r="T59" s="23"/>
      <c r="U59" s="23"/>
      <c r="V59" s="23"/>
      <c r="W59" s="23"/>
      <c r="X59" s="23"/>
      <c r="Y59" s="23"/>
      <c r="Z59" s="23"/>
      <c r="AA59" s="23"/>
      <c r="AB59" s="23"/>
      <c r="AC59" s="16"/>
    </row>
    <row r="60" spans="1:29">
      <c r="D60" s="16"/>
      <c r="I60" s="3"/>
      <c r="K60" s="25"/>
      <c r="L60" s="25"/>
      <c r="M60" s="25"/>
      <c r="N60" s="23"/>
      <c r="O60" s="23"/>
      <c r="P60" s="23"/>
      <c r="Q60" s="23"/>
      <c r="R60" s="23"/>
      <c r="S60" s="23"/>
      <c r="T60" s="23"/>
      <c r="U60" s="23"/>
      <c r="V60" s="23"/>
      <c r="W60" s="23"/>
      <c r="X60" s="23"/>
      <c r="Y60" s="23"/>
      <c r="Z60" s="23"/>
      <c r="AA60" s="23"/>
      <c r="AB60" s="23"/>
      <c r="AC60" s="16"/>
    </row>
    <row r="61" spans="1:29">
      <c r="D61" s="16"/>
      <c r="I61" s="3"/>
      <c r="K61" s="25"/>
      <c r="L61" s="25"/>
      <c r="M61" s="25"/>
      <c r="N61" s="23"/>
      <c r="O61" s="23"/>
      <c r="P61" s="23"/>
      <c r="Q61" s="23"/>
      <c r="R61" s="23"/>
      <c r="S61" s="23"/>
      <c r="T61" s="23"/>
      <c r="U61" s="23"/>
      <c r="V61" s="23"/>
      <c r="W61" s="23"/>
      <c r="X61" s="23"/>
      <c r="Y61" s="23"/>
      <c r="Z61" s="23"/>
      <c r="AA61" s="23"/>
      <c r="AB61" s="23"/>
      <c r="AC61" s="16"/>
    </row>
    <row r="62" spans="1:29">
      <c r="D62" s="16"/>
      <c r="I62" s="3"/>
      <c r="K62" s="25"/>
      <c r="L62" s="25"/>
      <c r="M62" s="25"/>
      <c r="N62" s="23"/>
      <c r="O62" s="23"/>
      <c r="P62" s="23"/>
      <c r="Q62" s="23"/>
      <c r="R62" s="23"/>
      <c r="S62" s="23"/>
      <c r="T62" s="23"/>
      <c r="U62" s="23"/>
      <c r="V62" s="23"/>
      <c r="W62" s="23"/>
      <c r="X62" s="23"/>
      <c r="Y62" s="23"/>
      <c r="Z62" s="23"/>
      <c r="AA62" s="23"/>
      <c r="AB62" s="23"/>
      <c r="AC62" s="16"/>
    </row>
    <row r="63" spans="1:29">
      <c r="D63" s="16"/>
      <c r="I63" s="3"/>
      <c r="K63" s="25"/>
      <c r="L63" s="25"/>
      <c r="M63" s="25"/>
      <c r="N63" s="23"/>
      <c r="O63" s="23"/>
      <c r="P63" s="23"/>
      <c r="Q63" s="23"/>
      <c r="R63" s="23"/>
      <c r="S63" s="23"/>
      <c r="T63" s="23"/>
      <c r="U63" s="23"/>
      <c r="V63" s="23"/>
      <c r="W63" s="23"/>
      <c r="X63" s="23"/>
      <c r="Y63" s="23"/>
      <c r="Z63" s="23"/>
      <c r="AA63" s="23"/>
      <c r="AB63" s="23"/>
      <c r="AC63" s="16"/>
    </row>
    <row r="64" spans="1:29">
      <c r="D64" s="16"/>
      <c r="I64" s="3"/>
      <c r="K64" s="25"/>
      <c r="L64" s="25"/>
      <c r="M64" s="25"/>
      <c r="N64" s="23"/>
      <c r="O64" s="23"/>
      <c r="P64" s="23"/>
      <c r="Q64" s="23"/>
      <c r="R64" s="23"/>
      <c r="S64" s="23"/>
      <c r="T64" s="23"/>
      <c r="U64" s="23"/>
      <c r="V64" s="23"/>
      <c r="W64" s="23"/>
      <c r="X64" s="23"/>
      <c r="Y64" s="23"/>
      <c r="Z64" s="23"/>
      <c r="AA64" s="23"/>
      <c r="AB64" s="23"/>
      <c r="AC64" s="16"/>
    </row>
    <row r="65" spans="4:29">
      <c r="D65" s="16"/>
      <c r="I65" s="3"/>
      <c r="K65" s="25"/>
      <c r="L65" s="25"/>
      <c r="M65" s="25"/>
      <c r="N65" s="23"/>
      <c r="O65" s="23"/>
      <c r="P65" s="23"/>
      <c r="Q65" s="23"/>
      <c r="R65" s="23"/>
      <c r="S65" s="23"/>
      <c r="T65" s="23"/>
      <c r="U65" s="23"/>
      <c r="V65" s="23"/>
      <c r="W65" s="23"/>
      <c r="X65" s="23"/>
      <c r="Y65" s="23"/>
      <c r="Z65" s="23"/>
      <c r="AA65" s="23"/>
      <c r="AB65" s="23"/>
      <c r="AC65" s="16"/>
    </row>
    <row r="66" spans="4:29">
      <c r="D66" s="16"/>
      <c r="I66" s="3"/>
      <c r="K66" s="25"/>
      <c r="L66" s="25"/>
      <c r="M66" s="25"/>
      <c r="N66" s="23"/>
      <c r="O66" s="23"/>
      <c r="P66" s="23"/>
      <c r="Q66" s="23"/>
      <c r="R66" s="23"/>
      <c r="S66" s="23"/>
      <c r="T66" s="23"/>
      <c r="U66" s="23"/>
      <c r="V66" s="23"/>
      <c r="W66" s="23"/>
      <c r="X66" s="23"/>
      <c r="Y66" s="23"/>
      <c r="Z66" s="23"/>
      <c r="AA66" s="23"/>
      <c r="AB66" s="23"/>
      <c r="AC66" s="16"/>
    </row>
    <row r="67" spans="4:29">
      <c r="D67" s="16"/>
      <c r="I67" s="3"/>
      <c r="K67" s="25"/>
      <c r="L67" s="25"/>
      <c r="M67" s="25"/>
      <c r="N67" s="23"/>
      <c r="O67" s="23"/>
      <c r="P67" s="23"/>
      <c r="Q67" s="23"/>
      <c r="R67" s="23"/>
      <c r="S67" s="23"/>
      <c r="T67" s="23"/>
      <c r="U67" s="23"/>
      <c r="V67" s="23"/>
      <c r="W67" s="23"/>
      <c r="X67" s="23"/>
      <c r="Y67" s="23"/>
      <c r="Z67" s="23"/>
      <c r="AA67" s="23"/>
      <c r="AB67" s="23"/>
      <c r="AC67" s="16"/>
    </row>
    <row r="68" spans="4:29">
      <c r="D68" s="16"/>
      <c r="I68" s="3"/>
      <c r="K68" s="25"/>
      <c r="L68" s="25"/>
      <c r="M68" s="25"/>
      <c r="N68" s="23"/>
      <c r="O68" s="23"/>
      <c r="P68" s="23"/>
      <c r="Q68" s="23"/>
      <c r="R68" s="23"/>
      <c r="S68" s="23"/>
      <c r="T68" s="23"/>
      <c r="U68" s="23"/>
      <c r="V68" s="23"/>
      <c r="W68" s="23"/>
      <c r="X68" s="23"/>
      <c r="Y68" s="23"/>
      <c r="Z68" s="23"/>
      <c r="AA68" s="23"/>
      <c r="AB68" s="23"/>
      <c r="AC68" s="16"/>
    </row>
    <row r="69" spans="4:29">
      <c r="D69" s="16"/>
      <c r="I69" s="3"/>
      <c r="K69" s="25"/>
      <c r="L69" s="25"/>
      <c r="M69" s="25"/>
      <c r="N69" s="23"/>
      <c r="O69" s="23"/>
      <c r="P69" s="23"/>
      <c r="Q69" s="23"/>
      <c r="R69" s="23"/>
      <c r="S69" s="23"/>
      <c r="T69" s="23"/>
      <c r="U69" s="23"/>
      <c r="V69" s="23"/>
      <c r="W69" s="23"/>
      <c r="X69" s="23"/>
      <c r="Y69" s="23"/>
      <c r="Z69" s="23"/>
      <c r="AA69" s="23"/>
      <c r="AB69" s="23"/>
      <c r="AC69" s="16"/>
    </row>
    <row r="70" spans="4:29">
      <c r="D70" s="16"/>
      <c r="I70" s="3"/>
      <c r="K70" s="25"/>
      <c r="L70" s="25"/>
      <c r="M70" s="25"/>
      <c r="N70" s="23"/>
      <c r="O70" s="23"/>
      <c r="P70" s="23"/>
      <c r="Q70" s="23"/>
      <c r="R70" s="23"/>
      <c r="S70" s="23"/>
      <c r="T70" s="23"/>
      <c r="U70" s="23"/>
      <c r="V70" s="23"/>
      <c r="W70" s="23"/>
      <c r="X70" s="23"/>
      <c r="Y70" s="23"/>
      <c r="Z70" s="23"/>
      <c r="AA70" s="23"/>
      <c r="AB70" s="23"/>
      <c r="AC70" s="16"/>
    </row>
    <row r="71" spans="4:29">
      <c r="D71" s="16"/>
      <c r="I71" s="3"/>
      <c r="K71" s="25"/>
      <c r="L71" s="25"/>
      <c r="M71" s="25"/>
      <c r="N71" s="23"/>
      <c r="O71" s="23"/>
      <c r="P71" s="23"/>
      <c r="Q71" s="23"/>
      <c r="R71" s="23"/>
      <c r="S71" s="23"/>
      <c r="T71" s="23"/>
      <c r="U71" s="23"/>
      <c r="V71" s="23"/>
      <c r="W71" s="23"/>
      <c r="X71" s="23"/>
      <c r="Y71" s="23"/>
      <c r="Z71" s="23"/>
      <c r="AA71" s="23"/>
      <c r="AB71" s="23"/>
      <c r="AC71" s="16"/>
    </row>
    <row r="72" spans="4:29">
      <c r="D72" s="16"/>
      <c r="I72" s="3"/>
      <c r="K72" s="25"/>
      <c r="L72" s="25"/>
      <c r="M72" s="25"/>
      <c r="N72" s="23"/>
      <c r="O72" s="23"/>
      <c r="P72" s="23"/>
      <c r="Q72" s="23"/>
      <c r="R72" s="23"/>
      <c r="S72" s="23"/>
      <c r="T72" s="23"/>
      <c r="U72" s="23"/>
      <c r="V72" s="23"/>
      <c r="W72" s="23"/>
      <c r="X72" s="23"/>
      <c r="Y72" s="23"/>
      <c r="Z72" s="23"/>
      <c r="AA72" s="23"/>
      <c r="AB72" s="23"/>
      <c r="AC72" s="16"/>
    </row>
    <row r="73" spans="4:29">
      <c r="D73" s="16"/>
      <c r="I73" s="3"/>
      <c r="K73" s="25"/>
      <c r="L73" s="25"/>
      <c r="M73" s="25"/>
      <c r="N73" s="23"/>
      <c r="O73" s="23"/>
      <c r="P73" s="23"/>
      <c r="Q73" s="23"/>
      <c r="R73" s="23"/>
      <c r="S73" s="23"/>
      <c r="T73" s="23"/>
      <c r="U73" s="23"/>
      <c r="V73" s="23"/>
      <c r="W73" s="23"/>
      <c r="X73" s="23"/>
      <c r="Y73" s="23"/>
      <c r="Z73" s="23"/>
      <c r="AA73" s="23"/>
      <c r="AB73" s="23"/>
      <c r="AC73" s="16"/>
    </row>
    <row r="74" spans="4:29">
      <c r="D74" s="16"/>
      <c r="I74" s="3"/>
      <c r="K74" s="25"/>
      <c r="L74" s="25"/>
      <c r="M74" s="25"/>
      <c r="N74" s="23"/>
      <c r="O74" s="23"/>
      <c r="P74" s="23"/>
      <c r="Q74" s="23"/>
      <c r="R74" s="23"/>
      <c r="S74" s="23"/>
      <c r="T74" s="23"/>
      <c r="U74" s="23"/>
      <c r="V74" s="23"/>
      <c r="W74" s="23"/>
      <c r="X74" s="23"/>
      <c r="Y74" s="23"/>
      <c r="Z74" s="23"/>
      <c r="AA74" s="23"/>
      <c r="AB74" s="23"/>
      <c r="AC74" s="16"/>
    </row>
    <row r="75" spans="4:29">
      <c r="D75" s="16"/>
      <c r="I75" s="3"/>
      <c r="K75" s="25"/>
      <c r="L75" s="25"/>
      <c r="M75" s="25"/>
      <c r="N75" s="23"/>
      <c r="O75" s="23"/>
      <c r="P75" s="23"/>
      <c r="Q75" s="23"/>
      <c r="R75" s="23"/>
      <c r="S75" s="23"/>
      <c r="T75" s="23"/>
      <c r="U75" s="23"/>
      <c r="V75" s="23"/>
      <c r="W75" s="23"/>
      <c r="X75" s="23"/>
      <c r="Y75" s="23"/>
      <c r="Z75" s="23"/>
      <c r="AA75" s="23"/>
      <c r="AB75" s="23"/>
      <c r="AC75" s="16"/>
    </row>
    <row r="76" spans="4:29">
      <c r="D76" s="16"/>
      <c r="I76" s="3"/>
      <c r="K76" s="25"/>
      <c r="L76" s="25"/>
      <c r="M76" s="25"/>
      <c r="N76" s="23"/>
      <c r="O76" s="23"/>
      <c r="P76" s="23"/>
      <c r="Q76" s="23"/>
      <c r="R76" s="23"/>
      <c r="S76" s="23"/>
      <c r="T76" s="23"/>
      <c r="U76" s="23"/>
      <c r="V76" s="23"/>
      <c r="W76" s="23"/>
      <c r="X76" s="23"/>
      <c r="Y76" s="23"/>
      <c r="Z76" s="23"/>
      <c r="AA76" s="23"/>
      <c r="AB76" s="23"/>
      <c r="AC76" s="16"/>
    </row>
    <row r="77" spans="4:29">
      <c r="D77" s="16"/>
      <c r="I77" s="3"/>
      <c r="K77" s="25"/>
      <c r="L77" s="25"/>
      <c r="M77" s="25"/>
      <c r="N77" s="23"/>
      <c r="O77" s="23"/>
      <c r="P77" s="23"/>
      <c r="Q77" s="23"/>
      <c r="R77" s="23"/>
      <c r="S77" s="23"/>
      <c r="T77" s="23"/>
      <c r="U77" s="23"/>
      <c r="V77" s="23"/>
      <c r="W77" s="23"/>
      <c r="X77" s="23"/>
      <c r="Y77" s="23"/>
      <c r="Z77" s="23"/>
      <c r="AA77" s="23"/>
      <c r="AB77" s="23"/>
      <c r="AC77" s="16"/>
    </row>
    <row r="78" spans="4:29">
      <c r="D78" s="16"/>
      <c r="I78" s="3"/>
      <c r="K78" s="25"/>
      <c r="L78" s="25"/>
      <c r="M78" s="25"/>
      <c r="N78" s="23"/>
      <c r="O78" s="23"/>
      <c r="P78" s="23"/>
      <c r="Q78" s="23"/>
      <c r="R78" s="23"/>
      <c r="S78" s="23"/>
      <c r="T78" s="23"/>
      <c r="U78" s="23"/>
      <c r="V78" s="23"/>
      <c r="W78" s="23"/>
      <c r="X78" s="23"/>
      <c r="Y78" s="23"/>
      <c r="Z78" s="23"/>
      <c r="AA78" s="23"/>
      <c r="AB78" s="23"/>
      <c r="AC78" s="16"/>
    </row>
    <row r="79" spans="4:29">
      <c r="D79" s="16"/>
      <c r="I79" s="3"/>
      <c r="K79" s="25"/>
      <c r="L79" s="25"/>
      <c r="M79" s="25"/>
      <c r="N79" s="23"/>
      <c r="O79" s="23"/>
      <c r="P79" s="23"/>
      <c r="Q79" s="23"/>
      <c r="R79" s="23"/>
      <c r="S79" s="23"/>
      <c r="T79" s="23"/>
      <c r="U79" s="23"/>
      <c r="V79" s="23"/>
      <c r="W79" s="23"/>
      <c r="X79" s="23"/>
      <c r="Y79" s="23"/>
      <c r="Z79" s="23"/>
      <c r="AA79" s="23"/>
      <c r="AB79" s="23"/>
      <c r="AC79" s="16"/>
    </row>
    <row r="80" spans="4:29">
      <c r="D80" s="16"/>
      <c r="I80" s="3"/>
      <c r="K80" s="25"/>
      <c r="L80" s="25"/>
      <c r="M80" s="25"/>
      <c r="N80" s="23"/>
      <c r="O80" s="23"/>
      <c r="P80" s="23"/>
      <c r="Q80" s="23"/>
      <c r="R80" s="23"/>
      <c r="S80" s="23"/>
      <c r="T80" s="23"/>
      <c r="U80" s="23"/>
      <c r="V80" s="23"/>
      <c r="W80" s="23"/>
      <c r="X80" s="23"/>
      <c r="Y80" s="23"/>
      <c r="Z80" s="23"/>
      <c r="AA80" s="23"/>
      <c r="AB80" s="23"/>
      <c r="AC80" s="16"/>
    </row>
    <row r="81" spans="4:29">
      <c r="D81" s="16"/>
      <c r="I81" s="3"/>
      <c r="K81" s="25"/>
      <c r="L81" s="25"/>
      <c r="M81" s="25"/>
      <c r="N81" s="23"/>
      <c r="O81" s="23"/>
      <c r="P81" s="23"/>
      <c r="Q81" s="23"/>
      <c r="R81" s="23"/>
      <c r="S81" s="23"/>
      <c r="T81" s="23"/>
      <c r="U81" s="23"/>
      <c r="V81" s="23"/>
      <c r="W81" s="23"/>
      <c r="X81" s="23"/>
      <c r="Y81" s="23"/>
      <c r="Z81" s="23"/>
      <c r="AA81" s="23"/>
      <c r="AB81" s="23"/>
      <c r="AC81" s="16"/>
    </row>
    <row r="82" spans="4:29">
      <c r="D82" s="16"/>
      <c r="I82" s="3"/>
      <c r="K82" s="25"/>
      <c r="L82" s="25"/>
      <c r="M82" s="25"/>
      <c r="N82" s="23"/>
      <c r="O82" s="23"/>
      <c r="P82" s="23"/>
      <c r="Q82" s="23"/>
      <c r="R82" s="23"/>
      <c r="S82" s="23"/>
      <c r="T82" s="23"/>
      <c r="U82" s="23"/>
      <c r="V82" s="23"/>
      <c r="W82" s="23"/>
      <c r="X82" s="23"/>
      <c r="Y82" s="23"/>
      <c r="Z82" s="23"/>
      <c r="AA82" s="23"/>
      <c r="AB82" s="23"/>
      <c r="AC82" s="16"/>
    </row>
    <row r="83" spans="4:29">
      <c r="D83" s="16"/>
      <c r="I83" s="3"/>
      <c r="K83" s="25"/>
      <c r="L83" s="25"/>
      <c r="M83" s="25"/>
      <c r="N83" s="23"/>
      <c r="O83" s="23"/>
      <c r="P83" s="23"/>
      <c r="Q83" s="23"/>
      <c r="R83" s="23"/>
      <c r="S83" s="23"/>
      <c r="T83" s="23"/>
      <c r="U83" s="23"/>
      <c r="V83" s="23"/>
      <c r="W83" s="23"/>
      <c r="X83" s="23"/>
      <c r="Y83" s="23"/>
      <c r="Z83" s="23"/>
      <c r="AA83" s="23"/>
      <c r="AB83" s="23"/>
      <c r="AC83" s="16"/>
    </row>
    <row r="84" spans="4:29">
      <c r="D84" s="16"/>
      <c r="I84" s="3"/>
      <c r="K84" s="25"/>
      <c r="L84" s="25"/>
      <c r="M84" s="25"/>
      <c r="N84" s="23"/>
      <c r="O84" s="23"/>
      <c r="P84" s="23"/>
      <c r="Q84" s="23"/>
      <c r="R84" s="23"/>
      <c r="S84" s="23"/>
      <c r="T84" s="23"/>
      <c r="U84" s="23"/>
      <c r="V84" s="23"/>
      <c r="W84" s="23"/>
      <c r="X84" s="23"/>
      <c r="Y84" s="23"/>
      <c r="Z84" s="23"/>
      <c r="AA84" s="23"/>
      <c r="AB84" s="23"/>
      <c r="AC84" s="16"/>
    </row>
    <row r="85" spans="4:29">
      <c r="D85" s="16"/>
      <c r="I85" s="3"/>
      <c r="K85" s="25"/>
      <c r="L85" s="25"/>
      <c r="M85" s="25"/>
      <c r="N85" s="23"/>
      <c r="O85" s="23"/>
      <c r="P85" s="23"/>
      <c r="Q85" s="23"/>
      <c r="R85" s="23"/>
      <c r="S85" s="23"/>
      <c r="T85" s="23"/>
      <c r="U85" s="23"/>
      <c r="V85" s="23"/>
      <c r="W85" s="23"/>
      <c r="X85" s="23"/>
      <c r="Y85" s="23"/>
      <c r="Z85" s="23"/>
      <c r="AA85" s="23"/>
      <c r="AB85" s="23"/>
      <c r="AC85" s="16"/>
    </row>
    <row r="86" spans="4:29">
      <c r="D86" s="16"/>
      <c r="I86" s="3"/>
      <c r="K86" s="25"/>
      <c r="L86" s="25"/>
      <c r="M86" s="25"/>
      <c r="N86" s="23"/>
      <c r="O86" s="23"/>
      <c r="P86" s="23"/>
      <c r="Q86" s="23"/>
      <c r="R86" s="23"/>
      <c r="S86" s="23"/>
      <c r="T86" s="23"/>
      <c r="U86" s="23"/>
      <c r="V86" s="23"/>
      <c r="W86" s="23"/>
      <c r="X86" s="23"/>
      <c r="Y86" s="23"/>
      <c r="Z86" s="23"/>
      <c r="AA86" s="23"/>
      <c r="AB86" s="23"/>
      <c r="AC86" s="16"/>
    </row>
    <row r="87" spans="4:29">
      <c r="D87" s="16"/>
      <c r="I87" s="3"/>
      <c r="K87" s="25"/>
      <c r="L87" s="25"/>
      <c r="M87" s="25"/>
      <c r="N87" s="23"/>
      <c r="O87" s="23"/>
      <c r="P87" s="23"/>
      <c r="Q87" s="23"/>
      <c r="R87" s="23"/>
      <c r="S87" s="23"/>
      <c r="T87" s="23"/>
      <c r="U87" s="23"/>
      <c r="V87" s="23"/>
      <c r="W87" s="23"/>
      <c r="X87" s="23"/>
      <c r="Y87" s="23"/>
      <c r="Z87" s="23"/>
      <c r="AA87" s="23"/>
      <c r="AB87" s="23"/>
      <c r="AC87" s="16"/>
    </row>
    <row r="88" spans="4:29">
      <c r="D88" s="16"/>
      <c r="I88" s="3"/>
      <c r="K88" s="25"/>
      <c r="L88" s="25"/>
      <c r="M88" s="25"/>
      <c r="N88" s="23"/>
      <c r="O88" s="23"/>
      <c r="P88" s="23"/>
      <c r="Q88" s="23"/>
      <c r="R88" s="23"/>
      <c r="S88" s="23"/>
      <c r="T88" s="23"/>
      <c r="U88" s="23"/>
      <c r="V88" s="23"/>
      <c r="W88" s="23"/>
      <c r="X88" s="23"/>
      <c r="Y88" s="23"/>
      <c r="Z88" s="23"/>
      <c r="AA88" s="23"/>
      <c r="AB88" s="23"/>
      <c r="AC88" s="16"/>
    </row>
    <row r="89" spans="4:29">
      <c r="D89" s="16"/>
      <c r="I89" s="3"/>
      <c r="K89" s="25"/>
      <c r="L89" s="25"/>
      <c r="M89" s="25"/>
      <c r="N89" s="23"/>
      <c r="O89" s="23"/>
      <c r="P89" s="23"/>
      <c r="Q89" s="23"/>
      <c r="R89" s="23"/>
      <c r="S89" s="23"/>
      <c r="T89" s="23"/>
      <c r="U89" s="23"/>
      <c r="V89" s="23"/>
      <c r="W89" s="23"/>
      <c r="X89" s="23"/>
      <c r="Y89" s="23"/>
      <c r="Z89" s="23"/>
      <c r="AA89" s="23"/>
      <c r="AB89" s="23"/>
      <c r="AC89" s="16"/>
    </row>
    <row r="90" spans="4:29">
      <c r="D90" s="16"/>
      <c r="I90" s="3"/>
      <c r="K90" s="25"/>
      <c r="L90" s="25"/>
      <c r="M90" s="25"/>
      <c r="N90" s="23"/>
      <c r="O90" s="23"/>
      <c r="P90" s="23"/>
      <c r="Q90" s="23"/>
      <c r="R90" s="23"/>
      <c r="S90" s="23"/>
      <c r="T90" s="23"/>
      <c r="U90" s="23"/>
      <c r="V90" s="23"/>
      <c r="W90" s="23"/>
      <c r="X90" s="23"/>
      <c r="Y90" s="23"/>
      <c r="Z90" s="23"/>
      <c r="AA90" s="23"/>
      <c r="AB90" s="23"/>
      <c r="AC90" s="16"/>
    </row>
    <row r="91" spans="4:29">
      <c r="D91" s="16"/>
      <c r="I91" s="3"/>
      <c r="K91" s="25"/>
      <c r="L91" s="25"/>
      <c r="M91" s="25"/>
      <c r="N91" s="23"/>
      <c r="O91" s="23"/>
      <c r="P91" s="23"/>
      <c r="Q91" s="23"/>
      <c r="R91" s="23"/>
      <c r="S91" s="23"/>
      <c r="T91" s="23"/>
      <c r="U91" s="23"/>
      <c r="V91" s="23"/>
      <c r="W91" s="23"/>
      <c r="X91" s="23"/>
      <c r="Y91" s="23"/>
      <c r="Z91" s="23"/>
      <c r="AA91" s="23"/>
      <c r="AB91" s="23"/>
      <c r="AC91" s="16"/>
    </row>
    <row r="92" spans="4:29">
      <c r="D92" s="16"/>
      <c r="I92" s="3"/>
      <c r="K92" s="25"/>
      <c r="L92" s="25"/>
      <c r="M92" s="25"/>
      <c r="N92" s="23"/>
      <c r="O92" s="23"/>
      <c r="P92" s="23"/>
      <c r="Q92" s="23"/>
      <c r="R92" s="23"/>
      <c r="S92" s="23"/>
      <c r="T92" s="23"/>
      <c r="U92" s="23"/>
      <c r="V92" s="23"/>
      <c r="W92" s="23"/>
      <c r="X92" s="23"/>
      <c r="Y92" s="23"/>
      <c r="Z92" s="23"/>
      <c r="AA92" s="23"/>
      <c r="AB92" s="23"/>
      <c r="AC92" s="16"/>
    </row>
    <row r="93" spans="4:29">
      <c r="D93" s="16"/>
      <c r="I93" s="3"/>
      <c r="K93" s="25"/>
      <c r="L93" s="25"/>
      <c r="M93" s="25"/>
      <c r="N93" s="23"/>
      <c r="O93" s="23"/>
      <c r="P93" s="23"/>
      <c r="Q93" s="23"/>
      <c r="R93" s="23"/>
      <c r="S93" s="23"/>
      <c r="T93" s="23"/>
      <c r="U93" s="23"/>
      <c r="V93" s="23"/>
      <c r="W93" s="23"/>
      <c r="X93" s="23"/>
      <c r="Y93" s="23"/>
      <c r="Z93" s="23"/>
      <c r="AA93" s="23"/>
      <c r="AB93" s="23"/>
      <c r="AC93" s="16"/>
    </row>
    <row r="94" spans="4:29">
      <c r="D94" s="16"/>
      <c r="I94" s="3"/>
      <c r="K94" s="25"/>
      <c r="L94" s="25"/>
      <c r="M94" s="25"/>
      <c r="N94" s="23"/>
      <c r="O94" s="23"/>
      <c r="P94" s="23"/>
      <c r="Q94" s="23"/>
      <c r="R94" s="23"/>
      <c r="S94" s="23"/>
      <c r="T94" s="23"/>
      <c r="U94" s="23"/>
      <c r="V94" s="23"/>
      <c r="W94" s="23"/>
      <c r="X94" s="23"/>
      <c r="Y94" s="23"/>
      <c r="Z94" s="23"/>
      <c r="AA94" s="23"/>
      <c r="AB94" s="23"/>
      <c r="AC94" s="16"/>
    </row>
    <row r="95" spans="4:29">
      <c r="D95" s="16"/>
      <c r="I95" s="3"/>
      <c r="K95" s="25"/>
      <c r="L95" s="25"/>
      <c r="M95" s="25"/>
      <c r="N95" s="23"/>
      <c r="O95" s="23"/>
      <c r="P95" s="23"/>
      <c r="Q95" s="23"/>
      <c r="R95" s="23"/>
      <c r="S95" s="23"/>
      <c r="T95" s="23"/>
      <c r="U95" s="23"/>
      <c r="V95" s="23"/>
      <c r="W95" s="23"/>
      <c r="X95" s="23"/>
      <c r="Y95" s="23"/>
      <c r="Z95" s="23"/>
      <c r="AA95" s="23"/>
      <c r="AB95" s="23"/>
      <c r="AC95" s="16"/>
    </row>
    <row r="96" spans="4:29">
      <c r="D96" s="16"/>
      <c r="I96" s="3"/>
      <c r="K96" s="25"/>
      <c r="L96" s="25"/>
      <c r="M96" s="25"/>
      <c r="N96" s="23"/>
      <c r="O96" s="23"/>
      <c r="P96" s="23"/>
      <c r="Q96" s="23"/>
      <c r="R96" s="23"/>
      <c r="S96" s="23"/>
      <c r="T96" s="23"/>
      <c r="U96" s="23"/>
      <c r="V96" s="23"/>
      <c r="W96" s="23"/>
      <c r="X96" s="23"/>
      <c r="Y96" s="23"/>
      <c r="Z96" s="23"/>
      <c r="AA96" s="23"/>
      <c r="AB96" s="23"/>
      <c r="AC96" s="16"/>
    </row>
    <row r="97" spans="4:29">
      <c r="D97" s="16"/>
      <c r="I97" s="3"/>
      <c r="K97" s="25"/>
      <c r="L97" s="25"/>
      <c r="M97" s="25"/>
      <c r="N97" s="23"/>
      <c r="O97" s="23"/>
      <c r="P97" s="23"/>
      <c r="Q97" s="23"/>
      <c r="R97" s="23"/>
      <c r="S97" s="23"/>
      <c r="T97" s="23"/>
      <c r="U97" s="23"/>
      <c r="V97" s="23"/>
      <c r="W97" s="23"/>
      <c r="X97" s="23"/>
      <c r="Y97" s="23"/>
      <c r="Z97" s="23"/>
      <c r="AA97" s="23"/>
      <c r="AB97" s="23"/>
      <c r="AC97" s="16"/>
    </row>
    <row r="98" spans="4:29">
      <c r="D98" s="16"/>
      <c r="I98" s="3"/>
      <c r="K98" s="25"/>
      <c r="L98" s="25"/>
      <c r="M98" s="25"/>
      <c r="N98" s="23"/>
      <c r="O98" s="23"/>
      <c r="P98" s="23"/>
      <c r="Q98" s="23"/>
      <c r="R98" s="23"/>
      <c r="S98" s="23"/>
      <c r="T98" s="23"/>
      <c r="U98" s="23"/>
      <c r="V98" s="23"/>
      <c r="W98" s="23"/>
      <c r="X98" s="23"/>
      <c r="Y98" s="23"/>
      <c r="Z98" s="23"/>
      <c r="AA98" s="23"/>
      <c r="AB98" s="23"/>
      <c r="AC98" s="16"/>
    </row>
    <row r="99" spans="4:29">
      <c r="D99" s="16"/>
      <c r="I99" s="3"/>
      <c r="K99" s="25"/>
      <c r="L99" s="25"/>
      <c r="M99" s="25"/>
      <c r="N99" s="23"/>
      <c r="O99" s="23"/>
      <c r="P99" s="23"/>
      <c r="Q99" s="23"/>
      <c r="R99" s="23"/>
      <c r="S99" s="23"/>
      <c r="T99" s="23"/>
      <c r="U99" s="23"/>
      <c r="V99" s="23"/>
      <c r="W99" s="23"/>
      <c r="X99" s="23"/>
      <c r="Y99" s="23"/>
      <c r="Z99" s="23"/>
      <c r="AA99" s="23"/>
      <c r="AB99" s="23"/>
      <c r="AC99" s="16"/>
    </row>
    <row r="100" spans="4:29">
      <c r="D100" s="16"/>
      <c r="I100" s="3"/>
      <c r="K100" s="25"/>
      <c r="L100" s="25"/>
      <c r="M100" s="25"/>
      <c r="N100" s="23"/>
      <c r="O100" s="23"/>
      <c r="P100" s="23"/>
      <c r="Q100" s="23"/>
      <c r="R100" s="23"/>
      <c r="S100" s="23"/>
      <c r="T100" s="23"/>
      <c r="U100" s="23"/>
      <c r="V100" s="23"/>
      <c r="W100" s="23"/>
      <c r="X100" s="23"/>
      <c r="Y100" s="23"/>
      <c r="Z100" s="23"/>
      <c r="AA100" s="23"/>
      <c r="AB100" s="23"/>
      <c r="AC100" s="16"/>
    </row>
    <row r="101" spans="4:29">
      <c r="D101" s="16"/>
      <c r="I101" s="3"/>
      <c r="K101" s="25"/>
      <c r="L101" s="25"/>
      <c r="M101" s="25"/>
      <c r="N101" s="23"/>
      <c r="O101" s="23"/>
      <c r="P101" s="23"/>
      <c r="Q101" s="23"/>
      <c r="R101" s="23"/>
      <c r="S101" s="23"/>
      <c r="T101" s="23"/>
      <c r="U101" s="23"/>
      <c r="V101" s="23"/>
      <c r="W101" s="23"/>
      <c r="X101" s="23"/>
      <c r="Y101" s="23"/>
      <c r="Z101" s="23"/>
      <c r="AA101" s="23"/>
      <c r="AB101" s="23"/>
      <c r="AC101" s="16"/>
    </row>
    <row r="102" spans="4:29">
      <c r="D102" s="16"/>
      <c r="I102" s="3"/>
      <c r="K102" s="25"/>
      <c r="L102" s="25"/>
      <c r="M102" s="25"/>
      <c r="N102" s="23"/>
      <c r="O102" s="23"/>
      <c r="P102" s="23"/>
      <c r="Q102" s="23"/>
      <c r="R102" s="23"/>
      <c r="S102" s="23"/>
      <c r="T102" s="23"/>
      <c r="U102" s="23"/>
      <c r="V102" s="23"/>
      <c r="W102" s="23"/>
      <c r="X102" s="23"/>
      <c r="Y102" s="23"/>
      <c r="Z102" s="23"/>
      <c r="AA102" s="23"/>
      <c r="AB102" s="23"/>
      <c r="AC102" s="16"/>
    </row>
    <row r="103" spans="4:29">
      <c r="D103" s="16"/>
      <c r="I103" s="3"/>
      <c r="K103" s="25"/>
      <c r="L103" s="25"/>
      <c r="M103" s="25"/>
      <c r="N103" s="23"/>
      <c r="O103" s="23"/>
      <c r="P103" s="23"/>
      <c r="Q103" s="23"/>
      <c r="R103" s="23"/>
      <c r="S103" s="23"/>
      <c r="T103" s="23"/>
      <c r="U103" s="23"/>
      <c r="V103" s="23"/>
      <c r="W103" s="23"/>
      <c r="X103" s="23"/>
      <c r="Y103" s="23"/>
      <c r="Z103" s="23"/>
      <c r="AA103" s="23"/>
      <c r="AB103" s="23"/>
      <c r="AC103" s="16"/>
    </row>
    <row r="104" spans="4:29">
      <c r="D104" s="16"/>
      <c r="I104" s="3"/>
      <c r="K104" s="25"/>
      <c r="L104" s="25"/>
      <c r="M104" s="25"/>
      <c r="N104" s="23"/>
      <c r="O104" s="23"/>
      <c r="P104" s="23"/>
      <c r="Q104" s="23"/>
      <c r="R104" s="23"/>
      <c r="S104" s="23"/>
      <c r="T104" s="23"/>
      <c r="U104" s="23"/>
      <c r="V104" s="23"/>
      <c r="W104" s="23"/>
      <c r="X104" s="23"/>
      <c r="Y104" s="23"/>
      <c r="Z104" s="23"/>
      <c r="AA104" s="23"/>
      <c r="AB104" s="23"/>
      <c r="AC104" s="16"/>
    </row>
    <row r="105" spans="4:29">
      <c r="D105" s="16"/>
      <c r="I105" s="3"/>
      <c r="K105" s="25"/>
      <c r="L105" s="25"/>
      <c r="M105" s="25"/>
      <c r="N105" s="23"/>
      <c r="O105" s="23"/>
      <c r="P105" s="23"/>
      <c r="Q105" s="23"/>
      <c r="R105" s="23"/>
      <c r="S105" s="23"/>
      <c r="T105" s="23"/>
      <c r="U105" s="23"/>
      <c r="V105" s="23"/>
      <c r="W105" s="23"/>
      <c r="X105" s="23"/>
      <c r="Y105" s="23"/>
      <c r="Z105" s="23"/>
      <c r="AA105" s="23"/>
      <c r="AB105" s="23"/>
      <c r="AC105" s="16"/>
    </row>
    <row r="106" spans="4:29">
      <c r="D106" s="16"/>
      <c r="I106" s="3"/>
      <c r="K106" s="25"/>
      <c r="L106" s="25"/>
      <c r="M106" s="25"/>
      <c r="N106" s="23"/>
      <c r="O106" s="23"/>
      <c r="P106" s="23"/>
      <c r="Q106" s="23"/>
      <c r="R106" s="23"/>
      <c r="S106" s="23"/>
      <c r="T106" s="23"/>
      <c r="U106" s="23"/>
      <c r="V106" s="23"/>
      <c r="W106" s="23"/>
      <c r="X106" s="23"/>
      <c r="Y106" s="23"/>
      <c r="Z106" s="23"/>
      <c r="AA106" s="23"/>
      <c r="AB106" s="23"/>
      <c r="AC106" s="16"/>
    </row>
    <row r="107" spans="4:29">
      <c r="D107" s="16"/>
      <c r="I107" s="3"/>
      <c r="K107" s="25"/>
      <c r="L107" s="25"/>
      <c r="M107" s="25"/>
      <c r="N107" s="23"/>
      <c r="O107" s="23"/>
      <c r="P107" s="23"/>
      <c r="Q107" s="23"/>
      <c r="R107" s="23"/>
      <c r="S107" s="23"/>
      <c r="T107" s="23"/>
      <c r="U107" s="23"/>
      <c r="V107" s="23"/>
      <c r="W107" s="23"/>
      <c r="X107" s="23"/>
      <c r="Y107" s="23"/>
      <c r="Z107" s="23"/>
      <c r="AA107" s="23"/>
      <c r="AB107" s="23"/>
      <c r="AC107" s="16"/>
    </row>
    <row r="108" spans="4:29">
      <c r="D108" s="16"/>
      <c r="I108" s="3"/>
      <c r="K108" s="25"/>
      <c r="L108" s="25"/>
      <c r="M108" s="25"/>
      <c r="N108" s="23"/>
      <c r="O108" s="23"/>
      <c r="P108" s="23"/>
      <c r="Q108" s="23"/>
      <c r="R108" s="23"/>
      <c r="S108" s="23"/>
      <c r="T108" s="23"/>
      <c r="U108" s="23"/>
      <c r="V108" s="23"/>
      <c r="W108" s="23"/>
      <c r="X108" s="23"/>
      <c r="Y108" s="23"/>
      <c r="Z108" s="23"/>
      <c r="AA108" s="23"/>
      <c r="AB108" s="23"/>
      <c r="AC108" s="16"/>
    </row>
    <row r="109" spans="4:29">
      <c r="D109" s="16"/>
      <c r="I109" s="3"/>
      <c r="K109" s="25"/>
      <c r="L109" s="25"/>
      <c r="M109" s="25"/>
      <c r="N109" s="23"/>
      <c r="O109" s="23"/>
      <c r="P109" s="23"/>
      <c r="Q109" s="23"/>
      <c r="R109" s="23"/>
      <c r="S109" s="23"/>
      <c r="T109" s="23"/>
      <c r="U109" s="23"/>
      <c r="V109" s="23"/>
      <c r="W109" s="23"/>
      <c r="X109" s="23"/>
      <c r="Y109" s="23"/>
      <c r="Z109" s="23"/>
      <c r="AA109" s="23"/>
      <c r="AB109" s="23"/>
      <c r="AC109" s="16"/>
    </row>
    <row r="110" spans="4:29">
      <c r="D110" s="16"/>
      <c r="I110" s="3"/>
      <c r="K110" s="25"/>
      <c r="L110" s="25"/>
      <c r="M110" s="25"/>
      <c r="N110" s="23"/>
      <c r="O110" s="23"/>
      <c r="P110" s="23"/>
      <c r="Q110" s="23"/>
      <c r="R110" s="23"/>
      <c r="S110" s="23"/>
      <c r="T110" s="23"/>
      <c r="U110" s="23"/>
      <c r="V110" s="23"/>
      <c r="W110" s="23"/>
      <c r="X110" s="23"/>
      <c r="Y110" s="23"/>
      <c r="Z110" s="23"/>
      <c r="AA110" s="23"/>
      <c r="AB110" s="23"/>
      <c r="AC110" s="16"/>
    </row>
    <row r="111" spans="4:29">
      <c r="D111" s="16"/>
      <c r="I111" s="3"/>
      <c r="K111" s="25"/>
      <c r="L111" s="25"/>
      <c r="M111" s="25"/>
      <c r="N111" s="23"/>
      <c r="O111" s="23"/>
      <c r="P111" s="23"/>
      <c r="Q111" s="23"/>
      <c r="R111" s="23"/>
      <c r="S111" s="23"/>
      <c r="T111" s="23"/>
      <c r="U111" s="23"/>
      <c r="V111" s="23"/>
      <c r="W111" s="23"/>
      <c r="X111" s="23"/>
      <c r="Y111" s="23"/>
      <c r="Z111" s="23"/>
      <c r="AA111" s="23"/>
      <c r="AB111" s="23"/>
      <c r="AC111" s="16"/>
    </row>
    <row r="112" spans="4:29">
      <c r="D112" s="16"/>
      <c r="I112" s="3"/>
      <c r="K112" s="25"/>
      <c r="L112" s="25"/>
      <c r="M112" s="25"/>
      <c r="N112" s="23"/>
      <c r="O112" s="23"/>
      <c r="P112" s="23"/>
      <c r="Q112" s="23"/>
      <c r="R112" s="23"/>
      <c r="S112" s="23"/>
      <c r="T112" s="23"/>
      <c r="U112" s="23"/>
      <c r="V112" s="23"/>
      <c r="W112" s="23"/>
      <c r="X112" s="23"/>
      <c r="Y112" s="23"/>
      <c r="Z112" s="23"/>
      <c r="AA112" s="23"/>
      <c r="AB112" s="23"/>
      <c r="AC112" s="16"/>
    </row>
    <row r="113" spans="4:29">
      <c r="D113" s="16"/>
      <c r="I113" s="3"/>
      <c r="K113" s="25"/>
      <c r="L113" s="25"/>
      <c r="M113" s="25"/>
      <c r="N113" s="23"/>
      <c r="O113" s="23"/>
      <c r="P113" s="23"/>
      <c r="Q113" s="23"/>
      <c r="R113" s="23"/>
      <c r="S113" s="23"/>
      <c r="T113" s="23"/>
      <c r="U113" s="23"/>
      <c r="V113" s="23"/>
      <c r="W113" s="23"/>
      <c r="X113" s="23"/>
      <c r="Y113" s="23"/>
      <c r="Z113" s="23"/>
      <c r="AA113" s="23"/>
      <c r="AB113" s="23"/>
      <c r="AC113" s="16"/>
    </row>
    <row r="114" spans="4:29">
      <c r="D114" s="16"/>
      <c r="I114" s="3"/>
      <c r="K114" s="25"/>
      <c r="L114" s="25"/>
      <c r="M114" s="25"/>
      <c r="N114" s="23"/>
      <c r="O114" s="23"/>
      <c r="P114" s="23"/>
      <c r="Q114" s="23"/>
      <c r="R114" s="23"/>
      <c r="S114" s="23"/>
      <c r="T114" s="23"/>
      <c r="U114" s="23"/>
      <c r="V114" s="23"/>
      <c r="W114" s="23"/>
      <c r="X114" s="23"/>
      <c r="Y114" s="23"/>
      <c r="Z114" s="23"/>
      <c r="AA114" s="23"/>
      <c r="AB114" s="23"/>
      <c r="AC114" s="16"/>
    </row>
    <row r="115" spans="4:29">
      <c r="D115" s="16"/>
      <c r="I115" s="3"/>
      <c r="K115" s="25"/>
      <c r="L115" s="25"/>
      <c r="M115" s="25"/>
      <c r="N115" s="23"/>
      <c r="O115" s="23"/>
      <c r="P115" s="23"/>
      <c r="Q115" s="23"/>
      <c r="R115" s="23"/>
      <c r="S115" s="23"/>
      <c r="T115" s="23"/>
      <c r="U115" s="23"/>
      <c r="V115" s="23"/>
      <c r="W115" s="23"/>
      <c r="X115" s="23"/>
      <c r="Y115" s="23"/>
      <c r="Z115" s="23"/>
      <c r="AA115" s="23"/>
      <c r="AB115" s="23"/>
      <c r="AC115" s="16"/>
    </row>
    <row r="116" spans="4:29">
      <c r="D116" s="16"/>
      <c r="I116" s="3"/>
      <c r="K116" s="25"/>
      <c r="L116" s="25"/>
      <c r="M116" s="25"/>
      <c r="N116" s="23"/>
      <c r="O116" s="23"/>
      <c r="P116" s="23"/>
      <c r="Q116" s="23"/>
      <c r="R116" s="23"/>
      <c r="S116" s="23"/>
      <c r="T116" s="23"/>
      <c r="U116" s="23"/>
      <c r="V116" s="23"/>
      <c r="W116" s="23"/>
      <c r="X116" s="23"/>
      <c r="Y116" s="23"/>
      <c r="Z116" s="23"/>
      <c r="AA116" s="23"/>
      <c r="AB116" s="23"/>
      <c r="AC116" s="16"/>
    </row>
    <row r="117" spans="4:29">
      <c r="D117" s="16"/>
      <c r="I117" s="3"/>
      <c r="K117" s="25"/>
      <c r="L117" s="25"/>
      <c r="M117" s="25"/>
      <c r="N117" s="23"/>
      <c r="O117" s="23"/>
      <c r="P117" s="23"/>
      <c r="Q117" s="23"/>
      <c r="R117" s="23"/>
      <c r="S117" s="23"/>
      <c r="T117" s="23"/>
      <c r="U117" s="23"/>
      <c r="V117" s="23"/>
      <c r="W117" s="23"/>
      <c r="X117" s="23"/>
      <c r="Y117" s="23"/>
      <c r="Z117" s="23"/>
      <c r="AA117" s="23"/>
      <c r="AB117" s="23"/>
      <c r="AC117" s="16"/>
    </row>
    <row r="118" spans="4:29">
      <c r="D118" s="16"/>
      <c r="I118" s="3"/>
      <c r="K118" s="25"/>
      <c r="L118" s="25"/>
      <c r="M118" s="25"/>
      <c r="N118" s="23"/>
      <c r="O118" s="23"/>
      <c r="P118" s="23"/>
      <c r="Q118" s="23"/>
      <c r="R118" s="23"/>
      <c r="S118" s="23"/>
      <c r="T118" s="23"/>
      <c r="U118" s="23"/>
      <c r="V118" s="23"/>
      <c r="W118" s="23"/>
      <c r="X118" s="23"/>
      <c r="Y118" s="23"/>
      <c r="Z118" s="23"/>
      <c r="AA118" s="23"/>
      <c r="AB118" s="23"/>
      <c r="AC118" s="16"/>
    </row>
    <row r="119" spans="4:29">
      <c r="D119" s="16"/>
      <c r="I119" s="3"/>
      <c r="K119" s="25"/>
      <c r="L119" s="25"/>
      <c r="M119" s="25"/>
      <c r="N119" s="23"/>
      <c r="O119" s="23"/>
      <c r="P119" s="23"/>
      <c r="Q119" s="23"/>
      <c r="R119" s="23"/>
      <c r="S119" s="23"/>
      <c r="T119" s="23"/>
      <c r="U119" s="23"/>
      <c r="V119" s="23"/>
      <c r="W119" s="23"/>
      <c r="X119" s="23"/>
      <c r="Y119" s="23"/>
      <c r="Z119" s="23"/>
      <c r="AA119" s="23"/>
      <c r="AB119" s="23"/>
      <c r="AC119" s="16"/>
    </row>
    <row r="120" spans="4:29">
      <c r="D120" s="16"/>
      <c r="I120" s="3"/>
      <c r="K120" s="25"/>
      <c r="L120" s="25"/>
      <c r="M120" s="25"/>
      <c r="N120" s="23"/>
      <c r="O120" s="23"/>
      <c r="P120" s="23"/>
      <c r="Q120" s="23"/>
      <c r="R120" s="23"/>
      <c r="S120" s="23"/>
      <c r="T120" s="23"/>
      <c r="U120" s="23"/>
      <c r="V120" s="23"/>
      <c r="W120" s="23"/>
      <c r="X120" s="23"/>
      <c r="Y120" s="23"/>
      <c r="Z120" s="23"/>
      <c r="AA120" s="23"/>
      <c r="AB120" s="23"/>
      <c r="AC120" s="16"/>
    </row>
    <row r="121" spans="4:29">
      <c r="D121" s="16"/>
      <c r="I121" s="3"/>
      <c r="K121" s="25"/>
      <c r="L121" s="25"/>
      <c r="M121" s="25"/>
      <c r="N121" s="23"/>
      <c r="O121" s="23"/>
      <c r="P121" s="23"/>
      <c r="Q121" s="23"/>
      <c r="R121" s="23"/>
      <c r="S121" s="23"/>
      <c r="T121" s="23"/>
      <c r="U121" s="23"/>
      <c r="V121" s="23"/>
      <c r="W121" s="23"/>
      <c r="X121" s="23"/>
      <c r="Y121" s="23"/>
      <c r="Z121" s="23"/>
      <c r="AA121" s="23"/>
      <c r="AB121" s="23"/>
      <c r="AC121" s="16"/>
    </row>
    <row r="122" spans="4:29">
      <c r="D122" s="16"/>
      <c r="I122" s="3"/>
      <c r="K122" s="25"/>
      <c r="L122" s="25"/>
      <c r="M122" s="25"/>
      <c r="N122" s="23"/>
      <c r="O122" s="23"/>
      <c r="P122" s="23"/>
      <c r="Q122" s="23"/>
      <c r="R122" s="23"/>
      <c r="S122" s="23"/>
      <c r="T122" s="23"/>
      <c r="U122" s="23"/>
      <c r="V122" s="23"/>
      <c r="W122" s="23"/>
      <c r="X122" s="23"/>
      <c r="Y122" s="23"/>
      <c r="Z122" s="23"/>
      <c r="AA122" s="23"/>
      <c r="AB122" s="23"/>
      <c r="AC122" s="16"/>
    </row>
    <row r="123" spans="4:29">
      <c r="D123" s="16"/>
      <c r="I123" s="3"/>
      <c r="K123" s="25"/>
      <c r="L123" s="25"/>
      <c r="M123" s="25"/>
      <c r="N123" s="23"/>
      <c r="O123" s="23"/>
      <c r="P123" s="23"/>
      <c r="Q123" s="23"/>
      <c r="R123" s="23"/>
      <c r="S123" s="23"/>
      <c r="T123" s="23"/>
      <c r="U123" s="23"/>
      <c r="V123" s="23"/>
      <c r="W123" s="23"/>
      <c r="X123" s="23"/>
      <c r="Y123" s="23"/>
      <c r="Z123" s="23"/>
      <c r="AA123" s="23"/>
      <c r="AB123" s="23"/>
      <c r="AC123" s="16"/>
    </row>
    <row r="124" spans="4:29">
      <c r="D124" s="16"/>
      <c r="I124" s="3"/>
      <c r="K124" s="25"/>
      <c r="L124" s="25"/>
      <c r="M124" s="25"/>
      <c r="N124" s="23"/>
      <c r="O124" s="23"/>
      <c r="P124" s="23"/>
      <c r="Q124" s="23"/>
      <c r="R124" s="23"/>
      <c r="S124" s="23"/>
      <c r="T124" s="23"/>
      <c r="U124" s="23"/>
      <c r="V124" s="23"/>
      <c r="W124" s="23"/>
      <c r="X124" s="23"/>
      <c r="Y124" s="23"/>
      <c r="Z124" s="23"/>
      <c r="AA124" s="23"/>
      <c r="AB124" s="23"/>
      <c r="AC124" s="16"/>
    </row>
    <row r="125" spans="4:29">
      <c r="D125" s="16"/>
      <c r="I125" s="3"/>
      <c r="K125" s="25"/>
      <c r="L125" s="25"/>
      <c r="M125" s="25"/>
      <c r="N125" s="23"/>
      <c r="O125" s="23"/>
      <c r="P125" s="23"/>
      <c r="Q125" s="23"/>
      <c r="R125" s="23"/>
      <c r="S125" s="23"/>
      <c r="T125" s="23"/>
      <c r="U125" s="23"/>
      <c r="V125" s="23"/>
      <c r="W125" s="23"/>
      <c r="X125" s="23"/>
      <c r="Y125" s="23"/>
      <c r="Z125" s="23"/>
      <c r="AA125" s="23"/>
      <c r="AB125" s="23"/>
      <c r="AC125" s="16"/>
    </row>
    <row r="126" spans="4:29">
      <c r="D126" s="16"/>
      <c r="I126" s="3"/>
      <c r="K126" s="25"/>
      <c r="L126" s="25"/>
      <c r="M126" s="25"/>
      <c r="N126" s="23"/>
      <c r="O126" s="23"/>
      <c r="P126" s="23"/>
      <c r="Q126" s="23"/>
      <c r="R126" s="23"/>
      <c r="S126" s="23"/>
      <c r="T126" s="23"/>
      <c r="U126" s="23"/>
      <c r="V126" s="23"/>
      <c r="W126" s="23"/>
      <c r="X126" s="23"/>
      <c r="Y126" s="23"/>
      <c r="Z126" s="23"/>
      <c r="AA126" s="23"/>
      <c r="AB126" s="23"/>
      <c r="AC126" s="16"/>
    </row>
    <row r="127" spans="4:29">
      <c r="D127" s="16"/>
      <c r="I127" s="3"/>
      <c r="K127" s="25"/>
      <c r="L127" s="25"/>
      <c r="M127" s="25"/>
      <c r="N127" s="23"/>
      <c r="O127" s="23"/>
      <c r="P127" s="23"/>
      <c r="Q127" s="23"/>
      <c r="R127" s="23"/>
      <c r="S127" s="23"/>
      <c r="T127" s="23"/>
      <c r="U127" s="23"/>
      <c r="V127" s="23"/>
      <c r="W127" s="23"/>
      <c r="X127" s="23"/>
      <c r="Y127" s="23"/>
      <c r="Z127" s="23"/>
      <c r="AA127" s="23"/>
      <c r="AB127" s="23"/>
      <c r="AC127" s="16"/>
    </row>
    <row r="128" spans="4:29">
      <c r="D128" s="16"/>
      <c r="I128" s="3"/>
      <c r="K128" s="25"/>
      <c r="L128" s="25"/>
      <c r="M128" s="25"/>
      <c r="N128" s="23"/>
      <c r="O128" s="23"/>
      <c r="P128" s="23"/>
      <c r="Q128" s="23"/>
      <c r="R128" s="23"/>
      <c r="S128" s="23"/>
      <c r="T128" s="23"/>
      <c r="U128" s="23"/>
      <c r="V128" s="23"/>
      <c r="W128" s="23"/>
      <c r="X128" s="23"/>
      <c r="Y128" s="23"/>
      <c r="Z128" s="23"/>
      <c r="AA128" s="23"/>
      <c r="AB128" s="23"/>
      <c r="AC128" s="16"/>
    </row>
    <row r="129" spans="4:29">
      <c r="D129" s="16"/>
      <c r="I129" s="3"/>
      <c r="K129" s="25"/>
      <c r="L129" s="25"/>
      <c r="M129" s="25"/>
      <c r="N129" s="23"/>
      <c r="O129" s="23"/>
      <c r="P129" s="23"/>
      <c r="Q129" s="23"/>
      <c r="R129" s="23"/>
      <c r="S129" s="23"/>
      <c r="T129" s="23"/>
      <c r="U129" s="23"/>
      <c r="V129" s="23"/>
      <c r="W129" s="23"/>
      <c r="X129" s="23"/>
      <c r="Y129" s="23"/>
      <c r="Z129" s="23"/>
      <c r="AA129" s="23"/>
      <c r="AB129" s="23"/>
      <c r="AC129" s="16"/>
    </row>
    <row r="130" spans="4:29">
      <c r="D130" s="16"/>
      <c r="I130" s="3"/>
      <c r="K130" s="25"/>
      <c r="L130" s="25"/>
      <c r="M130" s="25"/>
      <c r="N130" s="23"/>
      <c r="O130" s="23"/>
      <c r="P130" s="23"/>
      <c r="Q130" s="23"/>
      <c r="R130" s="23"/>
      <c r="S130" s="23"/>
      <c r="T130" s="23"/>
      <c r="U130" s="23"/>
      <c r="V130" s="23"/>
      <c r="W130" s="23"/>
      <c r="X130" s="23"/>
      <c r="Y130" s="23"/>
      <c r="Z130" s="23"/>
      <c r="AA130" s="23"/>
      <c r="AB130" s="23"/>
      <c r="AC130" s="16"/>
    </row>
    <row r="131" spans="4:29">
      <c r="D131" s="16"/>
      <c r="I131" s="3"/>
      <c r="K131" s="25"/>
      <c r="L131" s="25"/>
      <c r="M131" s="25"/>
      <c r="N131" s="23"/>
      <c r="O131" s="23"/>
      <c r="P131" s="23"/>
      <c r="Q131" s="23"/>
      <c r="R131" s="23"/>
      <c r="S131" s="23"/>
      <c r="T131" s="23"/>
      <c r="U131" s="23"/>
      <c r="V131" s="23"/>
      <c r="W131" s="23"/>
      <c r="X131" s="23"/>
      <c r="Y131" s="23"/>
      <c r="Z131" s="23"/>
      <c r="AA131" s="23"/>
      <c r="AB131" s="23"/>
      <c r="AC131" s="16"/>
    </row>
    <row r="132" spans="4:29">
      <c r="D132" s="16"/>
      <c r="I132" s="3"/>
      <c r="K132" s="25"/>
      <c r="L132" s="25"/>
      <c r="M132" s="25"/>
      <c r="N132" s="23"/>
      <c r="O132" s="23"/>
      <c r="P132" s="23"/>
      <c r="Q132" s="23"/>
      <c r="R132" s="23"/>
      <c r="S132" s="23"/>
      <c r="T132" s="23"/>
      <c r="U132" s="23"/>
      <c r="V132" s="23"/>
      <c r="W132" s="23"/>
      <c r="X132" s="23"/>
      <c r="Y132" s="23"/>
      <c r="Z132" s="23"/>
      <c r="AA132" s="23"/>
      <c r="AB132" s="23"/>
      <c r="AC132" s="16"/>
    </row>
    <row r="133" spans="4:29">
      <c r="D133" s="16"/>
      <c r="I133" s="3"/>
      <c r="K133" s="25"/>
      <c r="L133" s="25"/>
      <c r="M133" s="25"/>
      <c r="N133" s="23"/>
      <c r="O133" s="23"/>
      <c r="P133" s="23"/>
      <c r="Q133" s="23"/>
      <c r="R133" s="23"/>
      <c r="S133" s="23"/>
      <c r="T133" s="23"/>
      <c r="U133" s="23"/>
      <c r="V133" s="23"/>
      <c r="W133" s="23"/>
      <c r="X133" s="23"/>
      <c r="Y133" s="23"/>
      <c r="Z133" s="23"/>
      <c r="AA133" s="23"/>
      <c r="AB133" s="23"/>
      <c r="AC133" s="16"/>
    </row>
    <row r="134" spans="4:29">
      <c r="D134" s="16"/>
      <c r="I134" s="3"/>
      <c r="K134" s="25"/>
      <c r="L134" s="25"/>
      <c r="M134" s="25"/>
      <c r="N134" s="23"/>
      <c r="O134" s="23"/>
      <c r="P134" s="23"/>
      <c r="Q134" s="23"/>
      <c r="R134" s="23"/>
      <c r="S134" s="23"/>
      <c r="T134" s="23"/>
      <c r="U134" s="23"/>
      <c r="V134" s="23"/>
      <c r="W134" s="23"/>
      <c r="X134" s="23"/>
      <c r="Y134" s="23"/>
      <c r="Z134" s="23"/>
      <c r="AA134" s="23"/>
      <c r="AB134" s="23"/>
      <c r="AC134" s="16"/>
    </row>
    <row r="135" spans="4:29">
      <c r="D135" s="16"/>
      <c r="I135" s="3"/>
      <c r="K135" s="25"/>
      <c r="L135" s="25"/>
      <c r="M135" s="25"/>
      <c r="N135" s="23"/>
      <c r="O135" s="23"/>
      <c r="P135" s="23"/>
      <c r="Q135" s="23"/>
      <c r="R135" s="23"/>
      <c r="S135" s="23"/>
      <c r="T135" s="23"/>
      <c r="U135" s="23"/>
      <c r="V135" s="23"/>
      <c r="W135" s="23"/>
      <c r="X135" s="23"/>
      <c r="Y135" s="23"/>
      <c r="Z135" s="23"/>
      <c r="AA135" s="23"/>
      <c r="AB135" s="23"/>
      <c r="AC135" s="16"/>
    </row>
    <row r="136" spans="4:29">
      <c r="D136" s="16"/>
      <c r="I136" s="3"/>
      <c r="K136" s="25"/>
      <c r="L136" s="25"/>
      <c r="M136" s="25"/>
      <c r="N136" s="23"/>
      <c r="O136" s="23"/>
      <c r="P136" s="23"/>
      <c r="Q136" s="23"/>
      <c r="R136" s="23"/>
      <c r="S136" s="23"/>
      <c r="T136" s="23"/>
      <c r="U136" s="23"/>
      <c r="V136" s="23"/>
      <c r="W136" s="23"/>
      <c r="X136" s="23"/>
      <c r="Y136" s="23"/>
      <c r="Z136" s="23"/>
      <c r="AA136" s="23"/>
      <c r="AB136" s="23"/>
      <c r="AC136" s="16"/>
    </row>
    <row r="137" spans="4:29">
      <c r="D137" s="16"/>
      <c r="I137" s="3"/>
      <c r="K137" s="25"/>
      <c r="L137" s="25"/>
      <c r="M137" s="25"/>
      <c r="N137" s="23"/>
      <c r="O137" s="23"/>
      <c r="P137" s="23"/>
      <c r="Q137" s="23"/>
      <c r="R137" s="23"/>
      <c r="S137" s="23"/>
      <c r="T137" s="23"/>
      <c r="U137" s="23"/>
      <c r="V137" s="23"/>
      <c r="W137" s="23"/>
      <c r="X137" s="23"/>
      <c r="Y137" s="23"/>
      <c r="Z137" s="23"/>
      <c r="AA137" s="23"/>
      <c r="AB137" s="23"/>
      <c r="AC137" s="16"/>
    </row>
    <row r="138" spans="4:29">
      <c r="D138" s="16"/>
      <c r="I138" s="3"/>
      <c r="K138" s="25"/>
      <c r="L138" s="25"/>
      <c r="M138" s="25"/>
      <c r="N138" s="23"/>
      <c r="O138" s="23"/>
      <c r="P138" s="23"/>
      <c r="Q138" s="23"/>
      <c r="R138" s="23"/>
      <c r="S138" s="23"/>
      <c r="T138" s="23"/>
      <c r="U138" s="23"/>
      <c r="V138" s="23"/>
      <c r="W138" s="23"/>
      <c r="X138" s="23"/>
      <c r="Y138" s="23"/>
      <c r="Z138" s="23"/>
      <c r="AA138" s="23"/>
      <c r="AB138" s="23"/>
      <c r="AC138" s="16"/>
    </row>
    <row r="139" spans="4:29">
      <c r="D139" s="16"/>
      <c r="I139" s="3"/>
      <c r="K139" s="25"/>
      <c r="L139" s="25"/>
      <c r="M139" s="25"/>
      <c r="N139" s="23"/>
      <c r="O139" s="23"/>
      <c r="P139" s="23"/>
      <c r="Q139" s="23"/>
      <c r="R139" s="23"/>
      <c r="S139" s="23"/>
      <c r="T139" s="23"/>
      <c r="U139" s="23"/>
      <c r="V139" s="23"/>
      <c r="W139" s="23"/>
      <c r="X139" s="23"/>
      <c r="Y139" s="23"/>
      <c r="Z139" s="23"/>
      <c r="AA139" s="23"/>
      <c r="AB139" s="23"/>
      <c r="AC139" s="16"/>
    </row>
    <row r="140" spans="4:29">
      <c r="D140" s="16"/>
      <c r="I140" s="3"/>
      <c r="K140" s="25"/>
      <c r="L140" s="25"/>
      <c r="M140" s="25"/>
      <c r="N140" s="23"/>
      <c r="O140" s="23"/>
      <c r="P140" s="23"/>
      <c r="Q140" s="23"/>
      <c r="R140" s="23"/>
      <c r="S140" s="23"/>
      <c r="T140" s="23"/>
      <c r="U140" s="23"/>
      <c r="V140" s="23"/>
      <c r="W140" s="23"/>
      <c r="X140" s="23"/>
      <c r="Y140" s="23"/>
      <c r="Z140" s="23"/>
      <c r="AA140" s="23"/>
      <c r="AB140" s="23"/>
      <c r="AC140" s="16"/>
    </row>
    <row r="141" spans="4:29">
      <c r="D141" s="16"/>
      <c r="I141" s="3"/>
      <c r="K141" s="25"/>
      <c r="L141" s="25"/>
      <c r="M141" s="25"/>
      <c r="N141" s="23"/>
      <c r="O141" s="23"/>
      <c r="P141" s="23"/>
      <c r="Q141" s="23"/>
      <c r="R141" s="23"/>
      <c r="S141" s="23"/>
      <c r="T141" s="23"/>
      <c r="U141" s="23"/>
      <c r="V141" s="23"/>
      <c r="W141" s="23"/>
      <c r="X141" s="23"/>
      <c r="Y141" s="23"/>
      <c r="Z141" s="23"/>
      <c r="AA141" s="23"/>
      <c r="AB141" s="23"/>
      <c r="AC141" s="16"/>
    </row>
    <row r="142" spans="4:29">
      <c r="D142" s="16"/>
      <c r="I142" s="3"/>
      <c r="K142" s="25"/>
      <c r="L142" s="25"/>
      <c r="M142" s="25"/>
      <c r="N142" s="23"/>
      <c r="O142" s="23"/>
      <c r="P142" s="23"/>
      <c r="Q142" s="23"/>
      <c r="R142" s="23"/>
      <c r="S142" s="23"/>
      <c r="T142" s="23"/>
      <c r="U142" s="23"/>
      <c r="V142" s="23"/>
      <c r="W142" s="23"/>
      <c r="X142" s="23"/>
      <c r="Y142" s="23"/>
      <c r="Z142" s="23"/>
      <c r="AA142" s="23"/>
      <c r="AB142" s="23"/>
      <c r="AC142" s="16"/>
    </row>
    <row r="143" spans="4:29">
      <c r="D143" s="16"/>
      <c r="I143" s="3"/>
      <c r="K143" s="25"/>
      <c r="L143" s="25"/>
      <c r="M143" s="25"/>
      <c r="N143" s="23"/>
      <c r="O143" s="23"/>
      <c r="P143" s="23"/>
      <c r="Q143" s="23"/>
      <c r="R143" s="23"/>
      <c r="S143" s="23"/>
      <c r="T143" s="23"/>
      <c r="U143" s="23"/>
      <c r="V143" s="23"/>
      <c r="W143" s="23"/>
      <c r="X143" s="23"/>
      <c r="Y143" s="23"/>
      <c r="Z143" s="23"/>
      <c r="AA143" s="23"/>
      <c r="AB143" s="23"/>
      <c r="AC143" s="16"/>
    </row>
    <row r="144" spans="4:29">
      <c r="D144" s="16"/>
      <c r="I144" s="3"/>
      <c r="K144" s="25"/>
      <c r="L144" s="25"/>
      <c r="M144" s="25"/>
      <c r="N144" s="23"/>
      <c r="O144" s="23"/>
      <c r="P144" s="23"/>
      <c r="Q144" s="23"/>
      <c r="R144" s="23"/>
      <c r="S144" s="23"/>
      <c r="T144" s="23"/>
      <c r="U144" s="23"/>
      <c r="V144" s="23"/>
      <c r="W144" s="23"/>
      <c r="X144" s="23"/>
      <c r="Y144" s="23"/>
      <c r="Z144" s="23"/>
      <c r="AA144" s="23"/>
      <c r="AB144" s="23"/>
      <c r="AC144" s="16"/>
    </row>
    <row r="145" spans="4:29">
      <c r="D145" s="16"/>
      <c r="I145" s="3"/>
      <c r="K145" s="25"/>
      <c r="L145" s="25"/>
      <c r="M145" s="25"/>
      <c r="N145" s="23"/>
      <c r="O145" s="23"/>
      <c r="P145" s="23"/>
      <c r="Q145" s="23"/>
      <c r="R145" s="23"/>
      <c r="S145" s="23"/>
      <c r="T145" s="23"/>
      <c r="U145" s="23"/>
      <c r="V145" s="23"/>
      <c r="W145" s="23"/>
      <c r="X145" s="23"/>
      <c r="Y145" s="23"/>
      <c r="Z145" s="23"/>
      <c r="AA145" s="23"/>
      <c r="AB145" s="23"/>
      <c r="AC145" s="16"/>
    </row>
    <row r="146" spans="4:29">
      <c r="D146" s="16"/>
      <c r="I146" s="3"/>
      <c r="K146" s="25"/>
      <c r="L146" s="25"/>
      <c r="M146" s="25"/>
      <c r="N146" s="23"/>
      <c r="O146" s="23"/>
      <c r="P146" s="23"/>
      <c r="Q146" s="23"/>
      <c r="R146" s="23"/>
      <c r="S146" s="23"/>
      <c r="T146" s="23"/>
      <c r="U146" s="23"/>
      <c r="V146" s="23"/>
      <c r="W146" s="23"/>
      <c r="X146" s="23"/>
      <c r="Y146" s="23"/>
      <c r="Z146" s="23"/>
      <c r="AA146" s="23"/>
      <c r="AB146" s="23"/>
      <c r="AC146" s="16"/>
    </row>
    <row r="147" spans="4:29">
      <c r="D147" s="16"/>
      <c r="I147" s="3"/>
      <c r="K147" s="25"/>
      <c r="L147" s="25"/>
      <c r="M147" s="25"/>
      <c r="N147" s="23"/>
      <c r="O147" s="23"/>
      <c r="P147" s="23"/>
      <c r="Q147" s="23"/>
      <c r="R147" s="23"/>
      <c r="S147" s="23"/>
      <c r="T147" s="23"/>
      <c r="U147" s="23"/>
      <c r="V147" s="23"/>
      <c r="W147" s="23"/>
      <c r="X147" s="23"/>
      <c r="Y147" s="23"/>
      <c r="Z147" s="23"/>
      <c r="AA147" s="23"/>
      <c r="AB147" s="23"/>
      <c r="AC147" s="16"/>
    </row>
    <row r="148" spans="4:29">
      <c r="D148" s="16"/>
      <c r="I148" s="3"/>
      <c r="K148" s="25"/>
      <c r="L148" s="25"/>
      <c r="M148" s="25"/>
      <c r="N148" s="23"/>
      <c r="O148" s="23"/>
      <c r="P148" s="23"/>
      <c r="Q148" s="23"/>
      <c r="R148" s="23"/>
      <c r="S148" s="23"/>
      <c r="T148" s="23"/>
      <c r="U148" s="23"/>
      <c r="V148" s="23"/>
      <c r="W148" s="23"/>
      <c r="X148" s="23"/>
      <c r="Y148" s="23"/>
      <c r="Z148" s="23"/>
      <c r="AA148" s="23"/>
      <c r="AB148" s="23"/>
      <c r="AC148" s="16"/>
    </row>
    <row r="149" spans="4:29">
      <c r="D149" s="16"/>
      <c r="I149" s="3"/>
      <c r="K149" s="25"/>
      <c r="L149" s="25"/>
      <c r="M149" s="25"/>
      <c r="N149" s="23"/>
      <c r="O149" s="23"/>
      <c r="P149" s="23"/>
      <c r="Q149" s="23"/>
      <c r="R149" s="23"/>
      <c r="S149" s="23"/>
      <c r="T149" s="23"/>
      <c r="U149" s="23"/>
      <c r="V149" s="23"/>
      <c r="W149" s="23"/>
      <c r="X149" s="23"/>
      <c r="Y149" s="23"/>
      <c r="Z149" s="23"/>
      <c r="AA149" s="23"/>
      <c r="AB149" s="23"/>
      <c r="AC149" s="16"/>
    </row>
    <row r="150" spans="4:29">
      <c r="D150" s="16"/>
      <c r="I150" s="3"/>
      <c r="K150" s="25"/>
      <c r="L150" s="25"/>
      <c r="M150" s="25"/>
      <c r="N150" s="23"/>
      <c r="O150" s="23"/>
      <c r="P150" s="23"/>
      <c r="Q150" s="23"/>
      <c r="R150" s="23"/>
      <c r="S150" s="23"/>
      <c r="T150" s="23"/>
      <c r="U150" s="23"/>
      <c r="V150" s="23"/>
      <c r="W150" s="23"/>
      <c r="X150" s="23"/>
      <c r="Y150" s="23"/>
      <c r="Z150" s="23"/>
      <c r="AA150" s="23"/>
      <c r="AB150" s="23"/>
      <c r="AC150" s="16"/>
    </row>
    <row r="151" spans="4:29">
      <c r="D151" s="16"/>
      <c r="I151" s="3"/>
      <c r="K151" s="25"/>
      <c r="L151" s="25"/>
      <c r="M151" s="25"/>
      <c r="N151" s="23"/>
      <c r="O151" s="23"/>
      <c r="P151" s="23"/>
      <c r="Q151" s="23"/>
      <c r="R151" s="23"/>
      <c r="S151" s="23"/>
      <c r="T151" s="23"/>
      <c r="U151" s="23"/>
      <c r="V151" s="23"/>
      <c r="W151" s="23"/>
      <c r="X151" s="23"/>
      <c r="Y151" s="23"/>
      <c r="Z151" s="23"/>
      <c r="AA151" s="23"/>
      <c r="AB151" s="23"/>
      <c r="AC151" s="16"/>
    </row>
    <row r="152" spans="4:29">
      <c r="D152" s="16"/>
      <c r="I152" s="3"/>
      <c r="K152" s="25"/>
      <c r="L152" s="25"/>
      <c r="M152" s="25"/>
      <c r="N152" s="23"/>
      <c r="O152" s="23"/>
      <c r="P152" s="23"/>
      <c r="Q152" s="23"/>
      <c r="R152" s="23"/>
      <c r="S152" s="23"/>
      <c r="T152" s="23"/>
      <c r="U152" s="23"/>
      <c r="V152" s="23"/>
      <c r="W152" s="23"/>
      <c r="X152" s="23"/>
      <c r="Y152" s="23"/>
      <c r="Z152" s="23"/>
      <c r="AA152" s="23"/>
      <c r="AB152" s="23"/>
      <c r="AC152" s="16"/>
    </row>
    <row r="153" spans="4:29">
      <c r="D153" s="16"/>
      <c r="I153" s="3"/>
      <c r="K153" s="25"/>
      <c r="L153" s="25"/>
      <c r="M153" s="25"/>
      <c r="N153" s="23"/>
      <c r="O153" s="23"/>
      <c r="P153" s="23"/>
      <c r="Q153" s="23"/>
      <c r="R153" s="23"/>
      <c r="S153" s="23"/>
      <c r="T153" s="23"/>
      <c r="U153" s="23"/>
      <c r="V153" s="23"/>
      <c r="W153" s="23"/>
      <c r="X153" s="23"/>
      <c r="Y153" s="23"/>
      <c r="Z153" s="23"/>
      <c r="AA153" s="23"/>
      <c r="AB153" s="23"/>
      <c r="AC153" s="16"/>
    </row>
    <row r="154" spans="4:29">
      <c r="D154" s="16"/>
      <c r="I154" s="3"/>
      <c r="K154" s="25"/>
      <c r="L154" s="25"/>
      <c r="M154" s="25"/>
      <c r="N154" s="23"/>
      <c r="O154" s="23"/>
      <c r="P154" s="23"/>
      <c r="Q154" s="23"/>
      <c r="R154" s="23"/>
      <c r="S154" s="23"/>
      <c r="T154" s="23"/>
      <c r="U154" s="23"/>
      <c r="V154" s="23"/>
      <c r="W154" s="23"/>
      <c r="X154" s="23"/>
      <c r="Y154" s="23"/>
      <c r="Z154" s="23"/>
      <c r="AA154" s="23"/>
      <c r="AB154" s="23"/>
      <c r="AC154" s="16"/>
    </row>
    <row r="155" spans="4:29">
      <c r="D155" s="16"/>
      <c r="I155" s="3"/>
      <c r="K155" s="25"/>
      <c r="L155" s="25"/>
      <c r="M155" s="25"/>
      <c r="N155" s="23"/>
      <c r="O155" s="23"/>
      <c r="P155" s="23"/>
      <c r="Q155" s="23"/>
      <c r="R155" s="23"/>
      <c r="S155" s="23"/>
      <c r="T155" s="23"/>
      <c r="U155" s="23"/>
      <c r="V155" s="23"/>
      <c r="W155" s="23"/>
      <c r="X155" s="23"/>
      <c r="Y155" s="23"/>
      <c r="Z155" s="23"/>
      <c r="AA155" s="23"/>
      <c r="AB155" s="23"/>
      <c r="AC155" s="16"/>
    </row>
    <row r="156" spans="4:29">
      <c r="D156" s="16"/>
      <c r="I156" s="3"/>
      <c r="K156" s="25"/>
      <c r="L156" s="25"/>
      <c r="M156" s="25"/>
      <c r="N156" s="23"/>
      <c r="O156" s="23"/>
      <c r="P156" s="23"/>
      <c r="Q156" s="23"/>
      <c r="R156" s="23"/>
      <c r="S156" s="23"/>
      <c r="T156" s="23"/>
      <c r="U156" s="23"/>
      <c r="V156" s="23"/>
      <c r="W156" s="23"/>
      <c r="X156" s="23"/>
      <c r="Y156" s="23"/>
      <c r="Z156" s="23"/>
      <c r="AA156" s="23"/>
      <c r="AB156" s="23"/>
      <c r="AC156" s="16"/>
    </row>
    <row r="157" spans="4:29">
      <c r="D157" s="16"/>
      <c r="I157" s="3"/>
      <c r="K157" s="25"/>
      <c r="L157" s="25"/>
      <c r="M157" s="25"/>
      <c r="N157" s="23"/>
      <c r="O157" s="23"/>
      <c r="P157" s="23"/>
      <c r="Q157" s="23"/>
      <c r="R157" s="23"/>
      <c r="S157" s="23"/>
      <c r="T157" s="23"/>
      <c r="U157" s="23"/>
      <c r="V157" s="23"/>
      <c r="W157" s="23"/>
      <c r="X157" s="23"/>
      <c r="Y157" s="23"/>
      <c r="Z157" s="23"/>
      <c r="AA157" s="23"/>
      <c r="AB157" s="23"/>
      <c r="AC157" s="16"/>
    </row>
    <row r="158" spans="4:29">
      <c r="D158" s="16"/>
      <c r="I158" s="3"/>
      <c r="K158" s="25"/>
      <c r="L158" s="25"/>
      <c r="M158" s="25"/>
      <c r="N158" s="23"/>
      <c r="O158" s="23"/>
      <c r="P158" s="23"/>
      <c r="Q158" s="23"/>
      <c r="R158" s="23"/>
      <c r="S158" s="23"/>
      <c r="T158" s="23"/>
      <c r="U158" s="23"/>
      <c r="V158" s="23"/>
      <c r="W158" s="23"/>
      <c r="X158" s="23"/>
      <c r="Y158" s="23"/>
      <c r="Z158" s="23"/>
      <c r="AA158" s="23"/>
      <c r="AB158" s="23"/>
      <c r="AC158" s="16"/>
    </row>
    <row r="159" spans="4:29">
      <c r="D159" s="16"/>
      <c r="I159" s="3"/>
      <c r="K159" s="25"/>
      <c r="L159" s="25"/>
      <c r="M159" s="25"/>
      <c r="N159" s="23"/>
      <c r="O159" s="23"/>
      <c r="P159" s="23"/>
      <c r="Q159" s="23"/>
      <c r="R159" s="23"/>
      <c r="S159" s="23"/>
      <c r="T159" s="23"/>
      <c r="U159" s="23"/>
      <c r="V159" s="23"/>
      <c r="W159" s="23"/>
      <c r="X159" s="23"/>
      <c r="Y159" s="23"/>
      <c r="Z159" s="23"/>
      <c r="AA159" s="23"/>
      <c r="AB159" s="23"/>
      <c r="AC159" s="16"/>
    </row>
    <row r="160" spans="4:29">
      <c r="D160" s="16"/>
      <c r="I160" s="3"/>
      <c r="K160" s="25"/>
      <c r="L160" s="25"/>
      <c r="M160" s="25"/>
      <c r="N160" s="23"/>
      <c r="O160" s="23"/>
      <c r="P160" s="23"/>
      <c r="Q160" s="23"/>
      <c r="R160" s="23"/>
      <c r="S160" s="23"/>
      <c r="T160" s="23"/>
      <c r="U160" s="23"/>
      <c r="V160" s="23"/>
      <c r="W160" s="23"/>
      <c r="X160" s="23"/>
      <c r="Y160" s="23"/>
      <c r="Z160" s="23"/>
      <c r="AA160" s="23"/>
      <c r="AB160" s="23"/>
      <c r="AC160" s="16"/>
    </row>
    <row r="161" spans="4:29">
      <c r="D161" s="16"/>
      <c r="I161" s="3"/>
      <c r="K161" s="25"/>
      <c r="L161" s="25"/>
      <c r="M161" s="25"/>
      <c r="N161" s="23"/>
      <c r="O161" s="23"/>
      <c r="P161" s="23"/>
      <c r="Q161" s="23"/>
      <c r="R161" s="23"/>
      <c r="S161" s="23"/>
      <c r="T161" s="23"/>
      <c r="U161" s="23"/>
      <c r="V161" s="23"/>
      <c r="W161" s="23"/>
      <c r="X161" s="23"/>
      <c r="Y161" s="23"/>
      <c r="Z161" s="23"/>
      <c r="AA161" s="23"/>
      <c r="AB161" s="23"/>
      <c r="AC161" s="16"/>
    </row>
    <row r="162" spans="4:29">
      <c r="D162" s="16"/>
      <c r="I162" s="3"/>
      <c r="K162" s="25"/>
      <c r="L162" s="25"/>
      <c r="M162" s="25"/>
      <c r="N162" s="23"/>
      <c r="O162" s="23"/>
      <c r="P162" s="23"/>
      <c r="Q162" s="23"/>
      <c r="R162" s="23"/>
      <c r="S162" s="23"/>
      <c r="T162" s="23"/>
      <c r="U162" s="23"/>
      <c r="V162" s="23"/>
      <c r="W162" s="23"/>
      <c r="X162" s="23"/>
      <c r="Y162" s="23"/>
      <c r="Z162" s="23"/>
      <c r="AA162" s="23"/>
      <c r="AB162" s="23"/>
      <c r="AC162" s="16"/>
    </row>
    <row r="163" spans="4:29">
      <c r="D163" s="16"/>
      <c r="I163" s="3"/>
      <c r="K163" s="25"/>
      <c r="L163" s="25"/>
      <c r="M163" s="25"/>
      <c r="N163" s="23"/>
      <c r="O163" s="23"/>
      <c r="P163" s="23"/>
      <c r="Q163" s="23"/>
      <c r="R163" s="23"/>
      <c r="S163" s="23"/>
      <c r="T163" s="23"/>
      <c r="U163" s="23"/>
      <c r="V163" s="23"/>
      <c r="W163" s="23"/>
      <c r="X163" s="23"/>
      <c r="Y163" s="23"/>
      <c r="Z163" s="23"/>
      <c r="AA163" s="23"/>
      <c r="AB163" s="23"/>
      <c r="AC163" s="16"/>
    </row>
    <row r="164" spans="4:29">
      <c r="D164" s="16"/>
      <c r="I164" s="3"/>
      <c r="K164" s="25"/>
      <c r="L164" s="25"/>
      <c r="M164" s="25"/>
      <c r="N164" s="23"/>
      <c r="O164" s="23"/>
      <c r="P164" s="23"/>
      <c r="Q164" s="23"/>
      <c r="R164" s="23"/>
      <c r="S164" s="23"/>
      <c r="T164" s="23"/>
      <c r="U164" s="23"/>
      <c r="V164" s="23"/>
      <c r="W164" s="23"/>
      <c r="X164" s="23"/>
      <c r="Y164" s="23"/>
      <c r="Z164" s="23"/>
      <c r="AA164" s="23"/>
      <c r="AB164" s="23"/>
      <c r="AC164" s="16"/>
    </row>
    <row r="165" spans="4:29">
      <c r="D165" s="16"/>
      <c r="I165" s="3"/>
      <c r="K165" s="25"/>
      <c r="L165" s="25"/>
      <c r="M165" s="25"/>
      <c r="N165" s="23"/>
      <c r="O165" s="23"/>
      <c r="P165" s="23"/>
      <c r="Q165" s="23"/>
      <c r="R165" s="23"/>
      <c r="S165" s="23"/>
      <c r="T165" s="23"/>
      <c r="U165" s="23"/>
      <c r="V165" s="23"/>
      <c r="W165" s="23"/>
      <c r="X165" s="23"/>
      <c r="Y165" s="23"/>
      <c r="Z165" s="23"/>
      <c r="AA165" s="23"/>
      <c r="AB165" s="23"/>
      <c r="AC165" s="16"/>
    </row>
    <row r="166" spans="4:29">
      <c r="D166" s="16"/>
      <c r="I166" s="3"/>
      <c r="K166" s="25"/>
      <c r="L166" s="25"/>
      <c r="M166" s="25"/>
      <c r="N166" s="23"/>
      <c r="O166" s="23"/>
      <c r="P166" s="23"/>
      <c r="Q166" s="23"/>
      <c r="R166" s="23"/>
      <c r="S166" s="23"/>
      <c r="T166" s="23"/>
      <c r="U166" s="23"/>
      <c r="V166" s="23"/>
      <c r="W166" s="23"/>
      <c r="X166" s="23"/>
      <c r="Y166" s="23"/>
      <c r="Z166" s="23"/>
      <c r="AA166" s="23"/>
      <c r="AB166" s="23"/>
      <c r="AC166" s="16"/>
    </row>
    <row r="167" spans="4:29">
      <c r="D167" s="16"/>
      <c r="I167" s="3"/>
      <c r="K167" s="25"/>
      <c r="L167" s="25"/>
      <c r="M167" s="25"/>
      <c r="N167" s="23"/>
      <c r="O167" s="23"/>
      <c r="P167" s="23"/>
      <c r="Q167" s="23"/>
      <c r="R167" s="23"/>
      <c r="S167" s="23"/>
      <c r="T167" s="23"/>
      <c r="U167" s="23"/>
      <c r="V167" s="23"/>
      <c r="W167" s="23"/>
      <c r="X167" s="23"/>
      <c r="Y167" s="23"/>
      <c r="Z167" s="23"/>
      <c r="AA167" s="23"/>
      <c r="AB167" s="23"/>
      <c r="AC167" s="16"/>
    </row>
    <row r="168" spans="4:29">
      <c r="D168" s="16"/>
      <c r="I168" s="3"/>
      <c r="K168" s="25"/>
      <c r="L168" s="25"/>
      <c r="M168" s="25"/>
      <c r="N168" s="23"/>
      <c r="O168" s="23"/>
      <c r="P168" s="23"/>
      <c r="Q168" s="23"/>
      <c r="R168" s="23"/>
      <c r="S168" s="23"/>
      <c r="T168" s="23"/>
      <c r="U168" s="23"/>
      <c r="V168" s="23"/>
      <c r="W168" s="23"/>
      <c r="X168" s="23"/>
      <c r="Y168" s="23"/>
      <c r="Z168" s="23"/>
      <c r="AA168" s="23"/>
      <c r="AB168" s="23"/>
      <c r="AC168" s="16"/>
    </row>
    <row r="169" spans="4:29">
      <c r="D169" s="16"/>
      <c r="I169" s="3"/>
      <c r="K169" s="25"/>
      <c r="L169" s="25"/>
      <c r="M169" s="25"/>
      <c r="N169" s="23"/>
      <c r="O169" s="23"/>
      <c r="P169" s="23"/>
      <c r="Q169" s="23"/>
      <c r="R169" s="23"/>
      <c r="S169" s="23"/>
      <c r="T169" s="23"/>
      <c r="U169" s="23"/>
      <c r="V169" s="23"/>
      <c r="W169" s="23"/>
      <c r="X169" s="23"/>
      <c r="Y169" s="23"/>
      <c r="Z169" s="23"/>
      <c r="AA169" s="23"/>
      <c r="AB169" s="23"/>
      <c r="AC169" s="16"/>
    </row>
    <row r="170" spans="4:29">
      <c r="D170" s="16"/>
      <c r="I170" s="3"/>
      <c r="K170" s="25"/>
      <c r="L170" s="25"/>
      <c r="M170" s="25"/>
      <c r="N170" s="23"/>
      <c r="O170" s="23"/>
      <c r="P170" s="23"/>
      <c r="Q170" s="23"/>
      <c r="R170" s="23"/>
      <c r="S170" s="23"/>
      <c r="T170" s="23"/>
      <c r="U170" s="23"/>
      <c r="V170" s="23"/>
      <c r="W170" s="23"/>
      <c r="X170" s="23"/>
      <c r="Y170" s="23"/>
      <c r="Z170" s="23"/>
      <c r="AA170" s="23"/>
      <c r="AB170" s="23"/>
      <c r="AC170" s="16"/>
    </row>
    <row r="171" spans="4:29">
      <c r="D171" s="16"/>
      <c r="I171" s="3"/>
      <c r="K171" s="25"/>
      <c r="L171" s="25"/>
      <c r="M171" s="25"/>
      <c r="N171" s="23"/>
      <c r="O171" s="23"/>
      <c r="P171" s="23"/>
      <c r="Q171" s="23"/>
      <c r="R171" s="23"/>
      <c r="S171" s="23"/>
      <c r="T171" s="23"/>
      <c r="U171" s="23"/>
      <c r="V171" s="23"/>
      <c r="W171" s="23"/>
      <c r="X171" s="23"/>
      <c r="Y171" s="23"/>
      <c r="Z171" s="23"/>
      <c r="AA171" s="23"/>
      <c r="AB171" s="23"/>
      <c r="AC171" s="16"/>
    </row>
    <row r="172" spans="4:29">
      <c r="D172" s="16"/>
      <c r="I172" s="3"/>
      <c r="K172" s="25"/>
      <c r="L172" s="25"/>
      <c r="M172" s="25"/>
      <c r="N172" s="23"/>
      <c r="O172" s="23"/>
      <c r="P172" s="23"/>
      <c r="Q172" s="23"/>
      <c r="R172" s="23"/>
      <c r="S172" s="23"/>
      <c r="T172" s="23"/>
      <c r="U172" s="23"/>
      <c r="V172" s="23"/>
      <c r="W172" s="23"/>
      <c r="X172" s="23"/>
      <c r="Y172" s="23"/>
      <c r="Z172" s="23"/>
      <c r="AA172" s="23"/>
      <c r="AB172" s="23"/>
      <c r="AC172" s="16"/>
    </row>
    <row r="173" spans="4:29">
      <c r="D173" s="16"/>
      <c r="I173" s="3"/>
      <c r="K173" s="25"/>
      <c r="L173" s="25"/>
      <c r="M173" s="25"/>
      <c r="N173" s="23"/>
      <c r="O173" s="23"/>
      <c r="P173" s="23"/>
      <c r="Q173" s="23"/>
      <c r="R173" s="23"/>
      <c r="S173" s="23"/>
      <c r="T173" s="23"/>
      <c r="U173" s="23"/>
      <c r="V173" s="23"/>
      <c r="W173" s="23"/>
      <c r="X173" s="23"/>
      <c r="Y173" s="23"/>
      <c r="Z173" s="23"/>
      <c r="AA173" s="23"/>
      <c r="AB173" s="23"/>
      <c r="AC173" s="16"/>
    </row>
    <row r="174" spans="4:29">
      <c r="D174" s="16"/>
      <c r="I174" s="3"/>
      <c r="K174" s="25"/>
      <c r="L174" s="25"/>
      <c r="M174" s="25"/>
      <c r="N174" s="23"/>
      <c r="O174" s="23"/>
      <c r="P174" s="23"/>
      <c r="Q174" s="23"/>
      <c r="R174" s="23"/>
      <c r="S174" s="23"/>
      <c r="T174" s="23"/>
      <c r="U174" s="23"/>
      <c r="V174" s="23"/>
      <c r="W174" s="23"/>
      <c r="X174" s="23"/>
      <c r="Y174" s="23"/>
      <c r="Z174" s="23"/>
      <c r="AA174" s="23"/>
      <c r="AB174" s="23"/>
      <c r="AC174" s="16"/>
    </row>
    <row r="175" spans="4:29">
      <c r="D175" s="16"/>
      <c r="I175" s="3"/>
      <c r="K175" s="25"/>
      <c r="L175" s="25"/>
      <c r="M175" s="25"/>
      <c r="N175" s="23"/>
      <c r="O175" s="23"/>
      <c r="P175" s="23"/>
      <c r="Q175" s="23"/>
      <c r="R175" s="23"/>
      <c r="S175" s="23"/>
      <c r="T175" s="23"/>
      <c r="U175" s="23"/>
      <c r="V175" s="23"/>
      <c r="W175" s="23"/>
      <c r="X175" s="23"/>
      <c r="Y175" s="23"/>
      <c r="Z175" s="23"/>
      <c r="AA175" s="23"/>
      <c r="AB175" s="23"/>
      <c r="AC175" s="16"/>
    </row>
    <row r="176" spans="4:29">
      <c r="D176" s="16"/>
      <c r="I176" s="3"/>
      <c r="K176" s="25"/>
      <c r="L176" s="25"/>
      <c r="M176" s="25"/>
      <c r="N176" s="23"/>
      <c r="O176" s="23"/>
      <c r="P176" s="23"/>
      <c r="Q176" s="23"/>
      <c r="R176" s="23"/>
      <c r="S176" s="23"/>
      <c r="T176" s="23"/>
      <c r="U176" s="23"/>
      <c r="V176" s="23"/>
      <c r="W176" s="23"/>
      <c r="X176" s="23"/>
      <c r="Y176" s="23"/>
      <c r="Z176" s="23"/>
      <c r="AA176" s="23"/>
      <c r="AB176" s="23"/>
      <c r="AC176" s="16"/>
    </row>
    <row r="177" spans="4:29">
      <c r="D177" s="16"/>
      <c r="I177" s="3"/>
      <c r="K177" s="25"/>
      <c r="L177" s="25"/>
      <c r="M177" s="25"/>
      <c r="N177" s="23"/>
      <c r="O177" s="23"/>
      <c r="P177" s="23"/>
      <c r="Q177" s="23"/>
      <c r="R177" s="23"/>
      <c r="S177" s="23"/>
      <c r="T177" s="23"/>
      <c r="U177" s="23"/>
      <c r="V177" s="23"/>
      <c r="W177" s="23"/>
      <c r="X177" s="23"/>
      <c r="Y177" s="23"/>
      <c r="Z177" s="23"/>
      <c r="AA177" s="23"/>
      <c r="AB177" s="23"/>
      <c r="AC177" s="16"/>
    </row>
    <row r="178" spans="4:29">
      <c r="D178" s="16"/>
      <c r="I178" s="3"/>
      <c r="K178" s="25"/>
      <c r="L178" s="25"/>
      <c r="M178" s="25"/>
      <c r="N178" s="23"/>
      <c r="O178" s="23"/>
      <c r="P178" s="23"/>
      <c r="Q178" s="23"/>
      <c r="R178" s="23"/>
      <c r="S178" s="23"/>
      <c r="T178" s="23"/>
      <c r="U178" s="23"/>
      <c r="V178" s="23"/>
      <c r="W178" s="23"/>
      <c r="X178" s="23"/>
      <c r="Y178" s="23"/>
      <c r="Z178" s="23"/>
      <c r="AA178" s="23"/>
      <c r="AB178" s="23"/>
      <c r="AC178" s="16"/>
    </row>
    <row r="179" spans="4:29">
      <c r="D179" s="16"/>
      <c r="I179" s="3"/>
      <c r="K179" s="25"/>
      <c r="L179" s="25"/>
      <c r="M179" s="25"/>
      <c r="N179" s="23"/>
      <c r="O179" s="23"/>
      <c r="P179" s="23"/>
      <c r="Q179" s="23"/>
      <c r="R179" s="23"/>
      <c r="S179" s="23"/>
      <c r="T179" s="23"/>
      <c r="U179" s="23"/>
      <c r="V179" s="23"/>
      <c r="W179" s="23"/>
      <c r="X179" s="23"/>
      <c r="Y179" s="23"/>
      <c r="Z179" s="23"/>
      <c r="AA179" s="23"/>
      <c r="AB179" s="23"/>
      <c r="AC179" s="16"/>
    </row>
    <row r="180" spans="4:29">
      <c r="D180" s="16"/>
      <c r="I180" s="3"/>
      <c r="K180" s="25"/>
      <c r="L180" s="25"/>
      <c r="M180" s="25"/>
      <c r="N180" s="23"/>
      <c r="O180" s="23"/>
      <c r="P180" s="23"/>
      <c r="Q180" s="23"/>
      <c r="R180" s="23"/>
      <c r="S180" s="23"/>
      <c r="T180" s="23"/>
      <c r="U180" s="23"/>
      <c r="V180" s="23"/>
      <c r="W180" s="23"/>
      <c r="X180" s="23"/>
      <c r="Y180" s="23"/>
      <c r="Z180" s="23"/>
      <c r="AA180" s="23"/>
      <c r="AB180" s="23"/>
      <c r="AC180" s="16"/>
    </row>
    <row r="181" spans="4:29">
      <c r="D181" s="16"/>
      <c r="I181" s="3"/>
      <c r="K181" s="25"/>
      <c r="L181" s="25"/>
      <c r="M181" s="25"/>
      <c r="N181" s="23"/>
      <c r="O181" s="23"/>
      <c r="P181" s="23"/>
      <c r="Q181" s="23"/>
      <c r="R181" s="23"/>
      <c r="S181" s="23"/>
      <c r="T181" s="23"/>
      <c r="U181" s="23"/>
      <c r="V181" s="23"/>
      <c r="W181" s="23"/>
      <c r="X181" s="23"/>
      <c r="Y181" s="23"/>
      <c r="Z181" s="23"/>
      <c r="AA181" s="23"/>
      <c r="AB181" s="23"/>
      <c r="AC181" s="16"/>
    </row>
    <row r="182" spans="4:29">
      <c r="D182" s="16"/>
      <c r="I182" s="3"/>
      <c r="K182" s="25"/>
      <c r="L182" s="25"/>
      <c r="M182" s="25"/>
      <c r="N182" s="23"/>
      <c r="O182" s="23"/>
      <c r="P182" s="23"/>
      <c r="Q182" s="23"/>
      <c r="R182" s="23"/>
      <c r="S182" s="23"/>
      <c r="T182" s="23"/>
      <c r="U182" s="23"/>
      <c r="V182" s="23"/>
      <c r="W182" s="23"/>
      <c r="X182" s="23"/>
      <c r="Y182" s="23"/>
      <c r="Z182" s="23"/>
      <c r="AA182" s="23"/>
      <c r="AB182" s="23"/>
      <c r="AC182" s="16"/>
    </row>
    <row r="183" spans="4:29">
      <c r="D183" s="16"/>
      <c r="I183" s="3"/>
      <c r="K183" s="25"/>
      <c r="L183" s="25"/>
      <c r="M183" s="25"/>
      <c r="N183" s="23"/>
      <c r="O183" s="23"/>
      <c r="P183" s="23"/>
      <c r="Q183" s="23"/>
      <c r="R183" s="23"/>
      <c r="S183" s="23"/>
      <c r="T183" s="23"/>
      <c r="U183" s="23"/>
      <c r="V183" s="23"/>
      <c r="W183" s="23"/>
      <c r="X183" s="23"/>
      <c r="Y183" s="23"/>
      <c r="Z183" s="23"/>
      <c r="AA183" s="23"/>
      <c r="AB183" s="23"/>
      <c r="AC183" s="16"/>
    </row>
    <row r="184" spans="4:29">
      <c r="D184" s="16"/>
      <c r="I184" s="3"/>
      <c r="K184" s="25"/>
      <c r="L184" s="25"/>
      <c r="M184" s="25"/>
      <c r="N184" s="23"/>
      <c r="O184" s="23"/>
      <c r="P184" s="23"/>
      <c r="Q184" s="23"/>
      <c r="R184" s="23"/>
      <c r="S184" s="23"/>
      <c r="T184" s="23"/>
      <c r="U184" s="23"/>
      <c r="V184" s="23"/>
      <c r="W184" s="23"/>
      <c r="X184" s="23"/>
      <c r="Y184" s="23"/>
      <c r="Z184" s="23"/>
      <c r="AA184" s="23"/>
      <c r="AB184" s="23"/>
      <c r="AC184" s="16"/>
    </row>
    <row r="185" spans="4:29">
      <c r="D185" s="16"/>
      <c r="I185" s="3"/>
      <c r="K185" s="25"/>
      <c r="L185" s="25"/>
      <c r="M185" s="25"/>
      <c r="N185" s="23"/>
      <c r="O185" s="23"/>
      <c r="P185" s="23"/>
      <c r="Q185" s="23"/>
      <c r="R185" s="23"/>
      <c r="S185" s="23"/>
      <c r="T185" s="23"/>
      <c r="U185" s="23"/>
      <c r="V185" s="23"/>
      <c r="W185" s="23"/>
      <c r="X185" s="23"/>
      <c r="Y185" s="23"/>
      <c r="Z185" s="23"/>
      <c r="AA185" s="23"/>
      <c r="AB185" s="23"/>
      <c r="AC185" s="16"/>
    </row>
    <row r="186" spans="4:29">
      <c r="D186" s="16"/>
      <c r="I186" s="3"/>
      <c r="K186" s="25"/>
      <c r="L186" s="25"/>
      <c r="M186" s="25"/>
      <c r="N186" s="23"/>
      <c r="O186" s="23"/>
      <c r="P186" s="23"/>
      <c r="Q186" s="23"/>
      <c r="R186" s="23"/>
      <c r="S186" s="23"/>
      <c r="T186" s="23"/>
      <c r="U186" s="23"/>
      <c r="V186" s="23"/>
      <c r="W186" s="23"/>
      <c r="X186" s="23"/>
      <c r="Y186" s="23"/>
      <c r="Z186" s="23"/>
      <c r="AA186" s="23"/>
      <c r="AB186" s="23"/>
      <c r="AC186" s="16"/>
    </row>
    <row r="187" spans="4:29">
      <c r="D187" s="16"/>
      <c r="I187" s="3"/>
      <c r="K187" s="25"/>
      <c r="L187" s="25"/>
      <c r="M187" s="25"/>
      <c r="N187" s="23"/>
      <c r="O187" s="23"/>
      <c r="P187" s="23"/>
      <c r="Q187" s="23"/>
      <c r="R187" s="23"/>
      <c r="S187" s="23"/>
      <c r="T187" s="23"/>
      <c r="U187" s="23"/>
      <c r="V187" s="23"/>
      <c r="W187" s="23"/>
      <c r="X187" s="23"/>
      <c r="Y187" s="23"/>
      <c r="Z187" s="23"/>
      <c r="AA187" s="23"/>
      <c r="AB187" s="23"/>
      <c r="AC187" s="16"/>
    </row>
    <row r="188" spans="4:29">
      <c r="D188" s="16"/>
      <c r="I188" s="3"/>
      <c r="K188" s="25"/>
      <c r="L188" s="25"/>
      <c r="M188" s="25"/>
      <c r="N188" s="23"/>
      <c r="O188" s="23"/>
      <c r="P188" s="23"/>
      <c r="Q188" s="23"/>
      <c r="R188" s="23"/>
      <c r="S188" s="23"/>
      <c r="T188" s="23"/>
      <c r="U188" s="23"/>
      <c r="V188" s="23"/>
      <c r="W188" s="23"/>
      <c r="X188" s="23"/>
      <c r="Y188" s="23"/>
      <c r="Z188" s="23"/>
      <c r="AA188" s="23"/>
      <c r="AB188" s="23"/>
      <c r="AC188" s="16"/>
    </row>
    <row r="189" spans="4:29">
      <c r="D189" s="16"/>
      <c r="I189" s="3"/>
      <c r="K189" s="25"/>
      <c r="L189" s="25"/>
      <c r="M189" s="25"/>
      <c r="N189" s="23"/>
      <c r="O189" s="23"/>
      <c r="P189" s="23"/>
      <c r="Q189" s="23"/>
      <c r="R189" s="23"/>
      <c r="S189" s="23"/>
      <c r="T189" s="23"/>
      <c r="U189" s="23"/>
      <c r="V189" s="23"/>
      <c r="W189" s="23"/>
      <c r="X189" s="23"/>
      <c r="Y189" s="23"/>
      <c r="Z189" s="23"/>
      <c r="AA189" s="23"/>
      <c r="AB189" s="23"/>
      <c r="AC189" s="16"/>
    </row>
    <row r="190" spans="4:29">
      <c r="D190" s="16"/>
      <c r="I190" s="3"/>
      <c r="K190" s="25"/>
      <c r="L190" s="25"/>
      <c r="M190" s="25"/>
      <c r="N190" s="23"/>
      <c r="O190" s="23"/>
      <c r="P190" s="23"/>
      <c r="Q190" s="23"/>
      <c r="R190" s="23"/>
      <c r="S190" s="23"/>
      <c r="T190" s="23"/>
      <c r="U190" s="23"/>
      <c r="V190" s="23"/>
      <c r="W190" s="23"/>
      <c r="X190" s="23"/>
      <c r="Y190" s="23"/>
      <c r="Z190" s="23"/>
      <c r="AA190" s="23"/>
      <c r="AB190" s="23"/>
      <c r="AC190" s="16"/>
    </row>
    <row r="191" spans="4:29">
      <c r="D191" s="16"/>
      <c r="I191" s="3"/>
      <c r="K191" s="25"/>
      <c r="L191" s="25"/>
      <c r="M191" s="25"/>
      <c r="N191" s="23"/>
      <c r="O191" s="23"/>
      <c r="P191" s="23"/>
      <c r="Q191" s="23"/>
      <c r="R191" s="23"/>
      <c r="S191" s="23"/>
      <c r="T191" s="23"/>
      <c r="U191" s="23"/>
      <c r="V191" s="23"/>
      <c r="W191" s="23"/>
      <c r="X191" s="23"/>
      <c r="Y191" s="23"/>
      <c r="Z191" s="23"/>
      <c r="AA191" s="23"/>
      <c r="AB191" s="23"/>
      <c r="AC191" s="16"/>
    </row>
    <row r="192" spans="4:29">
      <c r="D192" s="16"/>
      <c r="I192" s="3"/>
      <c r="K192" s="25"/>
      <c r="L192" s="25"/>
      <c r="M192" s="25"/>
      <c r="N192" s="23"/>
      <c r="O192" s="23"/>
      <c r="P192" s="23"/>
      <c r="Q192" s="23"/>
      <c r="R192" s="23"/>
      <c r="S192" s="23"/>
      <c r="T192" s="23"/>
      <c r="U192" s="23"/>
      <c r="V192" s="23"/>
      <c r="W192" s="23"/>
      <c r="X192" s="23"/>
      <c r="Y192" s="23"/>
      <c r="Z192" s="23"/>
      <c r="AA192" s="23"/>
      <c r="AB192" s="23"/>
      <c r="AC192" s="16"/>
    </row>
    <row r="193" spans="4:29">
      <c r="D193" s="16"/>
      <c r="I193" s="3"/>
      <c r="K193" s="25"/>
      <c r="L193" s="25"/>
      <c r="M193" s="25"/>
      <c r="N193" s="23"/>
      <c r="O193" s="23"/>
      <c r="P193" s="23"/>
      <c r="Q193" s="23"/>
      <c r="R193" s="23"/>
      <c r="S193" s="23"/>
      <c r="T193" s="23"/>
      <c r="U193" s="23"/>
      <c r="V193" s="23"/>
      <c r="W193" s="23"/>
      <c r="X193" s="23"/>
      <c r="Y193" s="23"/>
      <c r="Z193" s="23"/>
      <c r="AA193" s="23"/>
      <c r="AB193" s="23"/>
      <c r="AC193" s="16"/>
    </row>
    <row r="194" spans="4:29">
      <c r="D194" s="16"/>
      <c r="I194" s="3"/>
      <c r="K194" s="25"/>
      <c r="L194" s="25"/>
      <c r="M194" s="25"/>
      <c r="N194" s="23"/>
      <c r="O194" s="23"/>
      <c r="P194" s="23"/>
      <c r="Q194" s="23"/>
      <c r="R194" s="23"/>
      <c r="S194" s="23"/>
      <c r="T194" s="23"/>
      <c r="U194" s="23"/>
      <c r="V194" s="23"/>
      <c r="W194" s="23"/>
      <c r="X194" s="23"/>
      <c r="Y194" s="23"/>
      <c r="Z194" s="23"/>
      <c r="AA194" s="23"/>
      <c r="AB194" s="23"/>
      <c r="AC194" s="16"/>
    </row>
    <row r="195" spans="4:29">
      <c r="D195" s="16"/>
      <c r="I195" s="3"/>
      <c r="K195" s="25"/>
      <c r="L195" s="25"/>
      <c r="M195" s="25"/>
      <c r="N195" s="23"/>
      <c r="O195" s="23"/>
      <c r="P195" s="23"/>
      <c r="Q195" s="23"/>
      <c r="R195" s="23"/>
      <c r="S195" s="23"/>
      <c r="T195" s="23"/>
      <c r="U195" s="23"/>
      <c r="V195" s="23"/>
      <c r="W195" s="23"/>
      <c r="X195" s="23"/>
      <c r="Y195" s="23"/>
      <c r="Z195" s="23"/>
      <c r="AA195" s="23"/>
      <c r="AB195" s="23"/>
      <c r="AC195" s="16"/>
    </row>
    <row r="196" spans="4:29">
      <c r="D196" s="16"/>
      <c r="I196" s="3"/>
      <c r="K196" s="25"/>
      <c r="L196" s="25"/>
      <c r="M196" s="25"/>
      <c r="N196" s="23"/>
      <c r="O196" s="23"/>
      <c r="P196" s="23"/>
      <c r="Q196" s="23"/>
      <c r="R196" s="23"/>
      <c r="S196" s="23"/>
      <c r="T196" s="23"/>
      <c r="U196" s="23"/>
      <c r="V196" s="23"/>
      <c r="W196" s="23"/>
      <c r="X196" s="23"/>
      <c r="Y196" s="23"/>
      <c r="Z196" s="23"/>
      <c r="AA196" s="23"/>
      <c r="AB196" s="23"/>
      <c r="AC196" s="16"/>
    </row>
    <row r="197" spans="4:29">
      <c r="D197" s="16"/>
      <c r="I197" s="3"/>
      <c r="K197" s="25"/>
      <c r="L197" s="25"/>
      <c r="M197" s="25"/>
      <c r="N197" s="23"/>
      <c r="O197" s="23"/>
      <c r="P197" s="23"/>
      <c r="Q197" s="23"/>
      <c r="R197" s="23"/>
      <c r="S197" s="23"/>
      <c r="T197" s="23"/>
      <c r="U197" s="23"/>
      <c r="V197" s="23"/>
      <c r="W197" s="23"/>
      <c r="X197" s="23"/>
      <c r="Y197" s="23"/>
      <c r="Z197" s="23"/>
      <c r="AA197" s="23"/>
      <c r="AB197" s="23"/>
      <c r="AC197" s="16"/>
    </row>
    <row r="198" spans="4:29">
      <c r="D198" s="16"/>
      <c r="I198" s="3"/>
      <c r="K198" s="25"/>
      <c r="L198" s="25"/>
      <c r="M198" s="25"/>
      <c r="N198" s="23"/>
      <c r="O198" s="23"/>
      <c r="P198" s="23"/>
      <c r="Q198" s="23"/>
      <c r="R198" s="23"/>
      <c r="S198" s="23"/>
      <c r="T198" s="23"/>
      <c r="U198" s="23"/>
      <c r="V198" s="23"/>
      <c r="W198" s="23"/>
      <c r="X198" s="23"/>
      <c r="Y198" s="23"/>
      <c r="Z198" s="23"/>
      <c r="AA198" s="23"/>
      <c r="AB198" s="23"/>
      <c r="AC198" s="16"/>
    </row>
    <row r="199" spans="4:29">
      <c r="D199" s="16"/>
      <c r="I199" s="3"/>
      <c r="K199" s="25"/>
      <c r="L199" s="25"/>
      <c r="M199" s="25"/>
      <c r="N199" s="23"/>
      <c r="O199" s="23"/>
      <c r="P199" s="23"/>
      <c r="Q199" s="23"/>
      <c r="R199" s="23"/>
      <c r="S199" s="23"/>
      <c r="T199" s="23"/>
      <c r="U199" s="23"/>
      <c r="V199" s="23"/>
      <c r="W199" s="23"/>
      <c r="X199" s="23"/>
      <c r="Y199" s="23"/>
      <c r="Z199" s="23"/>
      <c r="AA199" s="23"/>
      <c r="AB199" s="23"/>
      <c r="AC199" s="16"/>
    </row>
    <row r="200" spans="4:29">
      <c r="D200" s="16"/>
      <c r="I200" s="3"/>
      <c r="K200" s="25"/>
      <c r="L200" s="25"/>
      <c r="M200" s="25"/>
      <c r="N200" s="23"/>
      <c r="O200" s="23"/>
      <c r="P200" s="23"/>
      <c r="Q200" s="23"/>
      <c r="R200" s="23"/>
      <c r="S200" s="23"/>
      <c r="T200" s="23"/>
      <c r="U200" s="23"/>
      <c r="V200" s="23"/>
      <c r="W200" s="23"/>
      <c r="X200" s="23"/>
      <c r="Y200" s="23"/>
      <c r="Z200" s="23"/>
      <c r="AA200" s="23"/>
      <c r="AB200" s="23"/>
      <c r="AC200" s="16"/>
    </row>
    <row r="201" spans="4:29">
      <c r="D201" s="16"/>
      <c r="I201" s="3"/>
      <c r="K201" s="25"/>
      <c r="L201" s="25"/>
      <c r="M201" s="25"/>
      <c r="N201" s="23"/>
      <c r="O201" s="23"/>
      <c r="P201" s="23"/>
      <c r="Q201" s="23"/>
      <c r="R201" s="23"/>
      <c r="S201" s="23"/>
      <c r="T201" s="23"/>
      <c r="U201" s="23"/>
      <c r="V201" s="23"/>
      <c r="W201" s="23"/>
      <c r="X201" s="23"/>
      <c r="Y201" s="23"/>
      <c r="Z201" s="23"/>
      <c r="AA201" s="23"/>
      <c r="AB201" s="23"/>
      <c r="AC201" s="16"/>
    </row>
    <row r="202" spans="4:29">
      <c r="D202" s="16"/>
      <c r="I202" s="3"/>
      <c r="K202" s="25"/>
      <c r="L202" s="25"/>
      <c r="M202" s="25"/>
      <c r="N202" s="23"/>
      <c r="O202" s="23"/>
      <c r="P202" s="23"/>
      <c r="Q202" s="23"/>
      <c r="R202" s="23"/>
      <c r="S202" s="23"/>
      <c r="T202" s="23"/>
      <c r="U202" s="23"/>
      <c r="V202" s="23"/>
      <c r="W202" s="23"/>
      <c r="X202" s="23"/>
      <c r="Y202" s="23"/>
      <c r="Z202" s="23"/>
      <c r="AA202" s="23"/>
      <c r="AB202" s="23"/>
      <c r="AC202" s="16"/>
    </row>
    <row r="203" spans="4:29">
      <c r="D203" s="16"/>
      <c r="I203" s="3"/>
      <c r="K203" s="25"/>
      <c r="L203" s="25"/>
      <c r="M203" s="25"/>
      <c r="N203" s="23"/>
      <c r="O203" s="23"/>
      <c r="P203" s="23"/>
      <c r="Q203" s="23"/>
      <c r="R203" s="23"/>
      <c r="S203" s="23"/>
      <c r="T203" s="23"/>
      <c r="U203" s="23"/>
      <c r="V203" s="23"/>
      <c r="W203" s="23"/>
      <c r="X203" s="23"/>
      <c r="Y203" s="23"/>
      <c r="Z203" s="23"/>
      <c r="AA203" s="23"/>
      <c r="AB203" s="23"/>
      <c r="AC203" s="16"/>
    </row>
    <row r="204" spans="4:29">
      <c r="D204" s="16"/>
      <c r="I204" s="3"/>
      <c r="K204" s="25"/>
      <c r="L204" s="25"/>
      <c r="M204" s="25"/>
      <c r="N204" s="23"/>
      <c r="O204" s="23"/>
      <c r="P204" s="23"/>
      <c r="Q204" s="23"/>
      <c r="R204" s="23"/>
      <c r="S204" s="23"/>
      <c r="T204" s="23"/>
      <c r="U204" s="23"/>
      <c r="V204" s="23"/>
      <c r="W204" s="23"/>
      <c r="X204" s="23"/>
      <c r="Y204" s="23"/>
      <c r="Z204" s="23"/>
      <c r="AA204" s="23"/>
      <c r="AB204" s="23"/>
      <c r="AC204" s="16"/>
    </row>
    <row r="205" spans="4:29">
      <c r="D205" s="16"/>
      <c r="I205" s="3"/>
      <c r="K205" s="25"/>
      <c r="L205" s="25"/>
      <c r="M205" s="25"/>
      <c r="N205" s="23"/>
      <c r="O205" s="23"/>
      <c r="P205" s="23"/>
      <c r="Q205" s="23"/>
      <c r="R205" s="23"/>
      <c r="S205" s="23"/>
      <c r="T205" s="23"/>
      <c r="U205" s="23"/>
      <c r="V205" s="23"/>
      <c r="W205" s="23"/>
      <c r="X205" s="23"/>
      <c r="Y205" s="23"/>
      <c r="Z205" s="23"/>
      <c r="AA205" s="23"/>
      <c r="AB205" s="23"/>
      <c r="AC205" s="16"/>
    </row>
    <row r="206" spans="4:29">
      <c r="D206" s="16"/>
      <c r="I206" s="3"/>
      <c r="K206" s="25"/>
      <c r="L206" s="25"/>
      <c r="M206" s="25"/>
      <c r="N206" s="23"/>
      <c r="O206" s="23"/>
      <c r="P206" s="23"/>
      <c r="Q206" s="23"/>
      <c r="R206" s="23"/>
      <c r="S206" s="23"/>
      <c r="T206" s="23"/>
      <c r="U206" s="23"/>
      <c r="V206" s="23"/>
      <c r="W206" s="23"/>
      <c r="X206" s="23"/>
      <c r="Y206" s="23"/>
      <c r="Z206" s="23"/>
      <c r="AA206" s="23"/>
      <c r="AB206" s="23"/>
      <c r="AC206" s="16"/>
    </row>
    <row r="207" spans="4:29">
      <c r="D207" s="16"/>
      <c r="I207" s="3"/>
      <c r="K207" s="25"/>
      <c r="L207" s="25"/>
      <c r="M207" s="25"/>
      <c r="N207" s="23"/>
      <c r="O207" s="23"/>
      <c r="P207" s="23"/>
      <c r="Q207" s="23"/>
      <c r="R207" s="23"/>
      <c r="S207" s="23"/>
      <c r="T207" s="23"/>
      <c r="U207" s="23"/>
      <c r="V207" s="23"/>
      <c r="W207" s="23"/>
      <c r="X207" s="23"/>
      <c r="Y207" s="23"/>
      <c r="Z207" s="23"/>
      <c r="AA207" s="23"/>
      <c r="AB207" s="23"/>
      <c r="AC207" s="16"/>
    </row>
    <row r="208" spans="4:29">
      <c r="D208" s="16"/>
      <c r="I208" s="3"/>
      <c r="K208" s="25"/>
      <c r="L208" s="25"/>
      <c r="M208" s="25"/>
      <c r="N208" s="23"/>
      <c r="O208" s="23"/>
      <c r="P208" s="23"/>
      <c r="Q208" s="23"/>
      <c r="R208" s="23"/>
      <c r="S208" s="23"/>
      <c r="T208" s="23"/>
      <c r="U208" s="23"/>
      <c r="V208" s="23"/>
      <c r="W208" s="23"/>
      <c r="X208" s="23"/>
      <c r="Y208" s="23"/>
      <c r="Z208" s="23"/>
      <c r="AA208" s="23"/>
      <c r="AB208" s="23"/>
      <c r="AC208" s="16"/>
    </row>
    <row r="209" spans="4:29">
      <c r="D209" s="16"/>
      <c r="I209" s="3"/>
      <c r="K209" s="25"/>
      <c r="L209" s="25"/>
      <c r="M209" s="25"/>
      <c r="N209" s="23"/>
      <c r="O209" s="23"/>
      <c r="P209" s="23"/>
      <c r="Q209" s="23"/>
      <c r="R209" s="23"/>
      <c r="S209" s="23"/>
      <c r="T209" s="23"/>
      <c r="U209" s="23"/>
      <c r="V209" s="23"/>
      <c r="W209" s="23"/>
      <c r="X209" s="23"/>
      <c r="Y209" s="23"/>
      <c r="Z209" s="23"/>
      <c r="AA209" s="23"/>
      <c r="AB209" s="23"/>
      <c r="AC209" s="16"/>
    </row>
    <row r="210" spans="4:29">
      <c r="D210" s="16"/>
      <c r="I210" s="3"/>
      <c r="K210" s="25"/>
      <c r="L210" s="25"/>
      <c r="M210" s="25"/>
      <c r="N210" s="23"/>
      <c r="O210" s="23"/>
      <c r="P210" s="23"/>
      <c r="Q210" s="23"/>
      <c r="R210" s="23"/>
      <c r="S210" s="23"/>
      <c r="T210" s="23"/>
      <c r="U210" s="23"/>
      <c r="V210" s="23"/>
      <c r="W210" s="23"/>
      <c r="X210" s="23"/>
      <c r="Y210" s="23"/>
      <c r="Z210" s="23"/>
      <c r="AA210" s="23"/>
      <c r="AB210" s="23"/>
      <c r="AC210" s="16"/>
    </row>
    <row r="211" spans="4:29">
      <c r="D211" s="16"/>
      <c r="I211" s="3"/>
      <c r="K211" s="25"/>
      <c r="L211" s="25"/>
      <c r="M211" s="25"/>
      <c r="N211" s="23"/>
      <c r="O211" s="23"/>
      <c r="P211" s="23"/>
      <c r="Q211" s="23"/>
      <c r="R211" s="23"/>
      <c r="S211" s="23"/>
      <c r="T211" s="23"/>
      <c r="U211" s="23"/>
      <c r="V211" s="23"/>
      <c r="W211" s="23"/>
      <c r="X211" s="23"/>
      <c r="Y211" s="23"/>
      <c r="Z211" s="23"/>
      <c r="AA211" s="23"/>
      <c r="AB211" s="23"/>
      <c r="AC211" s="16"/>
    </row>
    <row r="212" spans="4:29">
      <c r="D212" s="16"/>
      <c r="I212" s="3"/>
      <c r="K212" s="25"/>
      <c r="L212" s="25"/>
      <c r="M212" s="25"/>
      <c r="N212" s="23"/>
      <c r="O212" s="23"/>
      <c r="P212" s="23"/>
      <c r="Q212" s="23"/>
      <c r="R212" s="23"/>
      <c r="S212" s="23"/>
      <c r="T212" s="23"/>
      <c r="U212" s="23"/>
      <c r="V212" s="23"/>
      <c r="W212" s="23"/>
      <c r="X212" s="23"/>
      <c r="Y212" s="23"/>
      <c r="Z212" s="23"/>
      <c r="AA212" s="23"/>
      <c r="AB212" s="23"/>
      <c r="AC212" s="16"/>
    </row>
    <row r="213" spans="4:29">
      <c r="D213" s="16"/>
      <c r="I213" s="3"/>
      <c r="K213" s="25"/>
      <c r="L213" s="25"/>
      <c r="M213" s="25"/>
      <c r="N213" s="23"/>
      <c r="O213" s="23"/>
      <c r="P213" s="23"/>
      <c r="Q213" s="23"/>
      <c r="R213" s="23"/>
      <c r="S213" s="23"/>
      <c r="T213" s="23"/>
      <c r="U213" s="23"/>
      <c r="V213" s="23"/>
      <c r="W213" s="23"/>
      <c r="X213" s="23"/>
      <c r="Y213" s="23"/>
      <c r="Z213" s="23"/>
      <c r="AA213" s="23"/>
      <c r="AB213" s="23"/>
      <c r="AC213" s="16"/>
    </row>
    <row r="214" spans="4:29">
      <c r="D214" s="16"/>
      <c r="I214" s="3"/>
      <c r="K214" s="25"/>
      <c r="L214" s="25"/>
      <c r="M214" s="25"/>
      <c r="N214" s="23"/>
      <c r="O214" s="23"/>
      <c r="P214" s="23"/>
      <c r="Q214" s="23"/>
      <c r="R214" s="23"/>
      <c r="S214" s="23"/>
      <c r="T214" s="23"/>
      <c r="U214" s="23"/>
      <c r="V214" s="23"/>
      <c r="W214" s="23"/>
      <c r="X214" s="23"/>
      <c r="Y214" s="23"/>
      <c r="Z214" s="23"/>
      <c r="AA214" s="23"/>
      <c r="AB214" s="23"/>
      <c r="AC214" s="16"/>
    </row>
    <row r="215" spans="4:29">
      <c r="D215" s="16"/>
      <c r="I215" s="3"/>
      <c r="K215" s="25"/>
      <c r="L215" s="25"/>
      <c r="M215" s="25"/>
      <c r="N215" s="23"/>
      <c r="O215" s="23"/>
      <c r="P215" s="23"/>
      <c r="Q215" s="23"/>
      <c r="R215" s="23"/>
      <c r="S215" s="23"/>
      <c r="T215" s="23"/>
      <c r="U215" s="23"/>
      <c r="V215" s="23"/>
      <c r="W215" s="23"/>
      <c r="X215" s="23"/>
      <c r="Y215" s="23"/>
      <c r="Z215" s="23"/>
      <c r="AA215" s="23"/>
      <c r="AB215" s="23"/>
      <c r="AC215" s="16"/>
    </row>
    <row r="216" spans="4:29">
      <c r="D216" s="16"/>
      <c r="I216" s="3"/>
      <c r="K216" s="25"/>
      <c r="L216" s="25"/>
      <c r="M216" s="25"/>
      <c r="N216" s="23"/>
      <c r="O216" s="23"/>
      <c r="P216" s="23"/>
      <c r="Q216" s="23"/>
      <c r="R216" s="23"/>
      <c r="S216" s="23"/>
      <c r="T216" s="23"/>
      <c r="U216" s="23"/>
      <c r="V216" s="23"/>
      <c r="W216" s="23"/>
      <c r="X216" s="23"/>
      <c r="Y216" s="23"/>
      <c r="Z216" s="23"/>
      <c r="AA216" s="23"/>
      <c r="AB216" s="23"/>
      <c r="AC216" s="16"/>
    </row>
    <row r="217" spans="4:29">
      <c r="D217" s="16"/>
      <c r="I217" s="3"/>
      <c r="K217" s="25"/>
      <c r="L217" s="25"/>
      <c r="M217" s="25"/>
      <c r="N217" s="23"/>
      <c r="O217" s="23"/>
      <c r="P217" s="23"/>
      <c r="Q217" s="23"/>
      <c r="R217" s="23"/>
      <c r="S217" s="23"/>
      <c r="T217" s="23"/>
      <c r="U217" s="23"/>
      <c r="V217" s="23"/>
      <c r="W217" s="23"/>
      <c r="X217" s="23"/>
      <c r="Y217" s="23"/>
      <c r="Z217" s="23"/>
      <c r="AA217" s="23"/>
      <c r="AB217" s="23"/>
      <c r="AC217" s="16"/>
    </row>
    <row r="218" spans="4:29">
      <c r="D218" s="16"/>
      <c r="I218" s="3"/>
      <c r="K218" s="25"/>
      <c r="L218" s="25"/>
      <c r="M218" s="25"/>
      <c r="N218" s="23"/>
      <c r="O218" s="23"/>
      <c r="P218" s="23"/>
      <c r="Q218" s="23"/>
      <c r="R218" s="23"/>
      <c r="S218" s="23"/>
      <c r="T218" s="23"/>
      <c r="U218" s="23"/>
      <c r="V218" s="23"/>
      <c r="W218" s="23"/>
      <c r="X218" s="23"/>
      <c r="Y218" s="23"/>
      <c r="Z218" s="23"/>
      <c r="AA218" s="23"/>
      <c r="AB218" s="23"/>
      <c r="AC218" s="16"/>
    </row>
    <row r="219" spans="4:29">
      <c r="D219" s="16"/>
      <c r="I219" s="3"/>
      <c r="K219" s="25"/>
      <c r="L219" s="25"/>
      <c r="M219" s="25"/>
      <c r="N219" s="23"/>
      <c r="O219" s="23"/>
      <c r="P219" s="23"/>
      <c r="Q219" s="23"/>
      <c r="R219" s="23"/>
      <c r="S219" s="23"/>
      <c r="T219" s="23"/>
      <c r="U219" s="23"/>
      <c r="V219" s="23"/>
      <c r="W219" s="23"/>
      <c r="X219" s="23"/>
      <c r="Y219" s="23"/>
      <c r="Z219" s="23"/>
      <c r="AA219" s="23"/>
      <c r="AB219" s="23"/>
      <c r="AC219" s="16"/>
    </row>
    <row r="220" spans="4:29">
      <c r="D220" s="16"/>
      <c r="I220" s="3"/>
      <c r="K220" s="25"/>
      <c r="L220" s="25"/>
      <c r="M220" s="25"/>
      <c r="N220" s="23"/>
      <c r="O220" s="23"/>
      <c r="P220" s="23"/>
      <c r="Q220" s="23"/>
      <c r="R220" s="23"/>
      <c r="S220" s="23"/>
      <c r="T220" s="23"/>
      <c r="U220" s="23"/>
      <c r="V220" s="23"/>
      <c r="W220" s="23"/>
      <c r="X220" s="23"/>
      <c r="Y220" s="23"/>
      <c r="Z220" s="23"/>
      <c r="AA220" s="23"/>
      <c r="AB220" s="23"/>
      <c r="AC220" s="16"/>
    </row>
    <row r="221" spans="4:29">
      <c r="D221" s="16"/>
      <c r="I221" s="3"/>
      <c r="K221" s="25"/>
      <c r="L221" s="25"/>
      <c r="M221" s="25"/>
      <c r="N221" s="23"/>
      <c r="O221" s="23"/>
      <c r="P221" s="23"/>
      <c r="Q221" s="23"/>
      <c r="R221" s="23"/>
      <c r="S221" s="23"/>
      <c r="T221" s="23"/>
      <c r="U221" s="23"/>
      <c r="V221" s="23"/>
      <c r="W221" s="23"/>
      <c r="X221" s="23"/>
      <c r="Y221" s="23"/>
      <c r="Z221" s="23"/>
      <c r="AA221" s="23"/>
      <c r="AB221" s="23"/>
      <c r="AC221" s="16"/>
    </row>
    <row r="222" spans="4:29">
      <c r="D222" s="16"/>
      <c r="I222" s="3"/>
      <c r="K222" s="25"/>
      <c r="L222" s="25"/>
      <c r="M222" s="25"/>
      <c r="N222" s="23"/>
      <c r="O222" s="23"/>
      <c r="P222" s="23"/>
      <c r="Q222" s="23"/>
      <c r="R222" s="23"/>
      <c r="S222" s="23"/>
      <c r="T222" s="23"/>
      <c r="U222" s="23"/>
      <c r="V222" s="23"/>
      <c r="W222" s="23"/>
      <c r="X222" s="23"/>
      <c r="Y222" s="23"/>
      <c r="Z222" s="23"/>
      <c r="AA222" s="23"/>
      <c r="AB222" s="23"/>
      <c r="AC222" s="16"/>
    </row>
    <row r="223" spans="4:29">
      <c r="D223" s="16"/>
      <c r="I223" s="3"/>
      <c r="K223" s="25"/>
      <c r="L223" s="25"/>
      <c r="M223" s="25"/>
      <c r="N223" s="23"/>
      <c r="O223" s="23"/>
      <c r="P223" s="23"/>
      <c r="Q223" s="23"/>
      <c r="R223" s="23"/>
      <c r="S223" s="23"/>
      <c r="T223" s="23"/>
      <c r="U223" s="23"/>
      <c r="V223" s="23"/>
      <c r="W223" s="23"/>
      <c r="X223" s="23"/>
      <c r="Y223" s="23"/>
      <c r="Z223" s="23"/>
      <c r="AA223" s="23"/>
      <c r="AB223" s="23"/>
      <c r="AC223" s="16"/>
    </row>
    <row r="224" spans="4:29">
      <c r="D224" s="16"/>
      <c r="I224" s="3"/>
      <c r="K224" s="25"/>
      <c r="L224" s="25"/>
      <c r="M224" s="25"/>
      <c r="N224" s="23"/>
      <c r="O224" s="23"/>
      <c r="P224" s="23"/>
      <c r="Q224" s="23"/>
      <c r="R224" s="23"/>
      <c r="S224" s="23"/>
      <c r="T224" s="23"/>
      <c r="U224" s="23"/>
      <c r="V224" s="23"/>
      <c r="W224" s="23"/>
      <c r="X224" s="23"/>
      <c r="Y224" s="23"/>
      <c r="Z224" s="23"/>
      <c r="AA224" s="23"/>
      <c r="AB224" s="23"/>
      <c r="AC224" s="16"/>
    </row>
    <row r="225" spans="4:29">
      <c r="D225" s="16"/>
      <c r="I225" s="3"/>
      <c r="K225" s="25"/>
      <c r="L225" s="25"/>
      <c r="M225" s="25"/>
      <c r="N225" s="23"/>
      <c r="O225" s="23"/>
      <c r="P225" s="23"/>
      <c r="Q225" s="23"/>
      <c r="R225" s="23"/>
      <c r="S225" s="23"/>
      <c r="T225" s="23"/>
      <c r="U225" s="23"/>
      <c r="V225" s="23"/>
      <c r="W225" s="23"/>
      <c r="X225" s="23"/>
      <c r="Y225" s="23"/>
      <c r="Z225" s="23"/>
      <c r="AA225" s="23"/>
      <c r="AB225" s="23"/>
      <c r="AC225" s="16"/>
    </row>
    <row r="226" spans="4:29">
      <c r="D226" s="16"/>
      <c r="I226" s="3"/>
      <c r="K226" s="25"/>
      <c r="L226" s="25"/>
      <c r="M226" s="25"/>
      <c r="N226" s="23"/>
      <c r="O226" s="23"/>
      <c r="P226" s="23"/>
      <c r="Q226" s="23"/>
      <c r="R226" s="23"/>
      <c r="S226" s="23"/>
      <c r="T226" s="23"/>
      <c r="U226" s="23"/>
      <c r="V226" s="23"/>
      <c r="W226" s="23"/>
      <c r="X226" s="23"/>
      <c r="Y226" s="23"/>
      <c r="Z226" s="23"/>
      <c r="AA226" s="23"/>
      <c r="AB226" s="23"/>
      <c r="AC226" s="16"/>
    </row>
    <row r="227" spans="4:29">
      <c r="D227" s="16"/>
      <c r="I227" s="3"/>
      <c r="K227" s="25"/>
      <c r="L227" s="25"/>
      <c r="M227" s="25"/>
      <c r="N227" s="23"/>
      <c r="O227" s="23"/>
      <c r="P227" s="23"/>
      <c r="Q227" s="23"/>
      <c r="R227" s="23"/>
      <c r="S227" s="23"/>
      <c r="T227" s="23"/>
      <c r="U227" s="23"/>
      <c r="V227" s="23"/>
      <c r="W227" s="23"/>
      <c r="X227" s="23"/>
      <c r="Y227" s="23"/>
      <c r="Z227" s="23"/>
      <c r="AA227" s="23"/>
      <c r="AB227" s="23"/>
      <c r="AC227" s="16"/>
    </row>
    <row r="228" spans="4:29">
      <c r="D228" s="16"/>
      <c r="I228" s="3"/>
      <c r="K228" s="25"/>
      <c r="L228" s="25"/>
      <c r="M228" s="25"/>
      <c r="N228" s="23"/>
      <c r="O228" s="23"/>
      <c r="P228" s="23"/>
      <c r="Q228" s="23"/>
      <c r="R228" s="23"/>
      <c r="S228" s="23"/>
      <c r="T228" s="23"/>
      <c r="U228" s="23"/>
      <c r="V228" s="23"/>
      <c r="W228" s="23"/>
      <c r="X228" s="23"/>
      <c r="Y228" s="23"/>
      <c r="Z228" s="23"/>
      <c r="AA228" s="23"/>
      <c r="AB228" s="23"/>
      <c r="AC228" s="16"/>
    </row>
    <row r="229" spans="4:29">
      <c r="D229" s="16"/>
      <c r="I229" s="3"/>
      <c r="K229" s="25"/>
      <c r="L229" s="25"/>
      <c r="M229" s="25"/>
      <c r="N229" s="23"/>
      <c r="O229" s="23"/>
      <c r="P229" s="23"/>
      <c r="Q229" s="23"/>
      <c r="R229" s="23"/>
      <c r="S229" s="23"/>
      <c r="T229" s="23"/>
      <c r="U229" s="23"/>
      <c r="V229" s="23"/>
      <c r="W229" s="23"/>
      <c r="X229" s="23"/>
      <c r="Y229" s="23"/>
      <c r="Z229" s="23"/>
      <c r="AA229" s="23"/>
      <c r="AB229" s="23"/>
      <c r="AC229" s="16"/>
    </row>
    <row r="230" spans="4:29">
      <c r="D230" s="16"/>
      <c r="I230" s="3"/>
      <c r="K230" s="25"/>
      <c r="L230" s="25"/>
      <c r="M230" s="25"/>
      <c r="N230" s="23"/>
      <c r="O230" s="23"/>
      <c r="P230" s="23"/>
      <c r="Q230" s="23"/>
      <c r="R230" s="23"/>
      <c r="S230" s="23"/>
      <c r="T230" s="23"/>
      <c r="U230" s="23"/>
      <c r="V230" s="23"/>
      <c r="W230" s="23"/>
      <c r="X230" s="23"/>
      <c r="Y230" s="23"/>
      <c r="Z230" s="23"/>
      <c r="AA230" s="23"/>
      <c r="AB230" s="23"/>
      <c r="AC230" s="16"/>
    </row>
    <row r="231" spans="4:29">
      <c r="D231" s="16"/>
      <c r="I231" s="3"/>
      <c r="K231" s="25"/>
      <c r="L231" s="25"/>
      <c r="M231" s="25"/>
      <c r="N231" s="23"/>
      <c r="O231" s="23"/>
      <c r="P231" s="23"/>
      <c r="Q231" s="23"/>
      <c r="R231" s="23"/>
      <c r="S231" s="23"/>
      <c r="T231" s="23"/>
      <c r="U231" s="23"/>
      <c r="V231" s="23"/>
      <c r="W231" s="23"/>
      <c r="X231" s="23"/>
      <c r="Y231" s="23"/>
      <c r="Z231" s="23"/>
      <c r="AA231" s="23"/>
      <c r="AB231" s="23"/>
      <c r="AC231" s="16"/>
    </row>
    <row r="232" spans="4:29">
      <c r="D232" s="16"/>
      <c r="I232" s="3"/>
      <c r="K232" s="25"/>
      <c r="L232" s="25"/>
      <c r="M232" s="25"/>
      <c r="N232" s="23"/>
      <c r="O232" s="23"/>
      <c r="P232" s="23"/>
      <c r="Q232" s="23"/>
      <c r="R232" s="23"/>
      <c r="S232" s="23"/>
      <c r="T232" s="23"/>
      <c r="U232" s="23"/>
      <c r="V232" s="23"/>
      <c r="W232" s="23"/>
      <c r="X232" s="23"/>
      <c r="Y232" s="23"/>
      <c r="Z232" s="23"/>
      <c r="AA232" s="23"/>
      <c r="AB232" s="23"/>
      <c r="AC232" s="16"/>
    </row>
    <row r="233" spans="4:29">
      <c r="D233" s="16"/>
      <c r="I233" s="3"/>
      <c r="K233" s="25"/>
      <c r="L233" s="25"/>
      <c r="M233" s="25"/>
      <c r="N233" s="23"/>
      <c r="O233" s="23"/>
      <c r="P233" s="23"/>
      <c r="Q233" s="23"/>
      <c r="R233" s="23"/>
      <c r="S233" s="23"/>
      <c r="T233" s="23"/>
      <c r="U233" s="23"/>
      <c r="V233" s="23"/>
      <c r="W233" s="23"/>
      <c r="X233" s="23"/>
      <c r="Y233" s="23"/>
      <c r="Z233" s="23"/>
      <c r="AA233" s="23"/>
      <c r="AB233" s="23"/>
      <c r="AC233" s="16"/>
    </row>
    <row r="234" spans="4:29">
      <c r="D234" s="16"/>
      <c r="I234" s="3"/>
      <c r="K234" s="25"/>
      <c r="L234" s="25"/>
      <c r="M234" s="25"/>
      <c r="N234" s="23"/>
      <c r="O234" s="23"/>
      <c r="P234" s="23"/>
      <c r="Q234" s="23"/>
      <c r="R234" s="23"/>
      <c r="S234" s="23"/>
      <c r="T234" s="23"/>
      <c r="U234" s="23"/>
      <c r="V234" s="23"/>
      <c r="W234" s="23"/>
      <c r="X234" s="23"/>
      <c r="Y234" s="23"/>
      <c r="Z234" s="23"/>
      <c r="AA234" s="23"/>
      <c r="AB234" s="23"/>
      <c r="AC234" s="16"/>
    </row>
    <row r="235" spans="4:29">
      <c r="D235" s="16"/>
      <c r="I235" s="3"/>
      <c r="K235" s="25"/>
      <c r="L235" s="25"/>
      <c r="M235" s="25"/>
      <c r="N235" s="23"/>
      <c r="O235" s="23"/>
      <c r="P235" s="23"/>
      <c r="Q235" s="23"/>
      <c r="R235" s="23"/>
      <c r="S235" s="23"/>
      <c r="T235" s="23"/>
      <c r="U235" s="23"/>
      <c r="V235" s="23"/>
      <c r="W235" s="23"/>
      <c r="X235" s="23"/>
      <c r="Y235" s="23"/>
      <c r="Z235" s="23"/>
      <c r="AA235" s="23"/>
      <c r="AB235" s="23"/>
      <c r="AC235" s="16"/>
    </row>
    <row r="236" spans="4:29">
      <c r="D236" s="16"/>
      <c r="I236" s="3"/>
      <c r="K236" s="25"/>
      <c r="L236" s="25"/>
      <c r="M236" s="25"/>
      <c r="N236" s="23"/>
      <c r="O236" s="23"/>
      <c r="P236" s="23"/>
      <c r="Q236" s="23"/>
      <c r="R236" s="23"/>
      <c r="S236" s="23"/>
      <c r="T236" s="23"/>
      <c r="U236" s="23"/>
      <c r="V236" s="23"/>
      <c r="W236" s="23"/>
      <c r="X236" s="23"/>
      <c r="Y236" s="23"/>
      <c r="Z236" s="23"/>
      <c r="AA236" s="23"/>
      <c r="AB236" s="23"/>
      <c r="AC236" s="16"/>
    </row>
    <row r="237" spans="4:29">
      <c r="D237" s="16"/>
      <c r="I237" s="3"/>
      <c r="K237" s="25"/>
      <c r="L237" s="25"/>
      <c r="M237" s="25"/>
      <c r="N237" s="23"/>
      <c r="O237" s="23"/>
      <c r="P237" s="23"/>
      <c r="Q237" s="23"/>
      <c r="R237" s="23"/>
      <c r="S237" s="23"/>
      <c r="T237" s="23"/>
      <c r="U237" s="23"/>
      <c r="V237" s="23"/>
      <c r="W237" s="23"/>
      <c r="X237" s="23"/>
      <c r="Y237" s="23"/>
      <c r="Z237" s="23"/>
      <c r="AA237" s="23"/>
      <c r="AB237" s="23"/>
      <c r="AC237" s="16"/>
    </row>
    <row r="238" spans="4:29">
      <c r="D238" s="16"/>
      <c r="I238" s="3"/>
      <c r="K238" s="25"/>
      <c r="L238" s="25"/>
      <c r="M238" s="25"/>
      <c r="N238" s="23"/>
      <c r="O238" s="23"/>
      <c r="P238" s="23"/>
      <c r="Q238" s="23"/>
      <c r="R238" s="23"/>
      <c r="S238" s="23"/>
      <c r="T238" s="23"/>
      <c r="U238" s="23"/>
      <c r="V238" s="23"/>
      <c r="W238" s="23"/>
      <c r="X238" s="23"/>
      <c r="Y238" s="23"/>
      <c r="Z238" s="23"/>
      <c r="AA238" s="23"/>
      <c r="AB238" s="23"/>
      <c r="AC238" s="16"/>
    </row>
    <row r="239" spans="4:29">
      <c r="D239" s="16"/>
      <c r="I239" s="3"/>
      <c r="K239" s="25"/>
      <c r="L239" s="25"/>
      <c r="M239" s="25"/>
      <c r="N239" s="23"/>
      <c r="O239" s="23"/>
      <c r="P239" s="23"/>
      <c r="Q239" s="23"/>
      <c r="R239" s="23"/>
      <c r="S239" s="23"/>
      <c r="T239" s="23"/>
      <c r="U239" s="23"/>
      <c r="V239" s="23"/>
      <c r="W239" s="23"/>
      <c r="X239" s="23"/>
      <c r="Y239" s="23"/>
      <c r="Z239" s="23"/>
      <c r="AA239" s="23"/>
      <c r="AB239" s="23"/>
      <c r="AC239" s="16"/>
    </row>
    <row r="240" spans="4:29">
      <c r="D240" s="16"/>
      <c r="I240" s="3"/>
      <c r="K240" s="25"/>
      <c r="L240" s="25"/>
      <c r="M240" s="25"/>
      <c r="N240" s="23"/>
      <c r="O240" s="23"/>
      <c r="P240" s="23"/>
      <c r="Q240" s="23"/>
      <c r="R240" s="23"/>
      <c r="S240" s="23"/>
      <c r="T240" s="23"/>
      <c r="U240" s="23"/>
      <c r="V240" s="23"/>
      <c r="W240" s="23"/>
      <c r="X240" s="23"/>
      <c r="Y240" s="23"/>
      <c r="Z240" s="23"/>
      <c r="AA240" s="23"/>
      <c r="AB240" s="23"/>
      <c r="AC240" s="16"/>
    </row>
    <row r="241" spans="4:29">
      <c r="D241" s="16"/>
      <c r="I241" s="3"/>
      <c r="K241" s="25"/>
      <c r="L241" s="25"/>
      <c r="M241" s="25"/>
      <c r="N241" s="23"/>
      <c r="O241" s="23"/>
      <c r="P241" s="23"/>
      <c r="Q241" s="23"/>
      <c r="R241" s="23"/>
      <c r="S241" s="23"/>
      <c r="T241" s="23"/>
      <c r="U241" s="23"/>
      <c r="V241" s="23"/>
      <c r="W241" s="23"/>
      <c r="X241" s="23"/>
      <c r="Y241" s="23"/>
      <c r="Z241" s="23"/>
      <c r="AA241" s="23"/>
      <c r="AB241" s="23"/>
      <c r="AC241" s="16"/>
    </row>
    <row r="242" spans="4:29">
      <c r="D242" s="16"/>
      <c r="I242" s="3"/>
      <c r="K242" s="25"/>
      <c r="L242" s="25"/>
      <c r="M242" s="25"/>
      <c r="N242" s="23"/>
      <c r="O242" s="23"/>
      <c r="P242" s="23"/>
      <c r="Q242" s="23"/>
      <c r="R242" s="23"/>
      <c r="S242" s="23"/>
      <c r="T242" s="23"/>
      <c r="U242" s="23"/>
      <c r="V242" s="23"/>
      <c r="W242" s="23"/>
      <c r="X242" s="23"/>
      <c r="Y242" s="23"/>
      <c r="Z242" s="23"/>
      <c r="AA242" s="23"/>
      <c r="AB242" s="23"/>
      <c r="AC242" s="16"/>
    </row>
    <row r="243" spans="4:29">
      <c r="D243" s="16"/>
      <c r="I243" s="3"/>
      <c r="K243" s="25"/>
      <c r="L243" s="25"/>
      <c r="M243" s="25"/>
      <c r="N243" s="23"/>
      <c r="O243" s="23"/>
      <c r="P243" s="23"/>
      <c r="Q243" s="23"/>
      <c r="R243" s="23"/>
      <c r="S243" s="23"/>
      <c r="T243" s="23"/>
      <c r="U243" s="23"/>
      <c r="V243" s="23"/>
      <c r="W243" s="23"/>
      <c r="X243" s="23"/>
      <c r="Y243" s="23"/>
      <c r="Z243" s="23"/>
      <c r="AA243" s="23"/>
      <c r="AB243" s="23"/>
      <c r="AC243" s="16"/>
    </row>
    <row r="244" spans="4:29">
      <c r="D244" s="16"/>
      <c r="I244" s="3"/>
      <c r="K244" s="25"/>
      <c r="L244" s="25"/>
      <c r="M244" s="25"/>
      <c r="N244" s="23"/>
      <c r="O244" s="23"/>
      <c r="P244" s="23"/>
      <c r="Q244" s="23"/>
      <c r="R244" s="23"/>
      <c r="S244" s="23"/>
      <c r="T244" s="23"/>
      <c r="U244" s="23"/>
      <c r="V244" s="23"/>
      <c r="W244" s="23"/>
      <c r="X244" s="23"/>
      <c r="Y244" s="23"/>
      <c r="Z244" s="23"/>
      <c r="AA244" s="23"/>
      <c r="AB244" s="23"/>
      <c r="AC244" s="16"/>
    </row>
    <row r="245" spans="4:29">
      <c r="D245" s="16"/>
      <c r="I245" s="3"/>
      <c r="K245" s="25"/>
      <c r="L245" s="25"/>
      <c r="M245" s="25"/>
      <c r="N245" s="23"/>
      <c r="O245" s="23"/>
      <c r="P245" s="23"/>
      <c r="Q245" s="23"/>
      <c r="R245" s="23"/>
      <c r="S245" s="23"/>
      <c r="T245" s="23"/>
      <c r="U245" s="23"/>
      <c r="V245" s="23"/>
      <c r="W245" s="23"/>
      <c r="X245" s="23"/>
      <c r="Y245" s="23"/>
      <c r="Z245" s="23"/>
      <c r="AA245" s="23"/>
      <c r="AB245" s="23"/>
      <c r="AC245" s="16"/>
    </row>
    <row r="246" spans="4:29">
      <c r="D246" s="16"/>
      <c r="I246" s="3"/>
      <c r="K246" s="25"/>
      <c r="L246" s="25"/>
      <c r="M246" s="25"/>
      <c r="N246" s="23"/>
      <c r="O246" s="23"/>
      <c r="P246" s="23"/>
      <c r="Q246" s="23"/>
      <c r="R246" s="23"/>
      <c r="S246" s="23"/>
      <c r="T246" s="23"/>
      <c r="U246" s="23"/>
      <c r="V246" s="23"/>
      <c r="W246" s="23"/>
      <c r="X246" s="23"/>
      <c r="Y246" s="23"/>
      <c r="Z246" s="23"/>
      <c r="AA246" s="23"/>
      <c r="AB246" s="23"/>
      <c r="AC246" s="16"/>
    </row>
    <row r="247" spans="4:29">
      <c r="D247" s="16"/>
      <c r="I247" s="3"/>
      <c r="K247" s="25"/>
      <c r="L247" s="25"/>
      <c r="M247" s="25"/>
      <c r="N247" s="23"/>
      <c r="O247" s="23"/>
      <c r="P247" s="23"/>
      <c r="Q247" s="23"/>
      <c r="R247" s="23"/>
      <c r="S247" s="23"/>
      <c r="T247" s="23"/>
      <c r="U247" s="23"/>
      <c r="V247" s="23"/>
      <c r="W247" s="23"/>
      <c r="X247" s="23"/>
      <c r="Y247" s="23"/>
      <c r="Z247" s="23"/>
      <c r="AA247" s="23"/>
      <c r="AB247" s="23"/>
      <c r="AC247" s="16"/>
    </row>
    <row r="248" spans="4:29">
      <c r="D248" s="16"/>
      <c r="I248" s="3"/>
      <c r="K248" s="25"/>
      <c r="L248" s="25"/>
      <c r="M248" s="25"/>
      <c r="N248" s="23"/>
      <c r="O248" s="23"/>
      <c r="P248" s="23"/>
      <c r="Q248" s="23"/>
      <c r="R248" s="23"/>
      <c r="S248" s="23"/>
      <c r="T248" s="23"/>
      <c r="U248" s="23"/>
      <c r="V248" s="23"/>
      <c r="W248" s="23"/>
      <c r="X248" s="23"/>
      <c r="Y248" s="23"/>
      <c r="Z248" s="23"/>
      <c r="AA248" s="23"/>
      <c r="AB248" s="23"/>
      <c r="AC248" s="16"/>
    </row>
    <row r="249" spans="4:29">
      <c r="D249" s="16"/>
      <c r="I249" s="3"/>
      <c r="K249" s="25"/>
      <c r="L249" s="25"/>
      <c r="M249" s="25"/>
      <c r="N249" s="23"/>
      <c r="O249" s="23"/>
      <c r="P249" s="23"/>
      <c r="Q249" s="23"/>
      <c r="R249" s="23"/>
      <c r="S249" s="23"/>
      <c r="T249" s="23"/>
      <c r="U249" s="23"/>
      <c r="V249" s="23"/>
      <c r="W249" s="23"/>
      <c r="X249" s="23"/>
      <c r="Y249" s="23"/>
      <c r="Z249" s="23"/>
      <c r="AA249" s="23"/>
      <c r="AB249" s="23"/>
      <c r="AC249" s="16"/>
    </row>
    <row r="250" spans="4:29">
      <c r="D250" s="16"/>
      <c r="I250" s="3"/>
      <c r="K250" s="25"/>
      <c r="L250" s="25"/>
      <c r="M250" s="25"/>
      <c r="N250" s="23"/>
      <c r="O250" s="23"/>
      <c r="P250" s="23"/>
      <c r="Q250" s="23"/>
      <c r="R250" s="23"/>
      <c r="S250" s="23"/>
      <c r="T250" s="23"/>
      <c r="U250" s="23"/>
      <c r="V250" s="23"/>
      <c r="W250" s="23"/>
      <c r="X250" s="23"/>
      <c r="Y250" s="23"/>
      <c r="Z250" s="23"/>
      <c r="AA250" s="23"/>
      <c r="AB250" s="23"/>
      <c r="AC250" s="16"/>
    </row>
    <row r="251" spans="4:29">
      <c r="D251" s="16"/>
      <c r="I251" s="3"/>
      <c r="K251" s="25"/>
      <c r="L251" s="25"/>
      <c r="M251" s="25"/>
      <c r="N251" s="23"/>
      <c r="O251" s="23"/>
      <c r="P251" s="23"/>
      <c r="Q251" s="23"/>
      <c r="R251" s="23"/>
      <c r="S251" s="23"/>
      <c r="T251" s="23"/>
      <c r="U251" s="23"/>
      <c r="V251" s="23"/>
      <c r="W251" s="23"/>
      <c r="X251" s="23"/>
      <c r="Y251" s="23"/>
      <c r="Z251" s="23"/>
      <c r="AA251" s="23"/>
      <c r="AB251" s="23"/>
      <c r="AC251" s="16"/>
    </row>
    <row r="252" spans="4:29">
      <c r="D252" s="16"/>
      <c r="I252" s="3"/>
      <c r="K252" s="25"/>
      <c r="L252" s="25"/>
      <c r="M252" s="25"/>
      <c r="N252" s="23"/>
      <c r="O252" s="23"/>
      <c r="P252" s="23"/>
      <c r="Q252" s="23"/>
      <c r="R252" s="23"/>
      <c r="S252" s="23"/>
      <c r="T252" s="23"/>
      <c r="U252" s="23"/>
      <c r="V252" s="23"/>
      <c r="W252" s="23"/>
      <c r="X252" s="23"/>
      <c r="Y252" s="23"/>
      <c r="Z252" s="23"/>
      <c r="AA252" s="23"/>
      <c r="AB252" s="23"/>
      <c r="AC252" s="16"/>
    </row>
    <row r="253" spans="4:29">
      <c r="D253" s="16"/>
      <c r="I253" s="3"/>
      <c r="K253" s="25"/>
      <c r="L253" s="25"/>
      <c r="M253" s="25"/>
      <c r="N253" s="23"/>
      <c r="O253" s="23"/>
      <c r="P253" s="23"/>
      <c r="Q253" s="23"/>
      <c r="R253" s="23"/>
      <c r="S253" s="23"/>
      <c r="T253" s="23"/>
      <c r="U253" s="23"/>
      <c r="V253" s="23"/>
      <c r="W253" s="23"/>
      <c r="X253" s="23"/>
      <c r="Y253" s="23"/>
      <c r="Z253" s="23"/>
      <c r="AA253" s="23"/>
      <c r="AB253" s="23"/>
      <c r="AC253" s="16"/>
    </row>
    <row r="254" spans="4:29">
      <c r="D254" s="16"/>
      <c r="I254" s="3"/>
      <c r="K254" s="25"/>
      <c r="L254" s="25"/>
      <c r="M254" s="25"/>
      <c r="N254" s="23"/>
      <c r="O254" s="23"/>
      <c r="P254" s="23"/>
      <c r="Q254" s="23"/>
      <c r="R254" s="23"/>
      <c r="S254" s="23"/>
      <c r="T254" s="23"/>
      <c r="U254" s="23"/>
      <c r="V254" s="23"/>
      <c r="W254" s="23"/>
      <c r="X254" s="23"/>
      <c r="Y254" s="23"/>
      <c r="Z254" s="23"/>
      <c r="AA254" s="23"/>
      <c r="AB254" s="23"/>
      <c r="AC254" s="16"/>
    </row>
    <row r="255" spans="4:29">
      <c r="D255" s="16"/>
      <c r="I255" s="3"/>
      <c r="K255" s="25"/>
      <c r="L255" s="25"/>
      <c r="M255" s="25"/>
      <c r="N255" s="23"/>
      <c r="O255" s="23"/>
      <c r="P255" s="23"/>
      <c r="Q255" s="23"/>
      <c r="R255" s="23"/>
      <c r="S255" s="23"/>
      <c r="T255" s="23"/>
      <c r="U255" s="23"/>
      <c r="V255" s="23"/>
      <c r="W255" s="23"/>
      <c r="X255" s="23"/>
      <c r="Y255" s="23"/>
      <c r="Z255" s="23"/>
      <c r="AA255" s="23"/>
      <c r="AB255" s="23"/>
      <c r="AC255" s="16"/>
    </row>
    <row r="256" spans="4:29">
      <c r="D256" s="16"/>
      <c r="I256" s="3"/>
      <c r="K256" s="25"/>
      <c r="L256" s="25"/>
      <c r="M256" s="25"/>
      <c r="N256" s="23"/>
      <c r="O256" s="23"/>
      <c r="P256" s="23"/>
      <c r="Q256" s="23"/>
      <c r="R256" s="23"/>
      <c r="S256" s="23"/>
      <c r="T256" s="23"/>
      <c r="U256" s="23"/>
      <c r="V256" s="23"/>
      <c r="W256" s="23"/>
      <c r="X256" s="23"/>
      <c r="Y256" s="23"/>
      <c r="Z256" s="23"/>
      <c r="AA256" s="23"/>
      <c r="AB256" s="23"/>
      <c r="AC256" s="16"/>
    </row>
    <row r="257" spans="4:29">
      <c r="D257" s="16"/>
      <c r="I257" s="3"/>
      <c r="K257" s="25"/>
      <c r="L257" s="25"/>
      <c r="M257" s="25"/>
      <c r="N257" s="23"/>
      <c r="O257" s="23"/>
      <c r="P257" s="23"/>
      <c r="Q257" s="23"/>
      <c r="R257" s="23"/>
      <c r="S257" s="23"/>
      <c r="T257" s="23"/>
      <c r="U257" s="23"/>
      <c r="V257" s="23"/>
      <c r="W257" s="23"/>
      <c r="X257" s="23"/>
      <c r="Y257" s="23"/>
      <c r="Z257" s="23"/>
      <c r="AA257" s="23"/>
      <c r="AB257" s="23"/>
      <c r="AC257" s="16"/>
    </row>
    <row r="258" spans="4:29">
      <c r="D258" s="16"/>
      <c r="I258" s="3"/>
      <c r="K258" s="25"/>
      <c r="L258" s="25"/>
      <c r="M258" s="25"/>
      <c r="N258" s="23"/>
      <c r="O258" s="23"/>
      <c r="P258" s="23"/>
      <c r="Q258" s="23"/>
      <c r="R258" s="23"/>
      <c r="S258" s="23"/>
      <c r="T258" s="23"/>
      <c r="U258" s="23"/>
      <c r="V258" s="23"/>
      <c r="W258" s="23"/>
      <c r="X258" s="23"/>
      <c r="Y258" s="23"/>
      <c r="Z258" s="23"/>
      <c r="AA258" s="23"/>
      <c r="AB258" s="23"/>
      <c r="AC258" s="16"/>
    </row>
    <row r="259" spans="4:29">
      <c r="D259" s="16"/>
      <c r="I259" s="3"/>
      <c r="K259" s="25"/>
      <c r="L259" s="25"/>
      <c r="M259" s="25"/>
      <c r="N259" s="23"/>
      <c r="O259" s="23"/>
      <c r="P259" s="23"/>
      <c r="Q259" s="23"/>
      <c r="R259" s="23"/>
      <c r="S259" s="23"/>
      <c r="T259" s="23"/>
      <c r="U259" s="23"/>
      <c r="V259" s="23"/>
      <c r="W259" s="23"/>
      <c r="X259" s="23"/>
      <c r="Y259" s="23"/>
      <c r="Z259" s="23"/>
      <c r="AA259" s="23"/>
      <c r="AB259" s="23"/>
      <c r="AC259" s="16"/>
    </row>
    <row r="260" spans="4:29">
      <c r="D260" s="16"/>
      <c r="I260" s="3"/>
      <c r="K260" s="25"/>
      <c r="L260" s="25"/>
      <c r="M260" s="25"/>
      <c r="N260" s="23"/>
      <c r="O260" s="23"/>
      <c r="P260" s="23"/>
      <c r="Q260" s="23"/>
      <c r="R260" s="23"/>
      <c r="S260" s="23"/>
      <c r="T260" s="23"/>
      <c r="U260" s="23"/>
      <c r="V260" s="23"/>
      <c r="W260" s="23"/>
      <c r="X260" s="23"/>
      <c r="Y260" s="23"/>
      <c r="Z260" s="23"/>
      <c r="AA260" s="23"/>
      <c r="AB260" s="23"/>
      <c r="AC260" s="16"/>
    </row>
    <row r="261" spans="4:29">
      <c r="D261" s="16"/>
      <c r="I261" s="3"/>
      <c r="K261" s="25"/>
      <c r="L261" s="25"/>
      <c r="M261" s="25"/>
      <c r="N261" s="23"/>
      <c r="O261" s="23"/>
      <c r="P261" s="23"/>
      <c r="Q261" s="23"/>
      <c r="R261" s="23"/>
      <c r="S261" s="23"/>
      <c r="T261" s="23"/>
      <c r="U261" s="23"/>
      <c r="V261" s="23"/>
      <c r="W261" s="23"/>
      <c r="X261" s="23"/>
      <c r="Y261" s="23"/>
      <c r="Z261" s="23"/>
      <c r="AA261" s="23"/>
      <c r="AB261" s="23"/>
      <c r="AC261" s="16"/>
    </row>
    <row r="262" spans="4:29">
      <c r="D262" s="16"/>
      <c r="I262" s="3"/>
      <c r="K262" s="25"/>
      <c r="L262" s="25"/>
      <c r="M262" s="25"/>
      <c r="N262" s="23"/>
      <c r="O262" s="23"/>
      <c r="P262" s="23"/>
      <c r="Q262" s="23"/>
      <c r="R262" s="23"/>
      <c r="S262" s="23"/>
      <c r="T262" s="23"/>
      <c r="U262" s="23"/>
      <c r="V262" s="23"/>
      <c r="W262" s="23"/>
      <c r="X262" s="23"/>
      <c r="Y262" s="23"/>
      <c r="Z262" s="23"/>
      <c r="AA262" s="23"/>
      <c r="AB262" s="23"/>
      <c r="AC262" s="16"/>
    </row>
    <row r="263" spans="4:29">
      <c r="D263" s="16"/>
      <c r="I263" s="3"/>
      <c r="K263" s="25"/>
      <c r="L263" s="25"/>
      <c r="M263" s="25"/>
      <c r="N263" s="23"/>
      <c r="O263" s="23"/>
      <c r="P263" s="23"/>
      <c r="Q263" s="23"/>
      <c r="R263" s="23"/>
      <c r="S263" s="23"/>
      <c r="T263" s="23"/>
      <c r="U263" s="23"/>
      <c r="V263" s="23"/>
      <c r="W263" s="23"/>
      <c r="X263" s="23"/>
      <c r="Y263" s="23"/>
      <c r="Z263" s="23"/>
      <c r="AA263" s="23"/>
      <c r="AB263" s="23"/>
      <c r="AC263" s="16"/>
    </row>
    <row r="264" spans="4:29">
      <c r="D264" s="16"/>
      <c r="I264" s="3"/>
      <c r="K264" s="25"/>
      <c r="L264" s="25"/>
      <c r="M264" s="25"/>
      <c r="N264" s="23"/>
      <c r="O264" s="23"/>
      <c r="P264" s="23"/>
      <c r="Q264" s="23"/>
      <c r="R264" s="23"/>
      <c r="S264" s="23"/>
      <c r="T264" s="23"/>
      <c r="U264" s="23"/>
      <c r="V264" s="23"/>
      <c r="W264" s="23"/>
      <c r="X264" s="23"/>
      <c r="Y264" s="23"/>
      <c r="Z264" s="23"/>
      <c r="AA264" s="23"/>
      <c r="AB264" s="23"/>
      <c r="AC264" s="16"/>
    </row>
    <row r="265" spans="4:29">
      <c r="D265" s="16"/>
      <c r="I265" s="3"/>
      <c r="K265" s="25"/>
      <c r="L265" s="25"/>
      <c r="M265" s="25"/>
      <c r="N265" s="23"/>
      <c r="O265" s="23"/>
      <c r="P265" s="23"/>
      <c r="Q265" s="23"/>
      <c r="R265" s="23"/>
      <c r="S265" s="23"/>
      <c r="T265" s="23"/>
      <c r="U265" s="23"/>
      <c r="V265" s="23"/>
      <c r="W265" s="23"/>
      <c r="X265" s="23"/>
      <c r="Y265" s="23"/>
      <c r="Z265" s="23"/>
      <c r="AA265" s="23"/>
      <c r="AB265" s="23"/>
      <c r="AC265" s="16"/>
    </row>
    <row r="266" spans="4:29">
      <c r="D266" s="16"/>
      <c r="I266" s="3"/>
      <c r="K266" s="25"/>
      <c r="L266" s="25"/>
      <c r="M266" s="25"/>
      <c r="N266" s="23"/>
      <c r="O266" s="23"/>
      <c r="P266" s="23"/>
      <c r="Q266" s="23"/>
      <c r="R266" s="23"/>
      <c r="S266" s="23"/>
      <c r="T266" s="23"/>
      <c r="U266" s="23"/>
      <c r="V266" s="23"/>
      <c r="W266" s="23"/>
      <c r="X266" s="23"/>
      <c r="Y266" s="23"/>
      <c r="Z266" s="23"/>
      <c r="AA266" s="23"/>
      <c r="AB266" s="23"/>
      <c r="AC266" s="16"/>
    </row>
    <row r="267" spans="4:29">
      <c r="D267" s="16"/>
      <c r="I267" s="3"/>
      <c r="K267" s="25"/>
      <c r="L267" s="25"/>
      <c r="M267" s="25"/>
      <c r="N267" s="23"/>
      <c r="O267" s="23"/>
      <c r="P267" s="23"/>
      <c r="Q267" s="23"/>
      <c r="R267" s="23"/>
      <c r="S267" s="23"/>
      <c r="T267" s="23"/>
      <c r="U267" s="23"/>
      <c r="V267" s="23"/>
      <c r="W267" s="23"/>
      <c r="X267" s="23"/>
      <c r="Y267" s="23"/>
      <c r="Z267" s="23"/>
      <c r="AA267" s="23"/>
      <c r="AB267" s="23"/>
      <c r="AC267" s="16"/>
    </row>
    <row r="268" spans="4:29">
      <c r="D268" s="16"/>
      <c r="I268" s="3"/>
      <c r="K268" s="25"/>
      <c r="L268" s="25"/>
      <c r="M268" s="25"/>
      <c r="N268" s="23"/>
      <c r="O268" s="23"/>
      <c r="P268" s="23"/>
      <c r="Q268" s="23"/>
      <c r="R268" s="23"/>
      <c r="S268" s="23"/>
      <c r="T268" s="23"/>
      <c r="U268" s="23"/>
      <c r="V268" s="23"/>
      <c r="W268" s="23"/>
      <c r="X268" s="23"/>
      <c r="Y268" s="23"/>
      <c r="Z268" s="23"/>
      <c r="AA268" s="23"/>
      <c r="AB268" s="23"/>
      <c r="AC268" s="16"/>
    </row>
    <row r="269" spans="4:29">
      <c r="D269" s="16"/>
      <c r="I269" s="3"/>
      <c r="K269" s="25"/>
      <c r="L269" s="25"/>
      <c r="M269" s="25"/>
      <c r="N269" s="23"/>
      <c r="O269" s="23"/>
      <c r="P269" s="23"/>
      <c r="Q269" s="23"/>
      <c r="R269" s="23"/>
      <c r="S269" s="23"/>
      <c r="T269" s="23"/>
      <c r="U269" s="23"/>
      <c r="V269" s="23"/>
      <c r="W269" s="23"/>
      <c r="X269" s="23"/>
      <c r="Y269" s="23"/>
      <c r="Z269" s="23"/>
      <c r="AA269" s="23"/>
      <c r="AB269" s="23"/>
      <c r="AC269" s="16"/>
    </row>
    <row r="270" spans="4:29">
      <c r="D270" s="16"/>
      <c r="I270" s="3"/>
      <c r="K270" s="25"/>
      <c r="L270" s="25"/>
      <c r="M270" s="25"/>
      <c r="N270" s="23"/>
      <c r="O270" s="23"/>
      <c r="P270" s="23"/>
      <c r="Q270" s="23"/>
      <c r="R270" s="23"/>
      <c r="S270" s="23"/>
      <c r="T270" s="23"/>
      <c r="U270" s="23"/>
      <c r="V270" s="23"/>
      <c r="W270" s="23"/>
      <c r="X270" s="23"/>
      <c r="Y270" s="23"/>
      <c r="Z270" s="23"/>
      <c r="AA270" s="23"/>
      <c r="AB270" s="23"/>
      <c r="AC270" s="16"/>
    </row>
    <row r="271" spans="4:29">
      <c r="D271" s="16"/>
      <c r="I271" s="3"/>
      <c r="K271" s="25"/>
      <c r="L271" s="25"/>
      <c r="M271" s="25"/>
      <c r="N271" s="23"/>
      <c r="O271" s="23"/>
      <c r="P271" s="23"/>
      <c r="Q271" s="23"/>
      <c r="R271" s="23"/>
      <c r="S271" s="23"/>
      <c r="T271" s="23"/>
      <c r="U271" s="23"/>
      <c r="V271" s="23"/>
      <c r="W271" s="23"/>
      <c r="X271" s="23"/>
      <c r="Y271" s="23"/>
      <c r="Z271" s="23"/>
      <c r="AA271" s="23"/>
      <c r="AB271" s="23"/>
      <c r="AC271" s="16"/>
    </row>
    <row r="272" spans="4:29">
      <c r="D272" s="16"/>
      <c r="I272" s="3"/>
      <c r="K272" s="25"/>
      <c r="L272" s="25"/>
      <c r="M272" s="25"/>
      <c r="N272" s="23"/>
      <c r="O272" s="23"/>
      <c r="P272" s="23"/>
      <c r="Q272" s="23"/>
      <c r="R272" s="23"/>
      <c r="S272" s="23"/>
      <c r="T272" s="23"/>
      <c r="U272" s="23"/>
      <c r="V272" s="23"/>
      <c r="W272" s="23"/>
      <c r="X272" s="23"/>
      <c r="Y272" s="23"/>
      <c r="Z272" s="23"/>
      <c r="AA272" s="23"/>
      <c r="AB272" s="23"/>
      <c r="AC272" s="16"/>
    </row>
    <row r="273" spans="4:29">
      <c r="D273" s="16"/>
      <c r="I273" s="3"/>
      <c r="K273" s="25"/>
      <c r="L273" s="25"/>
      <c r="M273" s="25"/>
      <c r="N273" s="23"/>
      <c r="O273" s="23"/>
      <c r="P273" s="23"/>
      <c r="Q273" s="23"/>
      <c r="R273" s="23"/>
      <c r="S273" s="23"/>
      <c r="T273" s="23"/>
      <c r="U273" s="23"/>
      <c r="V273" s="23"/>
      <c r="W273" s="23"/>
      <c r="X273" s="23"/>
      <c r="Y273" s="23"/>
      <c r="Z273" s="23"/>
      <c r="AA273" s="23"/>
      <c r="AB273" s="23"/>
      <c r="AC273" s="16"/>
    </row>
    <row r="274" spans="4:29">
      <c r="D274" s="16"/>
      <c r="I274" s="3"/>
      <c r="K274" s="25"/>
      <c r="L274" s="25"/>
      <c r="M274" s="25"/>
      <c r="N274" s="23"/>
      <c r="O274" s="23"/>
      <c r="P274" s="23"/>
      <c r="Q274" s="23"/>
      <c r="R274" s="23"/>
      <c r="S274" s="23"/>
      <c r="T274" s="23"/>
      <c r="U274" s="23"/>
      <c r="V274" s="23"/>
      <c r="W274" s="23"/>
      <c r="X274" s="23"/>
      <c r="Y274" s="23"/>
      <c r="Z274" s="23"/>
      <c r="AA274" s="23"/>
      <c r="AB274" s="23"/>
      <c r="AC274" s="16"/>
    </row>
    <row r="275" spans="4:29">
      <c r="D275" s="16"/>
      <c r="I275" s="3"/>
      <c r="K275" s="25"/>
      <c r="L275" s="25"/>
      <c r="M275" s="25"/>
      <c r="N275" s="23"/>
      <c r="O275" s="23"/>
      <c r="P275" s="23"/>
      <c r="Q275" s="23"/>
      <c r="R275" s="23"/>
      <c r="S275" s="23"/>
      <c r="T275" s="23"/>
      <c r="U275" s="23"/>
      <c r="V275" s="23"/>
      <c r="W275" s="23"/>
      <c r="X275" s="23"/>
      <c r="Y275" s="23"/>
      <c r="Z275" s="23"/>
      <c r="AA275" s="23"/>
      <c r="AB275" s="23"/>
      <c r="AC275" s="16"/>
    </row>
    <row r="276" spans="4:29">
      <c r="D276" s="16"/>
      <c r="I276" s="3"/>
      <c r="K276" s="25"/>
      <c r="L276" s="25"/>
      <c r="M276" s="25"/>
      <c r="N276" s="23"/>
      <c r="O276" s="23"/>
      <c r="P276" s="23"/>
      <c r="Q276" s="23"/>
      <c r="R276" s="23"/>
      <c r="S276" s="23"/>
      <c r="T276" s="23"/>
      <c r="U276" s="23"/>
      <c r="V276" s="23"/>
      <c r="W276" s="23"/>
      <c r="X276" s="23"/>
      <c r="Y276" s="23"/>
      <c r="Z276" s="23"/>
      <c r="AA276" s="23"/>
      <c r="AB276" s="23"/>
      <c r="AC276" s="16"/>
    </row>
    <row r="277" spans="4:29">
      <c r="D277" s="16"/>
      <c r="I277" s="3"/>
      <c r="K277" s="25"/>
      <c r="L277" s="25"/>
      <c r="M277" s="25"/>
      <c r="N277" s="23"/>
      <c r="O277" s="23"/>
      <c r="P277" s="23"/>
      <c r="Q277" s="23"/>
      <c r="R277" s="23"/>
      <c r="S277" s="23"/>
      <c r="T277" s="23"/>
      <c r="U277" s="23"/>
      <c r="V277" s="23"/>
      <c r="W277" s="23"/>
      <c r="X277" s="23"/>
      <c r="Y277" s="23"/>
      <c r="Z277" s="23"/>
      <c r="AA277" s="23"/>
      <c r="AB277" s="23"/>
      <c r="AC277" s="16"/>
    </row>
    <row r="278" spans="4:29">
      <c r="D278" s="16"/>
      <c r="I278" s="3"/>
      <c r="K278" s="25"/>
      <c r="L278" s="25"/>
      <c r="M278" s="25"/>
      <c r="N278" s="23"/>
      <c r="O278" s="23"/>
      <c r="P278" s="23"/>
      <c r="Q278" s="23"/>
      <c r="R278" s="23"/>
      <c r="S278" s="23"/>
      <c r="T278" s="23"/>
      <c r="U278" s="23"/>
      <c r="V278" s="23"/>
      <c r="W278" s="23"/>
      <c r="X278" s="23"/>
      <c r="Y278" s="23"/>
      <c r="Z278" s="23"/>
      <c r="AA278" s="23"/>
      <c r="AB278" s="23"/>
      <c r="AC278" s="16"/>
    </row>
    <row r="279" spans="4:29">
      <c r="D279" s="16"/>
      <c r="I279" s="3"/>
      <c r="K279" s="25"/>
      <c r="L279" s="25"/>
      <c r="M279" s="25"/>
      <c r="N279" s="23"/>
      <c r="O279" s="23"/>
      <c r="P279" s="23"/>
      <c r="Q279" s="23"/>
      <c r="R279" s="23"/>
      <c r="S279" s="23"/>
      <c r="T279" s="23"/>
      <c r="U279" s="23"/>
      <c r="V279" s="23"/>
      <c r="W279" s="23"/>
      <c r="X279" s="23"/>
      <c r="Y279" s="23"/>
      <c r="Z279" s="23"/>
      <c r="AA279" s="23"/>
      <c r="AB279" s="23"/>
      <c r="AC279" s="16"/>
    </row>
    <row r="280" spans="4:29">
      <c r="D280" s="16"/>
      <c r="I280" s="3"/>
      <c r="K280" s="25"/>
      <c r="L280" s="25"/>
      <c r="M280" s="25"/>
      <c r="N280" s="23"/>
      <c r="O280" s="23"/>
      <c r="P280" s="23"/>
      <c r="Q280" s="23"/>
      <c r="R280" s="23"/>
      <c r="S280" s="23"/>
      <c r="T280" s="23"/>
      <c r="U280" s="23"/>
      <c r="V280" s="23"/>
      <c r="W280" s="23"/>
      <c r="X280" s="23"/>
      <c r="Y280" s="23"/>
      <c r="Z280" s="23"/>
      <c r="AA280" s="23"/>
      <c r="AB280" s="23"/>
      <c r="AC280" s="16"/>
    </row>
    <row r="281" spans="4:29">
      <c r="D281" s="16"/>
      <c r="I281" s="3"/>
      <c r="K281" s="25"/>
      <c r="L281" s="25"/>
      <c r="M281" s="25"/>
      <c r="N281" s="23"/>
      <c r="O281" s="23"/>
      <c r="P281" s="23"/>
      <c r="Q281" s="23"/>
      <c r="R281" s="23"/>
      <c r="S281" s="23"/>
      <c r="T281" s="23"/>
      <c r="U281" s="23"/>
      <c r="V281" s="23"/>
      <c r="W281" s="23"/>
      <c r="X281" s="23"/>
      <c r="Y281" s="23"/>
      <c r="Z281" s="23"/>
      <c r="AA281" s="23"/>
      <c r="AB281" s="23"/>
      <c r="AC281" s="16"/>
    </row>
    <row r="282" spans="4:29">
      <c r="D282" s="16"/>
      <c r="I282" s="3"/>
      <c r="K282" s="25"/>
      <c r="L282" s="25"/>
      <c r="M282" s="25"/>
      <c r="N282" s="23"/>
      <c r="O282" s="23"/>
      <c r="P282" s="23"/>
      <c r="Q282" s="23"/>
      <c r="R282" s="23"/>
      <c r="S282" s="23"/>
      <c r="T282" s="23"/>
      <c r="U282" s="23"/>
      <c r="V282" s="23"/>
      <c r="W282" s="23"/>
      <c r="X282" s="23"/>
      <c r="Y282" s="23"/>
      <c r="Z282" s="23"/>
      <c r="AA282" s="23"/>
      <c r="AB282" s="23"/>
      <c r="AC282" s="16"/>
    </row>
    <row r="283" spans="4:29">
      <c r="D283" s="16"/>
      <c r="I283" s="3"/>
      <c r="K283" s="25"/>
      <c r="L283" s="25"/>
      <c r="M283" s="25"/>
      <c r="N283" s="23"/>
      <c r="O283" s="23"/>
      <c r="P283" s="23"/>
      <c r="Q283" s="23"/>
      <c r="R283" s="23"/>
      <c r="S283" s="23"/>
      <c r="T283" s="23"/>
      <c r="U283" s="23"/>
      <c r="V283" s="23"/>
      <c r="W283" s="23"/>
      <c r="X283" s="23"/>
      <c r="Y283" s="23"/>
      <c r="Z283" s="23"/>
      <c r="AA283" s="23"/>
      <c r="AB283" s="23"/>
      <c r="AC283" s="16"/>
    </row>
    <row r="284" spans="4:29">
      <c r="D284" s="16"/>
      <c r="I284" s="3"/>
      <c r="K284" s="25"/>
      <c r="L284" s="25"/>
      <c r="M284" s="25"/>
      <c r="N284" s="23"/>
      <c r="O284" s="23"/>
      <c r="P284" s="23"/>
      <c r="Q284" s="23"/>
      <c r="R284" s="23"/>
      <c r="S284" s="23"/>
      <c r="T284" s="23"/>
      <c r="U284" s="23"/>
      <c r="V284" s="23"/>
      <c r="W284" s="23"/>
      <c r="X284" s="23"/>
      <c r="Y284" s="23"/>
      <c r="Z284" s="23"/>
      <c r="AA284" s="23"/>
      <c r="AB284" s="23"/>
      <c r="AC284" s="16"/>
    </row>
    <row r="285" spans="4:29">
      <c r="D285" s="16"/>
      <c r="I285" s="3"/>
      <c r="K285" s="25"/>
      <c r="L285" s="25"/>
      <c r="M285" s="25"/>
      <c r="N285" s="23"/>
      <c r="O285" s="23"/>
      <c r="P285" s="23"/>
      <c r="Q285" s="23"/>
      <c r="R285" s="23"/>
      <c r="S285" s="23"/>
      <c r="T285" s="23"/>
      <c r="U285" s="23"/>
      <c r="V285" s="23"/>
      <c r="W285" s="23"/>
      <c r="X285" s="23"/>
      <c r="Y285" s="23"/>
      <c r="Z285" s="23"/>
      <c r="AA285" s="23"/>
      <c r="AB285" s="23"/>
      <c r="AC285" s="16"/>
    </row>
    <row r="286" spans="4:29">
      <c r="D286" s="16"/>
      <c r="I286" s="3"/>
      <c r="K286" s="25"/>
      <c r="L286" s="25"/>
      <c r="M286" s="25"/>
      <c r="N286" s="23"/>
      <c r="O286" s="23"/>
      <c r="P286" s="23"/>
      <c r="Q286" s="23"/>
      <c r="R286" s="23"/>
      <c r="S286" s="23"/>
      <c r="T286" s="23"/>
      <c r="U286" s="23"/>
      <c r="V286" s="23"/>
      <c r="W286" s="23"/>
      <c r="X286" s="23"/>
      <c r="Y286" s="23"/>
      <c r="Z286" s="23"/>
      <c r="AA286" s="23"/>
      <c r="AB286" s="23"/>
      <c r="AC286" s="16"/>
    </row>
    <row r="287" spans="4:29">
      <c r="D287" s="16"/>
      <c r="I287" s="3"/>
      <c r="K287" s="25"/>
      <c r="L287" s="25"/>
      <c r="M287" s="25"/>
      <c r="N287" s="23"/>
      <c r="O287" s="23"/>
      <c r="P287" s="23"/>
      <c r="Q287" s="23"/>
      <c r="R287" s="23"/>
      <c r="S287" s="23"/>
      <c r="T287" s="23"/>
      <c r="U287" s="23"/>
      <c r="V287" s="23"/>
      <c r="W287" s="23"/>
      <c r="X287" s="23"/>
      <c r="Y287" s="23"/>
      <c r="Z287" s="23"/>
      <c r="AA287" s="23"/>
      <c r="AB287" s="23"/>
      <c r="AC287" s="16"/>
    </row>
    <row r="288" spans="4:29">
      <c r="D288" s="16"/>
      <c r="I288" s="3"/>
      <c r="K288" s="25"/>
      <c r="L288" s="25"/>
      <c r="M288" s="25"/>
      <c r="N288" s="23"/>
      <c r="O288" s="23"/>
      <c r="P288" s="23"/>
      <c r="Q288" s="23"/>
      <c r="R288" s="23"/>
      <c r="S288" s="23"/>
      <c r="T288" s="23"/>
      <c r="U288" s="23"/>
      <c r="V288" s="23"/>
      <c r="W288" s="23"/>
      <c r="X288" s="23"/>
      <c r="Y288" s="23"/>
      <c r="Z288" s="23"/>
      <c r="AA288" s="23"/>
      <c r="AB288" s="23"/>
      <c r="AC288" s="16"/>
    </row>
    <row r="289" spans="4:29">
      <c r="D289" s="16"/>
      <c r="I289" s="3"/>
      <c r="K289" s="25"/>
      <c r="L289" s="25"/>
      <c r="M289" s="25"/>
      <c r="N289" s="23"/>
      <c r="O289" s="23"/>
      <c r="P289" s="23"/>
      <c r="Q289" s="23"/>
      <c r="R289" s="23"/>
      <c r="S289" s="23"/>
      <c r="T289" s="23"/>
      <c r="U289" s="23"/>
      <c r="V289" s="23"/>
      <c r="W289" s="23"/>
      <c r="X289" s="23"/>
      <c r="Y289" s="23"/>
      <c r="Z289" s="23"/>
      <c r="AA289" s="23"/>
      <c r="AB289" s="23"/>
      <c r="AC289" s="16"/>
    </row>
    <row r="290" spans="4:29">
      <c r="D290" s="16"/>
      <c r="I290" s="3"/>
      <c r="K290" s="25"/>
      <c r="L290" s="25"/>
      <c r="M290" s="25"/>
      <c r="N290" s="23"/>
      <c r="O290" s="23"/>
      <c r="P290" s="23"/>
      <c r="Q290" s="23"/>
      <c r="R290" s="23"/>
      <c r="S290" s="23"/>
      <c r="T290" s="23"/>
      <c r="U290" s="23"/>
      <c r="V290" s="23"/>
      <c r="W290" s="23"/>
      <c r="X290" s="23"/>
      <c r="Y290" s="23"/>
      <c r="Z290" s="23"/>
      <c r="AA290" s="23"/>
      <c r="AB290" s="23"/>
      <c r="AC290" s="16"/>
    </row>
    <row r="291" spans="4:29">
      <c r="D291" s="16"/>
      <c r="I291" s="3"/>
      <c r="K291" s="25"/>
      <c r="L291" s="25"/>
      <c r="M291" s="25"/>
      <c r="N291" s="23"/>
      <c r="O291" s="23"/>
      <c r="P291" s="23"/>
      <c r="Q291" s="23"/>
      <c r="R291" s="23"/>
      <c r="S291" s="23"/>
      <c r="T291" s="23"/>
      <c r="U291" s="23"/>
      <c r="V291" s="23"/>
      <c r="W291" s="23"/>
      <c r="X291" s="23"/>
      <c r="Y291" s="23"/>
      <c r="Z291" s="23"/>
      <c r="AA291" s="23"/>
      <c r="AB291" s="23"/>
      <c r="AC291" s="16"/>
    </row>
    <row r="292" spans="4:29">
      <c r="D292" s="16"/>
      <c r="I292" s="3"/>
      <c r="K292" s="25"/>
      <c r="L292" s="25"/>
      <c r="M292" s="25"/>
      <c r="N292" s="23"/>
      <c r="O292" s="23"/>
      <c r="P292" s="23"/>
      <c r="Q292" s="23"/>
      <c r="R292" s="23"/>
      <c r="S292" s="23"/>
      <c r="T292" s="23"/>
      <c r="U292" s="23"/>
      <c r="V292" s="23"/>
      <c r="W292" s="23"/>
      <c r="X292" s="23"/>
      <c r="Y292" s="23"/>
      <c r="Z292" s="23"/>
      <c r="AA292" s="23"/>
      <c r="AB292" s="23"/>
      <c r="AC292" s="16"/>
    </row>
    <row r="293" spans="4:29">
      <c r="D293" s="16"/>
      <c r="I293" s="3"/>
      <c r="K293" s="25"/>
      <c r="L293" s="25"/>
      <c r="M293" s="25"/>
      <c r="N293" s="23"/>
      <c r="O293" s="23"/>
      <c r="P293" s="23"/>
      <c r="Q293" s="23"/>
      <c r="R293" s="23"/>
      <c r="S293" s="23"/>
      <c r="T293" s="23"/>
      <c r="U293" s="23"/>
      <c r="V293" s="23"/>
      <c r="W293" s="23"/>
      <c r="X293" s="23"/>
      <c r="Y293" s="23"/>
      <c r="Z293" s="23"/>
      <c r="AA293" s="23"/>
      <c r="AB293" s="23"/>
      <c r="AC293" s="16"/>
    </row>
    <row r="294" spans="4:29">
      <c r="D294" s="16"/>
      <c r="I294" s="3"/>
      <c r="K294" s="25"/>
      <c r="L294" s="25"/>
      <c r="M294" s="25"/>
      <c r="N294" s="23"/>
      <c r="O294" s="23"/>
      <c r="P294" s="23"/>
      <c r="Q294" s="23"/>
      <c r="R294" s="23"/>
      <c r="S294" s="23"/>
      <c r="T294" s="23"/>
      <c r="U294" s="23"/>
      <c r="V294" s="23"/>
      <c r="W294" s="23"/>
      <c r="X294" s="23"/>
      <c r="Y294" s="23"/>
      <c r="Z294" s="23"/>
      <c r="AA294" s="23"/>
      <c r="AB294" s="23"/>
      <c r="AC294" s="16"/>
    </row>
    <row r="295" spans="4:29">
      <c r="D295" s="16"/>
      <c r="I295" s="3"/>
      <c r="K295" s="25"/>
      <c r="L295" s="25"/>
      <c r="M295" s="25"/>
      <c r="N295" s="23"/>
      <c r="O295" s="23"/>
      <c r="P295" s="23"/>
      <c r="Q295" s="23"/>
      <c r="R295" s="23"/>
      <c r="S295" s="23"/>
      <c r="T295" s="23"/>
      <c r="U295" s="23"/>
      <c r="V295" s="23"/>
      <c r="W295" s="23"/>
      <c r="X295" s="23"/>
      <c r="Y295" s="23"/>
      <c r="Z295" s="23"/>
      <c r="AA295" s="23"/>
      <c r="AB295" s="23"/>
      <c r="AC295" s="16"/>
    </row>
    <row r="296" spans="4:29">
      <c r="D296" s="16"/>
      <c r="I296" s="3"/>
      <c r="K296" s="25"/>
      <c r="L296" s="25"/>
      <c r="M296" s="25"/>
      <c r="N296" s="23"/>
      <c r="O296" s="23"/>
      <c r="P296" s="23"/>
      <c r="Q296" s="23"/>
      <c r="R296" s="23"/>
      <c r="S296" s="23"/>
      <c r="T296" s="23"/>
      <c r="U296" s="23"/>
      <c r="V296" s="23"/>
      <c r="W296" s="23"/>
      <c r="X296" s="23"/>
      <c r="Y296" s="23"/>
      <c r="Z296" s="23"/>
      <c r="AA296" s="23"/>
      <c r="AB296" s="23"/>
      <c r="AC296" s="16"/>
    </row>
    <row r="297" spans="4:29">
      <c r="D297" s="16"/>
      <c r="I297" s="3"/>
      <c r="K297" s="25"/>
      <c r="L297" s="25"/>
      <c r="M297" s="25"/>
      <c r="N297" s="23"/>
      <c r="O297" s="23"/>
      <c r="P297" s="23"/>
      <c r="Q297" s="23"/>
      <c r="R297" s="23"/>
      <c r="S297" s="23"/>
      <c r="T297" s="23"/>
      <c r="U297" s="23"/>
      <c r="V297" s="23"/>
      <c r="W297" s="23"/>
      <c r="X297" s="23"/>
      <c r="Y297" s="23"/>
      <c r="Z297" s="23"/>
      <c r="AA297" s="23"/>
      <c r="AB297" s="23"/>
      <c r="AC297" s="16"/>
    </row>
    <row r="298" spans="4:29">
      <c r="D298" s="16"/>
      <c r="I298" s="3"/>
      <c r="K298" s="25"/>
      <c r="L298" s="25"/>
      <c r="M298" s="25"/>
      <c r="N298" s="23"/>
      <c r="O298" s="23"/>
      <c r="P298" s="23"/>
      <c r="Q298" s="23"/>
      <c r="R298" s="23"/>
      <c r="S298" s="23"/>
      <c r="T298" s="23"/>
      <c r="U298" s="23"/>
      <c r="V298" s="23"/>
      <c r="W298" s="23"/>
      <c r="X298" s="23"/>
      <c r="Y298" s="23"/>
      <c r="Z298" s="23"/>
      <c r="AA298" s="23"/>
      <c r="AB298" s="23"/>
      <c r="AC298" s="16"/>
    </row>
    <row r="299" spans="4:29">
      <c r="D299" s="16"/>
      <c r="I299" s="3"/>
      <c r="K299" s="25"/>
      <c r="L299" s="25"/>
      <c r="M299" s="25"/>
      <c r="N299" s="23"/>
      <c r="O299" s="23"/>
      <c r="P299" s="23"/>
      <c r="Q299" s="23"/>
      <c r="R299" s="23"/>
      <c r="S299" s="23"/>
      <c r="T299" s="23"/>
      <c r="U299" s="23"/>
      <c r="V299" s="23"/>
      <c r="W299" s="23"/>
      <c r="X299" s="23"/>
      <c r="Y299" s="23"/>
      <c r="Z299" s="23"/>
      <c r="AA299" s="23"/>
      <c r="AB299" s="23"/>
      <c r="AC299" s="16"/>
    </row>
    <row r="300" spans="4:29">
      <c r="D300" s="16"/>
      <c r="I300" s="3"/>
      <c r="K300" s="25"/>
      <c r="L300" s="25"/>
      <c r="M300" s="25"/>
      <c r="N300" s="23"/>
      <c r="O300" s="23"/>
      <c r="P300" s="23"/>
      <c r="Q300" s="23"/>
      <c r="R300" s="23"/>
      <c r="S300" s="23"/>
      <c r="T300" s="23"/>
      <c r="U300" s="23"/>
      <c r="V300" s="23"/>
      <c r="W300" s="23"/>
      <c r="X300" s="23"/>
      <c r="Y300" s="23"/>
      <c r="Z300" s="23"/>
      <c r="AA300" s="23"/>
      <c r="AB300" s="23"/>
      <c r="AC300" s="16"/>
    </row>
    <row r="301" spans="4:29">
      <c r="D301" s="16"/>
      <c r="I301" s="3"/>
      <c r="K301" s="25"/>
      <c r="L301" s="25"/>
      <c r="M301" s="25"/>
      <c r="N301" s="23"/>
      <c r="O301" s="23"/>
      <c r="P301" s="23"/>
      <c r="Q301" s="23"/>
      <c r="R301" s="23"/>
      <c r="S301" s="23"/>
      <c r="T301" s="23"/>
      <c r="U301" s="23"/>
      <c r="V301" s="23"/>
      <c r="W301" s="23"/>
      <c r="X301" s="23"/>
      <c r="Y301" s="23"/>
      <c r="Z301" s="23"/>
      <c r="AA301" s="23"/>
      <c r="AB301" s="23"/>
      <c r="AC301" s="16"/>
    </row>
    <row r="302" spans="4:29">
      <c r="D302" s="16"/>
      <c r="I302" s="3"/>
      <c r="K302" s="25"/>
      <c r="L302" s="25"/>
      <c r="M302" s="25"/>
      <c r="N302" s="23"/>
      <c r="O302" s="23"/>
      <c r="P302" s="23"/>
      <c r="Q302" s="23"/>
      <c r="R302" s="23"/>
      <c r="S302" s="23"/>
      <c r="T302" s="23"/>
      <c r="U302" s="23"/>
      <c r="V302" s="23"/>
      <c r="W302" s="23"/>
      <c r="X302" s="23"/>
      <c r="Y302" s="23"/>
      <c r="Z302" s="23"/>
      <c r="AA302" s="23"/>
      <c r="AB302" s="23"/>
      <c r="AC302" s="16"/>
    </row>
    <row r="303" spans="4:29">
      <c r="D303" s="16"/>
      <c r="I303" s="3"/>
      <c r="K303" s="25"/>
      <c r="L303" s="25"/>
      <c r="M303" s="25"/>
      <c r="N303" s="23"/>
      <c r="O303" s="23"/>
      <c r="P303" s="23"/>
      <c r="Q303" s="23"/>
      <c r="R303" s="23"/>
      <c r="S303" s="23"/>
      <c r="T303" s="23"/>
      <c r="U303" s="23"/>
      <c r="V303" s="23"/>
      <c r="W303" s="23"/>
      <c r="X303" s="23"/>
      <c r="Y303" s="23"/>
      <c r="Z303" s="23"/>
      <c r="AA303" s="23"/>
      <c r="AB303" s="23"/>
      <c r="AC303" s="16"/>
    </row>
    <row r="304" spans="4:29">
      <c r="D304" s="16"/>
      <c r="I304" s="3"/>
      <c r="K304" s="25"/>
      <c r="L304" s="25"/>
      <c r="M304" s="25"/>
      <c r="N304" s="23"/>
      <c r="O304" s="23"/>
      <c r="P304" s="23"/>
      <c r="Q304" s="23"/>
      <c r="R304" s="23"/>
      <c r="S304" s="23"/>
      <c r="T304" s="23"/>
      <c r="U304" s="23"/>
      <c r="V304" s="23"/>
      <c r="W304" s="23"/>
      <c r="X304" s="23"/>
      <c r="Y304" s="23"/>
      <c r="Z304" s="23"/>
      <c r="AA304" s="23"/>
      <c r="AB304" s="23"/>
      <c r="AC304" s="16"/>
    </row>
    <row r="305" spans="4:29">
      <c r="D305" s="16"/>
      <c r="I305" s="3"/>
      <c r="K305" s="25"/>
      <c r="L305" s="25"/>
      <c r="M305" s="25"/>
      <c r="N305" s="23"/>
      <c r="O305" s="23"/>
      <c r="P305" s="23"/>
      <c r="Q305" s="23"/>
      <c r="R305" s="23"/>
      <c r="S305" s="23"/>
      <c r="T305" s="23"/>
      <c r="U305" s="23"/>
      <c r="V305" s="23"/>
      <c r="W305" s="23"/>
      <c r="X305" s="23"/>
      <c r="Y305" s="23"/>
      <c r="Z305" s="23"/>
      <c r="AA305" s="23"/>
      <c r="AB305" s="23"/>
      <c r="AC305" s="16"/>
    </row>
    <row r="306" spans="4:29">
      <c r="D306" s="16"/>
      <c r="I306" s="3"/>
      <c r="K306" s="25"/>
      <c r="L306" s="25"/>
      <c r="M306" s="25"/>
      <c r="N306" s="23"/>
      <c r="O306" s="23"/>
      <c r="P306" s="23"/>
      <c r="Q306" s="23"/>
      <c r="R306" s="23"/>
      <c r="S306" s="23"/>
      <c r="T306" s="23"/>
      <c r="U306" s="23"/>
      <c r="V306" s="23"/>
      <c r="W306" s="23"/>
      <c r="X306" s="23"/>
      <c r="Y306" s="23"/>
      <c r="Z306" s="23"/>
      <c r="AA306" s="23"/>
      <c r="AB306" s="23"/>
      <c r="AC306" s="16"/>
    </row>
    <row r="307" spans="4:29">
      <c r="D307" s="16"/>
      <c r="I307" s="3"/>
      <c r="K307" s="25"/>
      <c r="L307" s="25"/>
      <c r="M307" s="25"/>
      <c r="N307" s="23"/>
      <c r="O307" s="23"/>
      <c r="P307" s="23"/>
      <c r="Q307" s="23"/>
      <c r="R307" s="23"/>
      <c r="S307" s="23"/>
      <c r="T307" s="23"/>
      <c r="U307" s="23"/>
      <c r="V307" s="23"/>
      <c r="W307" s="23"/>
      <c r="X307" s="23"/>
      <c r="Y307" s="23"/>
      <c r="Z307" s="23"/>
      <c r="AA307" s="23"/>
      <c r="AB307" s="23"/>
      <c r="AC307" s="16"/>
    </row>
    <row r="308" spans="4:29">
      <c r="D308" s="16"/>
      <c r="I308" s="3"/>
      <c r="K308" s="25"/>
      <c r="L308" s="25"/>
      <c r="M308" s="25"/>
      <c r="N308" s="23"/>
      <c r="O308" s="23"/>
      <c r="P308" s="23"/>
      <c r="Q308" s="23"/>
      <c r="R308" s="23"/>
      <c r="S308" s="23"/>
      <c r="T308" s="23"/>
      <c r="U308" s="23"/>
      <c r="V308" s="23"/>
      <c r="W308" s="23"/>
      <c r="X308" s="23"/>
      <c r="Y308" s="23"/>
      <c r="Z308" s="23"/>
      <c r="AA308" s="23"/>
      <c r="AB308" s="23"/>
      <c r="AC308" s="16"/>
    </row>
    <row r="309" spans="4:29">
      <c r="D309" s="16"/>
      <c r="I309" s="3"/>
      <c r="K309" s="25"/>
      <c r="L309" s="25"/>
      <c r="M309" s="25"/>
      <c r="N309" s="23"/>
      <c r="O309" s="23"/>
      <c r="P309" s="23"/>
      <c r="Q309" s="23"/>
      <c r="R309" s="23"/>
      <c r="S309" s="23"/>
      <c r="T309" s="23"/>
      <c r="U309" s="23"/>
      <c r="V309" s="23"/>
      <c r="W309" s="23"/>
      <c r="X309" s="23"/>
      <c r="Y309" s="23"/>
      <c r="Z309" s="23"/>
      <c r="AA309" s="23"/>
      <c r="AB309" s="23"/>
      <c r="AC309" s="16"/>
    </row>
    <row r="310" spans="4:29">
      <c r="D310" s="16"/>
      <c r="I310" s="3"/>
      <c r="K310" s="25"/>
      <c r="L310" s="25"/>
      <c r="M310" s="25"/>
      <c r="N310" s="23"/>
      <c r="O310" s="23"/>
      <c r="P310" s="23"/>
      <c r="Q310" s="23"/>
      <c r="R310" s="23"/>
      <c r="S310" s="23"/>
      <c r="T310" s="23"/>
      <c r="U310" s="23"/>
      <c r="V310" s="23"/>
      <c r="W310" s="23"/>
      <c r="X310" s="23"/>
      <c r="Y310" s="23"/>
      <c r="Z310" s="23"/>
      <c r="AA310" s="23"/>
      <c r="AB310" s="23"/>
      <c r="AC310" s="16"/>
    </row>
    <row r="311" spans="4:29">
      <c r="D311" s="16"/>
      <c r="I311" s="3"/>
      <c r="K311" s="25"/>
      <c r="L311" s="25"/>
      <c r="M311" s="25"/>
      <c r="N311" s="23"/>
      <c r="O311" s="23"/>
      <c r="P311" s="23"/>
      <c r="Q311" s="23"/>
      <c r="R311" s="23"/>
      <c r="S311" s="23"/>
      <c r="T311" s="23"/>
      <c r="U311" s="23"/>
      <c r="V311" s="23"/>
      <c r="W311" s="23"/>
      <c r="X311" s="23"/>
      <c r="Y311" s="23"/>
      <c r="Z311" s="23"/>
      <c r="AA311" s="23"/>
      <c r="AB311" s="23"/>
      <c r="AC311" s="16"/>
    </row>
    <row r="312" spans="4:29">
      <c r="D312" s="16"/>
      <c r="I312" s="3"/>
      <c r="K312" s="25"/>
      <c r="L312" s="25"/>
      <c r="M312" s="25"/>
      <c r="N312" s="23"/>
      <c r="O312" s="23"/>
      <c r="P312" s="23"/>
      <c r="Q312" s="23"/>
      <c r="R312" s="23"/>
      <c r="S312" s="23"/>
      <c r="T312" s="23"/>
      <c r="U312" s="23"/>
      <c r="V312" s="23"/>
      <c r="W312" s="23"/>
      <c r="X312" s="23"/>
      <c r="Y312" s="23"/>
      <c r="Z312" s="23"/>
      <c r="AA312" s="23"/>
      <c r="AB312" s="23"/>
      <c r="AC312" s="16"/>
    </row>
    <row r="313" spans="4:29">
      <c r="D313" s="16"/>
      <c r="I313" s="3"/>
      <c r="K313" s="25"/>
      <c r="L313" s="25"/>
      <c r="M313" s="25"/>
      <c r="N313" s="23"/>
      <c r="O313" s="23"/>
      <c r="P313" s="23"/>
      <c r="Q313" s="23"/>
      <c r="R313" s="23"/>
      <c r="S313" s="23"/>
      <c r="T313" s="23"/>
      <c r="U313" s="23"/>
      <c r="V313" s="23"/>
      <c r="W313" s="23"/>
      <c r="X313" s="23"/>
      <c r="Y313" s="23"/>
      <c r="Z313" s="23"/>
      <c r="AA313" s="23"/>
      <c r="AB313" s="23"/>
      <c r="AC313" s="16"/>
    </row>
    <row r="314" spans="4:29">
      <c r="D314" s="16"/>
      <c r="I314" s="3"/>
      <c r="K314" s="25"/>
      <c r="L314" s="25"/>
      <c r="M314" s="25"/>
      <c r="N314" s="23"/>
      <c r="O314" s="23"/>
      <c r="P314" s="23"/>
      <c r="Q314" s="23"/>
      <c r="R314" s="23"/>
      <c r="S314" s="23"/>
      <c r="T314" s="23"/>
      <c r="U314" s="23"/>
      <c r="V314" s="23"/>
      <c r="W314" s="23"/>
      <c r="X314" s="23"/>
      <c r="Y314" s="23"/>
      <c r="Z314" s="23"/>
      <c r="AA314" s="23"/>
      <c r="AB314" s="23"/>
      <c r="AC314" s="16"/>
    </row>
    <row r="315" spans="4:29">
      <c r="D315" s="16"/>
      <c r="I315" s="3"/>
      <c r="K315" s="25"/>
      <c r="L315" s="25"/>
      <c r="M315" s="25"/>
      <c r="N315" s="23"/>
      <c r="O315" s="23"/>
      <c r="P315" s="23"/>
      <c r="Q315" s="23"/>
      <c r="R315" s="23"/>
      <c r="S315" s="23"/>
      <c r="T315" s="23"/>
      <c r="U315" s="23"/>
      <c r="V315" s="23"/>
      <c r="W315" s="23"/>
      <c r="X315" s="23"/>
      <c r="Y315" s="23"/>
      <c r="Z315" s="23"/>
      <c r="AA315" s="23"/>
      <c r="AB315" s="23"/>
      <c r="AC315" s="16"/>
    </row>
    <row r="316" spans="4:29">
      <c r="D316" s="16"/>
      <c r="I316" s="3"/>
      <c r="K316" s="25"/>
      <c r="L316" s="25"/>
      <c r="M316" s="25"/>
      <c r="N316" s="23"/>
      <c r="O316" s="23"/>
      <c r="P316" s="23"/>
      <c r="Q316" s="23"/>
      <c r="R316" s="23"/>
      <c r="S316" s="23"/>
      <c r="T316" s="23"/>
      <c r="U316" s="23"/>
      <c r="V316" s="23"/>
      <c r="W316" s="23"/>
      <c r="X316" s="23"/>
      <c r="Y316" s="23"/>
      <c r="Z316" s="23"/>
      <c r="AA316" s="23"/>
      <c r="AB316" s="23"/>
      <c r="AC316" s="16"/>
    </row>
    <row r="317" spans="4:29">
      <c r="D317" s="16"/>
      <c r="I317" s="3"/>
      <c r="K317" s="25"/>
      <c r="L317" s="25"/>
      <c r="M317" s="25"/>
      <c r="N317" s="23"/>
      <c r="O317" s="23"/>
      <c r="P317" s="23"/>
      <c r="Q317" s="23"/>
      <c r="R317" s="23"/>
      <c r="S317" s="23"/>
      <c r="T317" s="23"/>
      <c r="U317" s="23"/>
      <c r="V317" s="23"/>
      <c r="W317" s="23"/>
      <c r="X317" s="23"/>
      <c r="Y317" s="23"/>
      <c r="Z317" s="23"/>
      <c r="AA317" s="23"/>
      <c r="AB317" s="23"/>
      <c r="AC317" s="16"/>
    </row>
    <row r="318" spans="4:29">
      <c r="D318" s="16"/>
      <c r="I318" s="3"/>
      <c r="K318" s="25"/>
      <c r="L318" s="25"/>
      <c r="M318" s="25"/>
      <c r="N318" s="23"/>
      <c r="O318" s="23"/>
      <c r="P318" s="23"/>
      <c r="Q318" s="23"/>
      <c r="R318" s="23"/>
      <c r="S318" s="23"/>
      <c r="T318" s="23"/>
      <c r="U318" s="23"/>
      <c r="V318" s="23"/>
      <c r="W318" s="23"/>
      <c r="X318" s="23"/>
      <c r="Y318" s="23"/>
      <c r="Z318" s="23"/>
      <c r="AA318" s="23"/>
      <c r="AB318" s="23"/>
      <c r="AC318" s="16"/>
    </row>
    <row r="319" spans="4:29">
      <c r="D319" s="16"/>
      <c r="I319" s="3"/>
      <c r="K319" s="25"/>
      <c r="L319" s="25"/>
      <c r="M319" s="25"/>
      <c r="N319" s="23"/>
      <c r="O319" s="23"/>
      <c r="P319" s="23"/>
      <c r="Q319" s="23"/>
      <c r="R319" s="23"/>
      <c r="S319" s="23"/>
      <c r="T319" s="23"/>
      <c r="U319" s="23"/>
      <c r="V319" s="23"/>
      <c r="W319" s="23"/>
      <c r="X319" s="23"/>
      <c r="Y319" s="23"/>
      <c r="Z319" s="23"/>
      <c r="AA319" s="23"/>
      <c r="AB319" s="23"/>
      <c r="AC319" s="16"/>
    </row>
    <row r="320" spans="4:29">
      <c r="D320" s="16"/>
      <c r="I320" s="3"/>
      <c r="K320" s="25"/>
      <c r="L320" s="25"/>
      <c r="M320" s="25"/>
      <c r="N320" s="23"/>
      <c r="O320" s="23"/>
      <c r="P320" s="23"/>
      <c r="Q320" s="23"/>
      <c r="R320" s="23"/>
      <c r="S320" s="23"/>
      <c r="T320" s="23"/>
      <c r="U320" s="23"/>
      <c r="V320" s="23"/>
      <c r="W320" s="23"/>
      <c r="X320" s="23"/>
      <c r="Y320" s="23"/>
      <c r="Z320" s="23"/>
      <c r="AA320" s="23"/>
      <c r="AB320" s="23"/>
      <c r="AC320" s="16"/>
    </row>
    <row r="321" spans="4:29">
      <c r="D321" s="16"/>
      <c r="I321" s="3"/>
      <c r="K321" s="25"/>
      <c r="L321" s="25"/>
      <c r="M321" s="25"/>
      <c r="N321" s="23"/>
      <c r="O321" s="23"/>
      <c r="P321" s="23"/>
      <c r="Q321" s="23"/>
      <c r="R321" s="23"/>
      <c r="S321" s="23"/>
      <c r="T321" s="23"/>
      <c r="U321" s="23"/>
      <c r="V321" s="23"/>
      <c r="W321" s="23"/>
      <c r="X321" s="23"/>
      <c r="Y321" s="23"/>
      <c r="Z321" s="23"/>
      <c r="AA321" s="23"/>
      <c r="AB321" s="23"/>
      <c r="AC321" s="16"/>
    </row>
    <row r="322" spans="4:29">
      <c r="D322" s="16"/>
      <c r="I322" s="3"/>
      <c r="K322" s="25"/>
      <c r="L322" s="25"/>
      <c r="M322" s="25"/>
      <c r="N322" s="23"/>
      <c r="O322" s="23"/>
      <c r="P322" s="23"/>
      <c r="Q322" s="23"/>
      <c r="R322" s="23"/>
      <c r="S322" s="23"/>
      <c r="T322" s="23"/>
      <c r="U322" s="23"/>
      <c r="V322" s="23"/>
      <c r="W322" s="23"/>
      <c r="X322" s="23"/>
      <c r="Y322" s="23"/>
      <c r="Z322" s="23"/>
      <c r="AA322" s="23"/>
      <c r="AB322" s="23"/>
      <c r="AC322" s="16"/>
    </row>
    <row r="323" spans="4:29">
      <c r="D323" s="16"/>
      <c r="I323" s="3"/>
      <c r="K323" s="25"/>
      <c r="L323" s="25"/>
      <c r="M323" s="25"/>
      <c r="N323" s="23"/>
      <c r="O323" s="23"/>
      <c r="P323" s="23"/>
      <c r="Q323" s="23"/>
      <c r="R323" s="23"/>
      <c r="S323" s="23"/>
      <c r="T323" s="23"/>
      <c r="U323" s="23"/>
      <c r="V323" s="23"/>
      <c r="W323" s="23"/>
      <c r="X323" s="23"/>
      <c r="Y323" s="23"/>
      <c r="Z323" s="23"/>
      <c r="AA323" s="23"/>
      <c r="AB323" s="23"/>
      <c r="AC323" s="16"/>
    </row>
    <row r="324" spans="4:29">
      <c r="D324" s="16"/>
      <c r="I324" s="3"/>
      <c r="K324" s="25"/>
      <c r="L324" s="25"/>
      <c r="M324" s="25"/>
      <c r="N324" s="23"/>
      <c r="O324" s="23"/>
      <c r="P324" s="23"/>
      <c r="Q324" s="23"/>
      <c r="R324" s="23"/>
      <c r="S324" s="23"/>
      <c r="T324" s="23"/>
      <c r="U324" s="23"/>
      <c r="V324" s="23"/>
      <c r="W324" s="23"/>
      <c r="X324" s="23"/>
      <c r="Y324" s="23"/>
      <c r="Z324" s="23"/>
      <c r="AA324" s="23"/>
      <c r="AB324" s="23"/>
      <c r="AC324" s="16"/>
    </row>
    <row r="325" spans="4:29">
      <c r="D325" s="16"/>
      <c r="I325" s="3"/>
      <c r="K325" s="25"/>
      <c r="L325" s="25"/>
      <c r="M325" s="25"/>
      <c r="N325" s="23"/>
      <c r="O325" s="23"/>
      <c r="P325" s="23"/>
      <c r="Q325" s="23"/>
      <c r="R325" s="23"/>
      <c r="S325" s="23"/>
      <c r="T325" s="23"/>
      <c r="U325" s="23"/>
      <c r="V325" s="23"/>
      <c r="W325" s="23"/>
      <c r="X325" s="23"/>
      <c r="Y325" s="23"/>
      <c r="Z325" s="23"/>
      <c r="AA325" s="23"/>
      <c r="AB325" s="23"/>
      <c r="AC325" s="16"/>
    </row>
    <row r="326" spans="4:29">
      <c r="D326" s="16"/>
      <c r="I326" s="3"/>
      <c r="K326" s="25"/>
      <c r="L326" s="25"/>
      <c r="M326" s="25"/>
      <c r="N326" s="23"/>
      <c r="O326" s="23"/>
      <c r="P326" s="23"/>
      <c r="Q326" s="23"/>
      <c r="R326" s="23"/>
      <c r="S326" s="23"/>
      <c r="T326" s="23"/>
      <c r="U326" s="23"/>
      <c r="V326" s="23"/>
      <c r="W326" s="23"/>
      <c r="X326" s="23"/>
      <c r="Y326" s="23"/>
      <c r="Z326" s="23"/>
      <c r="AA326" s="23"/>
      <c r="AB326" s="23"/>
      <c r="AC326" s="16"/>
    </row>
    <row r="327" spans="4:29">
      <c r="D327" s="16"/>
      <c r="I327" s="3"/>
      <c r="K327" s="25"/>
      <c r="L327" s="25"/>
      <c r="M327" s="25"/>
      <c r="N327" s="23"/>
      <c r="O327" s="23"/>
      <c r="P327" s="23"/>
      <c r="Q327" s="23"/>
      <c r="R327" s="23"/>
      <c r="S327" s="23"/>
      <c r="T327" s="23"/>
      <c r="U327" s="23"/>
      <c r="V327" s="23"/>
      <c r="W327" s="23"/>
      <c r="X327" s="23"/>
      <c r="Y327" s="23"/>
      <c r="Z327" s="23"/>
      <c r="AA327" s="23"/>
      <c r="AB327" s="23"/>
      <c r="AC327" s="16"/>
    </row>
    <row r="328" spans="4:29">
      <c r="D328" s="16"/>
      <c r="I328" s="3"/>
      <c r="K328" s="25"/>
      <c r="L328" s="25"/>
      <c r="M328" s="25"/>
      <c r="N328" s="23"/>
      <c r="O328" s="23"/>
      <c r="P328" s="23"/>
      <c r="Q328" s="23"/>
      <c r="R328" s="23"/>
      <c r="S328" s="23"/>
      <c r="T328" s="23"/>
      <c r="U328" s="23"/>
      <c r="V328" s="23"/>
      <c r="W328" s="23"/>
      <c r="X328" s="23"/>
      <c r="Y328" s="23"/>
      <c r="Z328" s="23"/>
      <c r="AA328" s="23"/>
      <c r="AB328" s="23"/>
      <c r="AC328" s="16"/>
    </row>
    <row r="329" spans="4:29">
      <c r="D329" s="16"/>
      <c r="I329" s="3"/>
      <c r="K329" s="25"/>
      <c r="L329" s="25"/>
      <c r="M329" s="25"/>
      <c r="N329" s="23"/>
      <c r="O329" s="23"/>
      <c r="P329" s="23"/>
      <c r="Q329" s="23"/>
      <c r="R329" s="23"/>
      <c r="S329" s="23"/>
      <c r="T329" s="23"/>
      <c r="U329" s="23"/>
      <c r="V329" s="23"/>
      <c r="W329" s="23"/>
      <c r="X329" s="23"/>
      <c r="Y329" s="23"/>
      <c r="Z329" s="23"/>
      <c r="AA329" s="23"/>
      <c r="AB329" s="23"/>
      <c r="AC329" s="16"/>
    </row>
    <row r="330" spans="4:29">
      <c r="D330" s="16"/>
      <c r="I330" s="3"/>
      <c r="K330" s="25"/>
      <c r="L330" s="25"/>
      <c r="M330" s="25"/>
      <c r="N330" s="23"/>
      <c r="O330" s="23"/>
      <c r="P330" s="23"/>
      <c r="Q330" s="23"/>
      <c r="R330" s="23"/>
      <c r="S330" s="23"/>
      <c r="T330" s="23"/>
      <c r="U330" s="23"/>
      <c r="V330" s="23"/>
      <c r="W330" s="23"/>
      <c r="X330" s="23"/>
      <c r="Y330" s="23"/>
      <c r="Z330" s="23"/>
      <c r="AA330" s="23"/>
      <c r="AB330" s="23"/>
      <c r="AC330" s="16"/>
    </row>
    <row r="331" spans="4:29">
      <c r="D331" s="16"/>
      <c r="I331" s="3"/>
      <c r="K331" s="25"/>
      <c r="L331" s="25"/>
      <c r="M331" s="25"/>
      <c r="N331" s="23"/>
      <c r="O331" s="23"/>
      <c r="P331" s="23"/>
      <c r="Q331" s="23"/>
      <c r="R331" s="23"/>
      <c r="S331" s="23"/>
      <c r="T331" s="23"/>
      <c r="U331" s="23"/>
      <c r="V331" s="23"/>
      <c r="W331" s="23"/>
      <c r="X331" s="23"/>
      <c r="Y331" s="23"/>
      <c r="Z331" s="23"/>
      <c r="AA331" s="23"/>
      <c r="AB331" s="23"/>
      <c r="AC331" s="16"/>
    </row>
    <row r="332" spans="4:29">
      <c r="D332" s="16"/>
      <c r="I332" s="3"/>
      <c r="K332" s="25"/>
      <c r="L332" s="25"/>
      <c r="M332" s="25"/>
      <c r="N332" s="23"/>
      <c r="O332" s="23"/>
      <c r="P332" s="23"/>
      <c r="Q332" s="23"/>
      <c r="R332" s="23"/>
      <c r="S332" s="23"/>
      <c r="T332" s="23"/>
      <c r="U332" s="23"/>
      <c r="V332" s="23"/>
      <c r="W332" s="23"/>
      <c r="X332" s="23"/>
      <c r="Y332" s="23"/>
      <c r="Z332" s="23"/>
      <c r="AA332" s="23"/>
      <c r="AB332" s="23"/>
      <c r="AC332" s="16"/>
    </row>
    <row r="333" spans="4:29">
      <c r="D333" s="16"/>
      <c r="I333" s="3"/>
      <c r="K333" s="25"/>
      <c r="L333" s="25"/>
      <c r="M333" s="25"/>
      <c r="N333" s="23"/>
      <c r="O333" s="23"/>
      <c r="P333" s="23"/>
      <c r="Q333" s="23"/>
      <c r="R333" s="23"/>
      <c r="S333" s="23"/>
      <c r="T333" s="23"/>
      <c r="U333" s="23"/>
      <c r="V333" s="23"/>
      <c r="W333" s="23"/>
      <c r="X333" s="23"/>
      <c r="Y333" s="23"/>
      <c r="Z333" s="23"/>
      <c r="AA333" s="23"/>
      <c r="AB333" s="23"/>
      <c r="AC333" s="16"/>
    </row>
    <row r="334" spans="4:29">
      <c r="D334" s="16"/>
      <c r="I334" s="3"/>
      <c r="K334" s="25"/>
      <c r="L334" s="25"/>
      <c r="M334" s="25"/>
      <c r="N334" s="23"/>
      <c r="O334" s="23"/>
      <c r="P334" s="23"/>
      <c r="Q334" s="23"/>
      <c r="R334" s="23"/>
      <c r="S334" s="23"/>
      <c r="T334" s="23"/>
      <c r="U334" s="23"/>
      <c r="V334" s="23"/>
      <c r="W334" s="23"/>
      <c r="X334" s="23"/>
      <c r="Y334" s="23"/>
      <c r="Z334" s="23"/>
      <c r="AA334" s="23"/>
      <c r="AB334" s="23"/>
      <c r="AC334" s="16"/>
    </row>
    <row r="335" spans="4:29">
      <c r="D335" s="16"/>
      <c r="I335" s="3"/>
      <c r="K335" s="25"/>
      <c r="L335" s="25"/>
      <c r="M335" s="25"/>
      <c r="N335" s="23"/>
      <c r="O335" s="23"/>
      <c r="P335" s="23"/>
      <c r="Q335" s="23"/>
      <c r="R335" s="23"/>
      <c r="S335" s="23"/>
      <c r="T335" s="23"/>
      <c r="U335" s="23"/>
      <c r="V335" s="23"/>
      <c r="W335" s="23"/>
      <c r="X335" s="23"/>
      <c r="Y335" s="23"/>
      <c r="Z335" s="23"/>
      <c r="AA335" s="23"/>
      <c r="AB335" s="23"/>
      <c r="AC335" s="16"/>
    </row>
    <row r="336" spans="4:29">
      <c r="D336" s="16"/>
      <c r="I336" s="3"/>
      <c r="K336" s="25"/>
      <c r="L336" s="25"/>
      <c r="M336" s="25"/>
      <c r="N336" s="23"/>
      <c r="O336" s="23"/>
      <c r="P336" s="23"/>
      <c r="Q336" s="23"/>
      <c r="R336" s="23"/>
      <c r="S336" s="23"/>
      <c r="T336" s="23"/>
      <c r="U336" s="23"/>
      <c r="V336" s="23"/>
      <c r="W336" s="23"/>
      <c r="X336" s="23"/>
      <c r="Y336" s="23"/>
      <c r="Z336" s="23"/>
      <c r="AA336" s="23"/>
      <c r="AB336" s="23"/>
      <c r="AC336" s="16"/>
    </row>
    <row r="337" spans="4:29">
      <c r="D337" s="16"/>
      <c r="I337" s="3"/>
      <c r="K337" s="25"/>
      <c r="L337" s="25"/>
      <c r="M337" s="25"/>
      <c r="N337" s="23"/>
      <c r="O337" s="23"/>
      <c r="P337" s="23"/>
      <c r="Q337" s="23"/>
      <c r="R337" s="23"/>
      <c r="S337" s="23"/>
      <c r="T337" s="23"/>
      <c r="U337" s="23"/>
      <c r="V337" s="23"/>
      <c r="W337" s="23"/>
      <c r="X337" s="23"/>
      <c r="Y337" s="23"/>
      <c r="Z337" s="23"/>
      <c r="AA337" s="23"/>
      <c r="AB337" s="23"/>
      <c r="AC337" s="16"/>
    </row>
    <row r="338" spans="4:29">
      <c r="D338" s="16"/>
      <c r="I338" s="3"/>
      <c r="K338" s="25"/>
      <c r="L338" s="25"/>
      <c r="M338" s="25"/>
      <c r="N338" s="23"/>
      <c r="O338" s="23"/>
      <c r="P338" s="23"/>
      <c r="Q338" s="23"/>
      <c r="R338" s="23"/>
      <c r="S338" s="23"/>
      <c r="T338" s="23"/>
      <c r="U338" s="23"/>
      <c r="V338" s="23"/>
      <c r="W338" s="23"/>
      <c r="X338" s="23"/>
      <c r="Y338" s="23"/>
      <c r="Z338" s="23"/>
      <c r="AA338" s="23"/>
      <c r="AB338" s="23"/>
      <c r="AC338" s="16"/>
    </row>
    <row r="339" spans="4:29">
      <c r="D339" s="16"/>
      <c r="I339" s="3"/>
      <c r="K339" s="25"/>
      <c r="L339" s="25"/>
      <c r="M339" s="25"/>
      <c r="N339" s="23"/>
      <c r="O339" s="23"/>
      <c r="P339" s="23"/>
      <c r="Q339" s="23"/>
      <c r="R339" s="23"/>
      <c r="S339" s="23"/>
      <c r="T339" s="23"/>
      <c r="U339" s="23"/>
      <c r="V339" s="23"/>
      <c r="W339" s="23"/>
      <c r="X339" s="23"/>
      <c r="Y339" s="23"/>
      <c r="Z339" s="23"/>
      <c r="AA339" s="23"/>
      <c r="AB339" s="23"/>
      <c r="AC339" s="16"/>
    </row>
    <row r="340" spans="4:29">
      <c r="D340" s="16"/>
      <c r="I340" s="3"/>
      <c r="K340" s="25"/>
      <c r="L340" s="25"/>
      <c r="M340" s="25"/>
      <c r="N340" s="23"/>
      <c r="O340" s="23"/>
      <c r="P340" s="23"/>
      <c r="Q340" s="23"/>
      <c r="R340" s="23"/>
      <c r="S340" s="23"/>
      <c r="T340" s="23"/>
      <c r="U340" s="23"/>
      <c r="V340" s="23"/>
      <c r="W340" s="23"/>
      <c r="X340" s="23"/>
      <c r="Y340" s="23"/>
      <c r="Z340" s="23"/>
      <c r="AA340" s="23"/>
      <c r="AB340" s="23"/>
      <c r="AC340" s="16"/>
    </row>
    <row r="341" spans="4:29">
      <c r="D341" s="16"/>
      <c r="I341" s="3"/>
      <c r="K341" s="25"/>
      <c r="L341" s="25"/>
      <c r="M341" s="25"/>
      <c r="N341" s="23"/>
      <c r="O341" s="23"/>
      <c r="P341" s="23"/>
      <c r="Q341" s="23"/>
      <c r="R341" s="23"/>
      <c r="S341" s="23"/>
      <c r="T341" s="23"/>
      <c r="U341" s="23"/>
      <c r="V341" s="23"/>
      <c r="W341" s="23"/>
      <c r="X341" s="23"/>
      <c r="Y341" s="23"/>
      <c r="Z341" s="23"/>
      <c r="AA341" s="23"/>
      <c r="AB341" s="23"/>
      <c r="AC341" s="16"/>
    </row>
    <row r="342" spans="4:29">
      <c r="D342" s="16"/>
      <c r="I342" s="3"/>
      <c r="K342" s="25"/>
      <c r="L342" s="25"/>
      <c r="M342" s="25"/>
      <c r="N342" s="23"/>
      <c r="O342" s="23"/>
      <c r="P342" s="23"/>
      <c r="Q342" s="23"/>
      <c r="R342" s="23"/>
      <c r="S342" s="23"/>
      <c r="T342" s="23"/>
      <c r="U342" s="23"/>
      <c r="V342" s="23"/>
      <c r="W342" s="23"/>
      <c r="X342" s="23"/>
      <c r="Y342" s="23"/>
      <c r="Z342" s="23"/>
      <c r="AA342" s="23"/>
      <c r="AB342" s="23"/>
      <c r="AC342" s="16"/>
    </row>
    <row r="343" spans="4:29">
      <c r="D343" s="16"/>
      <c r="I343" s="3"/>
      <c r="K343" s="25"/>
      <c r="L343" s="25"/>
      <c r="M343" s="25"/>
      <c r="N343" s="23"/>
      <c r="O343" s="23"/>
      <c r="P343" s="23"/>
      <c r="Q343" s="23"/>
      <c r="R343" s="23"/>
      <c r="S343" s="23"/>
      <c r="T343" s="23"/>
      <c r="U343" s="23"/>
      <c r="V343" s="23"/>
      <c r="W343" s="23"/>
      <c r="X343" s="23"/>
      <c r="Y343" s="23"/>
      <c r="Z343" s="23"/>
      <c r="AA343" s="23"/>
      <c r="AB343" s="23"/>
      <c r="AC343" s="16"/>
    </row>
    <row r="344" spans="4:29">
      <c r="D344" s="16"/>
      <c r="I344" s="3"/>
      <c r="K344" s="25"/>
      <c r="L344" s="25"/>
      <c r="M344" s="25"/>
      <c r="N344" s="23"/>
      <c r="O344" s="23"/>
      <c r="P344" s="23"/>
      <c r="Q344" s="23"/>
      <c r="R344" s="23"/>
      <c r="S344" s="23"/>
      <c r="T344" s="23"/>
      <c r="U344" s="23"/>
      <c r="V344" s="23"/>
      <c r="W344" s="23"/>
      <c r="X344" s="23"/>
      <c r="Y344" s="23"/>
      <c r="Z344" s="23"/>
      <c r="AA344" s="23"/>
      <c r="AB344" s="23"/>
      <c r="AC344" s="16"/>
    </row>
    <row r="345" spans="4:29">
      <c r="D345" s="16"/>
      <c r="I345" s="3"/>
      <c r="K345" s="25"/>
      <c r="L345" s="25"/>
      <c r="M345" s="25"/>
      <c r="N345" s="23"/>
      <c r="O345" s="23"/>
      <c r="P345" s="23"/>
      <c r="Q345" s="23"/>
      <c r="R345" s="23"/>
      <c r="S345" s="23"/>
      <c r="T345" s="23"/>
      <c r="U345" s="23"/>
      <c r="V345" s="23"/>
      <c r="W345" s="23"/>
      <c r="X345" s="23"/>
      <c r="Y345" s="23"/>
      <c r="Z345" s="23"/>
      <c r="AA345" s="23"/>
      <c r="AB345" s="23"/>
      <c r="AC345" s="16"/>
    </row>
    <row r="346" spans="4:29">
      <c r="D346" s="16"/>
      <c r="I346" s="3"/>
      <c r="K346" s="25"/>
      <c r="L346" s="25"/>
      <c r="M346" s="25"/>
      <c r="N346" s="23"/>
      <c r="O346" s="23"/>
      <c r="P346" s="23"/>
      <c r="Q346" s="23"/>
      <c r="R346" s="23"/>
      <c r="S346" s="23"/>
      <c r="T346" s="23"/>
      <c r="U346" s="23"/>
      <c r="V346" s="23"/>
      <c r="W346" s="23"/>
      <c r="X346" s="23"/>
      <c r="Y346" s="23"/>
      <c r="Z346" s="23"/>
      <c r="AA346" s="23"/>
      <c r="AB346" s="23"/>
      <c r="AC346" s="16"/>
    </row>
    <row r="347" spans="4:29">
      <c r="D347" s="16"/>
      <c r="I347" s="3"/>
      <c r="K347" s="25"/>
      <c r="L347" s="25"/>
      <c r="M347" s="25"/>
      <c r="N347" s="23"/>
      <c r="O347" s="23"/>
      <c r="P347" s="23"/>
      <c r="Q347" s="23"/>
      <c r="R347" s="23"/>
      <c r="S347" s="23"/>
      <c r="T347" s="23"/>
      <c r="U347" s="23"/>
      <c r="V347" s="23"/>
      <c r="W347" s="23"/>
      <c r="X347" s="23"/>
      <c r="Y347" s="23"/>
      <c r="Z347" s="23"/>
      <c r="AA347" s="23"/>
      <c r="AB347" s="23"/>
      <c r="AC347" s="16"/>
    </row>
    <row r="348" spans="4:29">
      <c r="D348" s="16"/>
      <c r="I348" s="3"/>
      <c r="K348" s="25"/>
      <c r="L348" s="25"/>
      <c r="M348" s="25"/>
      <c r="N348" s="23"/>
      <c r="O348" s="23"/>
      <c r="P348" s="23"/>
      <c r="Q348" s="23"/>
      <c r="R348" s="23"/>
      <c r="S348" s="23"/>
      <c r="T348" s="23"/>
      <c r="U348" s="23"/>
      <c r="V348" s="23"/>
      <c r="W348" s="23"/>
      <c r="X348" s="23"/>
      <c r="Y348" s="23"/>
      <c r="Z348" s="23"/>
      <c r="AA348" s="23"/>
      <c r="AB348" s="23"/>
      <c r="AC348" s="16"/>
    </row>
    <row r="349" spans="4:29">
      <c r="D349" s="16"/>
      <c r="I349" s="3"/>
      <c r="K349" s="25"/>
      <c r="L349" s="25"/>
      <c r="M349" s="25"/>
      <c r="N349" s="23"/>
      <c r="O349" s="23"/>
      <c r="P349" s="23"/>
      <c r="Q349" s="23"/>
      <c r="R349" s="23"/>
      <c r="S349" s="23"/>
      <c r="T349" s="23"/>
      <c r="U349" s="23"/>
      <c r="V349" s="23"/>
      <c r="W349" s="23"/>
      <c r="X349" s="23"/>
      <c r="Y349" s="23"/>
      <c r="Z349" s="23"/>
      <c r="AA349" s="23"/>
      <c r="AB349" s="23"/>
      <c r="AC349" s="16"/>
    </row>
    <row r="350" spans="4:29">
      <c r="D350" s="16"/>
      <c r="I350" s="3"/>
      <c r="K350" s="25"/>
      <c r="L350" s="25"/>
      <c r="M350" s="25"/>
      <c r="N350" s="23"/>
      <c r="O350" s="23"/>
      <c r="P350" s="23"/>
      <c r="Q350" s="23"/>
      <c r="R350" s="23"/>
      <c r="S350" s="23"/>
      <c r="T350" s="23"/>
      <c r="U350" s="23"/>
      <c r="V350" s="23"/>
      <c r="W350" s="23"/>
      <c r="X350" s="23"/>
      <c r="Y350" s="23"/>
      <c r="Z350" s="23"/>
      <c r="AA350" s="23"/>
      <c r="AB350" s="23"/>
      <c r="AC350" s="16"/>
    </row>
    <row r="351" spans="4:29">
      <c r="D351" s="16"/>
      <c r="I351" s="3"/>
      <c r="K351" s="25"/>
      <c r="L351" s="25"/>
      <c r="M351" s="25"/>
      <c r="N351" s="23"/>
      <c r="O351" s="23"/>
      <c r="P351" s="23"/>
      <c r="Q351" s="23"/>
      <c r="R351" s="23"/>
      <c r="S351" s="23"/>
      <c r="T351" s="23"/>
      <c r="U351" s="23"/>
      <c r="V351" s="23"/>
      <c r="W351" s="23"/>
      <c r="X351" s="23"/>
      <c r="Y351" s="23"/>
      <c r="Z351" s="23"/>
      <c r="AA351" s="23"/>
      <c r="AB351" s="23"/>
      <c r="AC351" s="16"/>
    </row>
    <row r="352" spans="4:29">
      <c r="D352" s="16"/>
      <c r="I352" s="3"/>
      <c r="K352" s="25"/>
      <c r="L352" s="25"/>
      <c r="M352" s="25"/>
      <c r="N352" s="23"/>
      <c r="O352" s="23"/>
      <c r="P352" s="23"/>
      <c r="Q352" s="23"/>
      <c r="R352" s="23"/>
      <c r="S352" s="23"/>
      <c r="T352" s="23"/>
      <c r="U352" s="23"/>
      <c r="V352" s="23"/>
      <c r="W352" s="23"/>
      <c r="X352" s="23"/>
      <c r="Y352" s="23"/>
      <c r="Z352" s="23"/>
      <c r="AA352" s="23"/>
      <c r="AB352" s="23"/>
      <c r="AC352" s="16"/>
    </row>
    <row r="353" spans="4:29">
      <c r="D353" s="16"/>
      <c r="I353" s="3"/>
      <c r="K353" s="25"/>
      <c r="L353" s="25"/>
      <c r="M353" s="25"/>
      <c r="N353" s="23"/>
      <c r="O353" s="23"/>
      <c r="P353" s="23"/>
      <c r="Q353" s="23"/>
      <c r="R353" s="23"/>
      <c r="S353" s="23"/>
      <c r="T353" s="23"/>
      <c r="U353" s="23"/>
      <c r="V353" s="23"/>
      <c r="W353" s="23"/>
      <c r="X353" s="23"/>
      <c r="Y353" s="23"/>
      <c r="Z353" s="23"/>
      <c r="AA353" s="23"/>
      <c r="AB353" s="23"/>
      <c r="AC353" s="16"/>
    </row>
    <row r="354" spans="4:29">
      <c r="D354" s="16"/>
      <c r="I354" s="3"/>
      <c r="K354" s="25"/>
      <c r="L354" s="25"/>
      <c r="M354" s="25"/>
      <c r="N354" s="23"/>
      <c r="O354" s="23"/>
      <c r="P354" s="23"/>
      <c r="Q354" s="23"/>
      <c r="R354" s="23"/>
      <c r="S354" s="23"/>
      <c r="T354" s="23"/>
      <c r="U354" s="23"/>
      <c r="V354" s="23"/>
      <c r="W354" s="23"/>
      <c r="X354" s="23"/>
      <c r="Y354" s="23"/>
      <c r="Z354" s="23"/>
      <c r="AA354" s="23"/>
      <c r="AB354" s="23"/>
      <c r="AC354" s="16"/>
    </row>
    <row r="355" spans="4:29">
      <c r="D355" s="16"/>
      <c r="I355" s="3"/>
      <c r="K355" s="25"/>
      <c r="L355" s="25"/>
      <c r="M355" s="25"/>
      <c r="N355" s="23"/>
      <c r="O355" s="23"/>
      <c r="P355" s="23"/>
      <c r="Q355" s="23"/>
      <c r="R355" s="23"/>
      <c r="S355" s="23"/>
      <c r="T355" s="23"/>
      <c r="U355" s="23"/>
      <c r="V355" s="23"/>
      <c r="W355" s="23"/>
      <c r="X355" s="23"/>
      <c r="Y355" s="23"/>
      <c r="Z355" s="23"/>
      <c r="AA355" s="23"/>
      <c r="AB355" s="23"/>
      <c r="AC355" s="16"/>
    </row>
    <row r="356" spans="4:29">
      <c r="D356" s="16"/>
      <c r="I356" s="3"/>
      <c r="K356" s="25"/>
      <c r="L356" s="25"/>
      <c r="M356" s="25"/>
      <c r="N356" s="23"/>
      <c r="O356" s="23"/>
      <c r="P356" s="23"/>
      <c r="Q356" s="23"/>
      <c r="R356" s="23"/>
      <c r="S356" s="23"/>
      <c r="T356" s="23"/>
      <c r="U356" s="23"/>
      <c r="V356" s="23"/>
      <c r="W356" s="23"/>
      <c r="X356" s="23"/>
      <c r="Y356" s="23"/>
      <c r="Z356" s="23"/>
      <c r="AA356" s="23"/>
      <c r="AB356" s="23"/>
      <c r="AC356" s="16"/>
    </row>
    <row r="357" spans="4:29">
      <c r="D357" s="16"/>
      <c r="I357" s="3"/>
      <c r="K357" s="25"/>
      <c r="L357" s="25"/>
      <c r="M357" s="25"/>
      <c r="N357" s="23"/>
      <c r="O357" s="23"/>
      <c r="P357" s="23"/>
      <c r="Q357" s="23"/>
      <c r="R357" s="23"/>
      <c r="S357" s="23"/>
      <c r="T357" s="23"/>
      <c r="U357" s="23"/>
      <c r="V357" s="23"/>
      <c r="W357" s="23"/>
      <c r="X357" s="23"/>
      <c r="Y357" s="23"/>
      <c r="Z357" s="23"/>
      <c r="AA357" s="23"/>
      <c r="AB357" s="23"/>
      <c r="AC357" s="16"/>
    </row>
    <row r="358" spans="4:29">
      <c r="D358" s="16"/>
      <c r="I358" s="3"/>
      <c r="K358" s="25"/>
      <c r="L358" s="25"/>
      <c r="M358" s="25"/>
      <c r="N358" s="23"/>
      <c r="O358" s="23"/>
      <c r="P358" s="23"/>
      <c r="Q358" s="23"/>
      <c r="R358" s="23"/>
      <c r="S358" s="23"/>
      <c r="T358" s="23"/>
      <c r="U358" s="23"/>
      <c r="V358" s="23"/>
      <c r="W358" s="23"/>
      <c r="X358" s="23"/>
      <c r="Y358" s="23"/>
      <c r="Z358" s="23"/>
      <c r="AA358" s="23"/>
      <c r="AB358" s="23"/>
      <c r="AC358" s="16"/>
    </row>
    <row r="359" spans="4:29">
      <c r="D359" s="16"/>
      <c r="I359" s="3"/>
      <c r="K359" s="25"/>
      <c r="L359" s="25"/>
      <c r="M359" s="25"/>
      <c r="N359" s="23"/>
      <c r="O359" s="23"/>
      <c r="P359" s="23"/>
      <c r="Q359" s="23"/>
      <c r="R359" s="23"/>
      <c r="S359" s="23"/>
      <c r="T359" s="23"/>
      <c r="U359" s="23"/>
      <c r="V359" s="23"/>
      <c r="W359" s="23"/>
      <c r="X359" s="23"/>
      <c r="Y359" s="23"/>
      <c r="Z359" s="23"/>
      <c r="AA359" s="23"/>
      <c r="AB359" s="23"/>
      <c r="AC359" s="16"/>
    </row>
    <row r="360" spans="4:29">
      <c r="D360" s="16"/>
      <c r="I360" s="3"/>
      <c r="K360" s="25"/>
      <c r="L360" s="25"/>
      <c r="M360" s="25"/>
      <c r="N360" s="23"/>
      <c r="O360" s="23"/>
      <c r="P360" s="23"/>
      <c r="Q360" s="23"/>
      <c r="R360" s="23"/>
      <c r="S360" s="23"/>
      <c r="T360" s="23"/>
      <c r="U360" s="23"/>
      <c r="V360" s="23"/>
      <c r="W360" s="23"/>
      <c r="X360" s="23"/>
      <c r="Y360" s="23"/>
      <c r="Z360" s="23"/>
      <c r="AA360" s="23"/>
      <c r="AB360" s="23"/>
      <c r="AC360" s="16"/>
    </row>
    <row r="361" spans="4:29">
      <c r="D361" s="16"/>
      <c r="I361" s="3"/>
      <c r="K361" s="25"/>
      <c r="L361" s="25"/>
      <c r="M361" s="25"/>
      <c r="N361" s="23"/>
      <c r="O361" s="23"/>
      <c r="P361" s="23"/>
      <c r="Q361" s="23"/>
      <c r="R361" s="23"/>
      <c r="S361" s="23"/>
      <c r="T361" s="23"/>
      <c r="U361" s="23"/>
      <c r="V361" s="23"/>
      <c r="W361" s="23"/>
      <c r="X361" s="23"/>
      <c r="Y361" s="23"/>
      <c r="Z361" s="23"/>
      <c r="AA361" s="23"/>
      <c r="AB361" s="23"/>
      <c r="AC361" s="16"/>
    </row>
    <row r="362" spans="4:29">
      <c r="D362" s="16"/>
      <c r="I362" s="3"/>
      <c r="K362" s="25"/>
      <c r="L362" s="25"/>
      <c r="M362" s="25"/>
      <c r="N362" s="23"/>
      <c r="O362" s="23"/>
      <c r="P362" s="23"/>
      <c r="Q362" s="23"/>
      <c r="R362" s="23"/>
      <c r="S362" s="23"/>
      <c r="T362" s="23"/>
      <c r="U362" s="23"/>
      <c r="V362" s="23"/>
      <c r="W362" s="23"/>
      <c r="X362" s="23"/>
      <c r="Y362" s="23"/>
      <c r="Z362" s="23"/>
      <c r="AA362" s="23"/>
      <c r="AB362" s="23"/>
      <c r="AC362" s="16"/>
    </row>
    <row r="363" spans="4:29">
      <c r="D363" s="16"/>
      <c r="I363" s="3"/>
      <c r="K363" s="25"/>
      <c r="L363" s="25"/>
      <c r="M363" s="25"/>
      <c r="N363" s="23"/>
      <c r="O363" s="23"/>
      <c r="P363" s="23"/>
      <c r="Q363" s="23"/>
      <c r="R363" s="23"/>
      <c r="S363" s="23"/>
      <c r="T363" s="23"/>
      <c r="U363" s="23"/>
      <c r="V363" s="23"/>
      <c r="W363" s="23"/>
      <c r="X363" s="23"/>
      <c r="Y363" s="23"/>
      <c r="Z363" s="23"/>
      <c r="AA363" s="23"/>
      <c r="AB363" s="23"/>
      <c r="AC363" s="16"/>
    </row>
    <row r="364" spans="4:29">
      <c r="D364" s="16"/>
      <c r="I364" s="3"/>
      <c r="K364" s="25"/>
      <c r="L364" s="25"/>
      <c r="M364" s="25"/>
      <c r="N364" s="23"/>
      <c r="O364" s="23"/>
      <c r="P364" s="23"/>
      <c r="Q364" s="23"/>
      <c r="R364" s="23"/>
      <c r="S364" s="23"/>
      <c r="T364" s="23"/>
      <c r="U364" s="23"/>
      <c r="V364" s="23"/>
      <c r="W364" s="23"/>
      <c r="X364" s="23"/>
      <c r="Y364" s="23"/>
      <c r="Z364" s="23"/>
      <c r="AA364" s="23"/>
      <c r="AB364" s="23"/>
      <c r="AC364" s="16"/>
    </row>
    <row r="365" spans="4:29">
      <c r="D365" s="16"/>
      <c r="I365" s="3"/>
      <c r="K365" s="25"/>
      <c r="L365" s="25"/>
      <c r="M365" s="25"/>
      <c r="N365" s="23"/>
      <c r="O365" s="23"/>
      <c r="P365" s="23"/>
      <c r="Q365" s="23"/>
      <c r="R365" s="23"/>
      <c r="S365" s="23"/>
      <c r="T365" s="23"/>
      <c r="U365" s="23"/>
      <c r="V365" s="23"/>
      <c r="W365" s="23"/>
      <c r="X365" s="23"/>
      <c r="Y365" s="23"/>
      <c r="Z365" s="23"/>
      <c r="AA365" s="23"/>
      <c r="AB365" s="23"/>
      <c r="AC365" s="16"/>
    </row>
    <row r="366" spans="4:29">
      <c r="D366" s="16"/>
      <c r="I366" s="3"/>
      <c r="K366" s="25"/>
      <c r="L366" s="25"/>
      <c r="M366" s="25"/>
      <c r="N366" s="23"/>
      <c r="O366" s="23"/>
      <c r="P366" s="23"/>
      <c r="Q366" s="23"/>
      <c r="R366" s="23"/>
      <c r="S366" s="23"/>
      <c r="T366" s="23"/>
      <c r="U366" s="23"/>
      <c r="V366" s="23"/>
      <c r="W366" s="23"/>
      <c r="X366" s="23"/>
      <c r="Y366" s="23"/>
      <c r="Z366" s="23"/>
      <c r="AA366" s="23"/>
      <c r="AB366" s="23"/>
      <c r="AC366" s="16"/>
    </row>
    <row r="367" spans="4:29">
      <c r="D367" s="16"/>
      <c r="I367" s="3"/>
      <c r="K367" s="25"/>
      <c r="L367" s="25"/>
      <c r="M367" s="25"/>
      <c r="N367" s="23"/>
      <c r="O367" s="23"/>
      <c r="P367" s="23"/>
      <c r="Q367" s="23"/>
      <c r="R367" s="23"/>
      <c r="S367" s="23"/>
      <c r="T367" s="23"/>
      <c r="U367" s="23"/>
      <c r="V367" s="23"/>
      <c r="W367" s="23"/>
      <c r="X367" s="23"/>
      <c r="Y367" s="23"/>
      <c r="Z367" s="23"/>
      <c r="AA367" s="23"/>
      <c r="AB367" s="23"/>
      <c r="AC367" s="16"/>
    </row>
    <row r="368" spans="4:29">
      <c r="D368" s="16"/>
      <c r="I368" s="3"/>
      <c r="K368" s="25"/>
      <c r="L368" s="25"/>
      <c r="M368" s="25"/>
      <c r="N368" s="23"/>
      <c r="O368" s="23"/>
      <c r="P368" s="23"/>
      <c r="Q368" s="23"/>
      <c r="R368" s="23"/>
      <c r="S368" s="23"/>
      <c r="T368" s="23"/>
      <c r="U368" s="23"/>
      <c r="V368" s="23"/>
      <c r="W368" s="23"/>
      <c r="X368" s="23"/>
      <c r="Y368" s="23"/>
      <c r="Z368" s="23"/>
      <c r="AA368" s="23"/>
      <c r="AB368" s="23"/>
      <c r="AC368" s="16"/>
    </row>
    <row r="369" spans="4:29">
      <c r="D369" s="16"/>
      <c r="I369" s="3"/>
      <c r="K369" s="25"/>
      <c r="L369" s="25"/>
      <c r="M369" s="25"/>
      <c r="N369" s="23"/>
      <c r="O369" s="23"/>
      <c r="P369" s="23"/>
      <c r="Q369" s="23"/>
      <c r="R369" s="23"/>
      <c r="S369" s="23"/>
      <c r="T369" s="23"/>
      <c r="U369" s="23"/>
      <c r="V369" s="23"/>
      <c r="W369" s="23"/>
      <c r="X369" s="23"/>
      <c r="Y369" s="23"/>
      <c r="Z369" s="23"/>
      <c r="AA369" s="23"/>
      <c r="AB369" s="23"/>
      <c r="AC369" s="16"/>
    </row>
    <row r="370" spans="4:29">
      <c r="D370" s="16"/>
      <c r="I370" s="3"/>
      <c r="K370" s="25"/>
      <c r="L370" s="25"/>
      <c r="M370" s="25"/>
      <c r="N370" s="23"/>
      <c r="O370" s="23"/>
      <c r="P370" s="23"/>
      <c r="Q370" s="23"/>
      <c r="R370" s="23"/>
      <c r="S370" s="23"/>
      <c r="T370" s="23"/>
      <c r="U370" s="23"/>
      <c r="V370" s="23"/>
      <c r="W370" s="23"/>
      <c r="X370" s="23"/>
      <c r="Y370" s="23"/>
      <c r="Z370" s="23"/>
      <c r="AA370" s="23"/>
      <c r="AB370" s="23"/>
      <c r="AC370" s="16"/>
    </row>
    <row r="371" spans="4:29">
      <c r="D371" s="16"/>
      <c r="I371" s="3"/>
      <c r="K371" s="25"/>
      <c r="L371" s="25"/>
      <c r="M371" s="25"/>
      <c r="N371" s="23"/>
      <c r="O371" s="23"/>
      <c r="P371" s="23"/>
      <c r="Q371" s="23"/>
      <c r="R371" s="23"/>
      <c r="S371" s="23"/>
      <c r="T371" s="23"/>
      <c r="U371" s="23"/>
      <c r="V371" s="23"/>
      <c r="W371" s="23"/>
      <c r="X371" s="23"/>
      <c r="Y371" s="23"/>
      <c r="Z371" s="23"/>
      <c r="AA371" s="23"/>
      <c r="AB371" s="23"/>
      <c r="AC371" s="16"/>
    </row>
    <row r="372" spans="4:29">
      <c r="D372" s="16"/>
      <c r="I372" s="3"/>
      <c r="K372" s="25"/>
      <c r="L372" s="25"/>
      <c r="M372" s="25"/>
      <c r="N372" s="23"/>
      <c r="O372" s="23"/>
      <c r="P372" s="23"/>
      <c r="Q372" s="23"/>
      <c r="R372" s="23"/>
      <c r="S372" s="23"/>
      <c r="T372" s="23"/>
      <c r="U372" s="23"/>
      <c r="V372" s="23"/>
      <c r="W372" s="23"/>
      <c r="X372" s="23"/>
      <c r="Y372" s="23"/>
      <c r="Z372" s="23"/>
      <c r="AA372" s="23"/>
      <c r="AB372" s="23"/>
      <c r="AC372" s="16"/>
    </row>
    <row r="373" spans="4:29">
      <c r="D373" s="16"/>
      <c r="I373" s="3"/>
      <c r="K373" s="25"/>
      <c r="L373" s="25"/>
      <c r="M373" s="25"/>
      <c r="N373" s="23"/>
      <c r="O373" s="23"/>
      <c r="P373" s="23"/>
      <c r="Q373" s="23"/>
      <c r="R373" s="23"/>
      <c r="S373" s="23"/>
      <c r="T373" s="23"/>
      <c r="U373" s="23"/>
      <c r="V373" s="23"/>
      <c r="W373" s="23"/>
      <c r="X373" s="23"/>
      <c r="Y373" s="23"/>
      <c r="Z373" s="23"/>
      <c r="AA373" s="23"/>
      <c r="AB373" s="23"/>
      <c r="AC373" s="16"/>
    </row>
    <row r="374" spans="4:29">
      <c r="D374" s="16"/>
      <c r="I374" s="3"/>
      <c r="K374" s="25"/>
      <c r="L374" s="25"/>
      <c r="M374" s="25"/>
      <c r="N374" s="23"/>
      <c r="O374" s="23"/>
      <c r="P374" s="23"/>
      <c r="Q374" s="23"/>
      <c r="R374" s="23"/>
      <c r="S374" s="23"/>
      <c r="T374" s="23"/>
      <c r="U374" s="23"/>
      <c r="V374" s="23"/>
      <c r="W374" s="23"/>
      <c r="X374" s="23"/>
      <c r="Y374" s="23"/>
      <c r="Z374" s="23"/>
      <c r="AA374" s="23"/>
      <c r="AB374" s="23"/>
      <c r="AC374" s="16"/>
    </row>
    <row r="375" spans="4:29">
      <c r="D375" s="16"/>
      <c r="I375" s="3"/>
      <c r="K375" s="25"/>
      <c r="L375" s="25"/>
      <c r="M375" s="25"/>
      <c r="N375" s="23"/>
      <c r="O375" s="23"/>
      <c r="P375" s="23"/>
      <c r="Q375" s="23"/>
      <c r="R375" s="23"/>
      <c r="S375" s="23"/>
      <c r="T375" s="23"/>
      <c r="U375" s="23"/>
      <c r="V375" s="23"/>
      <c r="W375" s="23"/>
      <c r="X375" s="23"/>
      <c r="Y375" s="23"/>
      <c r="Z375" s="23"/>
      <c r="AA375" s="23"/>
      <c r="AB375" s="23"/>
      <c r="AC375" s="16"/>
    </row>
    <row r="376" spans="4:29">
      <c r="D376" s="16"/>
      <c r="I376" s="3"/>
      <c r="K376" s="25"/>
      <c r="L376" s="25"/>
      <c r="M376" s="25"/>
      <c r="N376" s="23"/>
      <c r="O376" s="23"/>
      <c r="P376" s="23"/>
      <c r="Q376" s="23"/>
      <c r="R376" s="23"/>
      <c r="S376" s="23"/>
      <c r="T376" s="23"/>
      <c r="U376" s="23"/>
      <c r="V376" s="23"/>
      <c r="W376" s="23"/>
      <c r="X376" s="23"/>
      <c r="Y376" s="23"/>
      <c r="Z376" s="23"/>
      <c r="AA376" s="23"/>
      <c r="AB376" s="23"/>
      <c r="AC376" s="16"/>
    </row>
    <row r="377" spans="4:29">
      <c r="D377" s="16"/>
      <c r="I377" s="3"/>
      <c r="K377" s="25"/>
      <c r="L377" s="25"/>
      <c r="M377" s="25"/>
      <c r="N377" s="23"/>
      <c r="O377" s="23"/>
      <c r="P377" s="23"/>
      <c r="Q377" s="23"/>
      <c r="R377" s="23"/>
      <c r="S377" s="23"/>
      <c r="T377" s="23"/>
      <c r="U377" s="23"/>
      <c r="V377" s="23"/>
      <c r="W377" s="23"/>
      <c r="X377" s="23"/>
      <c r="Y377" s="23"/>
      <c r="Z377" s="23"/>
      <c r="AA377" s="23"/>
      <c r="AB377" s="23"/>
      <c r="AC377" s="16"/>
    </row>
    <row r="378" spans="4:29">
      <c r="D378" s="16"/>
      <c r="I378" s="3"/>
      <c r="K378" s="25"/>
      <c r="L378" s="25"/>
      <c r="M378" s="25"/>
      <c r="N378" s="23"/>
      <c r="O378" s="23"/>
      <c r="P378" s="23"/>
      <c r="Q378" s="23"/>
      <c r="R378" s="23"/>
      <c r="S378" s="23"/>
      <c r="T378" s="23"/>
      <c r="U378" s="23"/>
      <c r="V378" s="23"/>
      <c r="W378" s="23"/>
      <c r="X378" s="23"/>
      <c r="Y378" s="23"/>
      <c r="Z378" s="23"/>
      <c r="AA378" s="23"/>
      <c r="AB378" s="23"/>
      <c r="AC378" s="16"/>
    </row>
    <row r="379" spans="4:29">
      <c r="D379" s="16"/>
      <c r="I379" s="3"/>
      <c r="K379" s="25"/>
      <c r="L379" s="25"/>
      <c r="M379" s="25"/>
      <c r="N379" s="23"/>
      <c r="O379" s="23"/>
      <c r="P379" s="23"/>
      <c r="Q379" s="23"/>
      <c r="R379" s="23"/>
      <c r="S379" s="23"/>
      <c r="T379" s="23"/>
      <c r="U379" s="23"/>
      <c r="V379" s="23"/>
      <c r="W379" s="23"/>
      <c r="X379" s="23"/>
      <c r="Y379" s="23"/>
      <c r="Z379" s="23"/>
      <c r="AA379" s="23"/>
      <c r="AB379" s="23"/>
      <c r="AC379" s="16"/>
    </row>
    <row r="380" spans="4:29">
      <c r="D380" s="16"/>
      <c r="I380" s="3"/>
      <c r="K380" s="25"/>
      <c r="L380" s="25"/>
      <c r="M380" s="25"/>
      <c r="N380" s="23"/>
      <c r="O380" s="23"/>
      <c r="P380" s="23"/>
      <c r="Q380" s="23"/>
      <c r="R380" s="23"/>
      <c r="S380" s="23"/>
      <c r="T380" s="23"/>
      <c r="U380" s="23"/>
      <c r="V380" s="23"/>
      <c r="W380" s="23"/>
      <c r="X380" s="23"/>
      <c r="Y380" s="23"/>
      <c r="Z380" s="23"/>
      <c r="AA380" s="23"/>
      <c r="AB380" s="23"/>
      <c r="AC380" s="16"/>
    </row>
    <row r="381" spans="4:29">
      <c r="D381" s="16"/>
      <c r="I381" s="3"/>
      <c r="K381" s="25"/>
      <c r="L381" s="25"/>
      <c r="M381" s="25"/>
      <c r="N381" s="23"/>
      <c r="O381" s="23"/>
      <c r="P381" s="23"/>
      <c r="Q381" s="23"/>
      <c r="R381" s="23"/>
      <c r="S381" s="23"/>
      <c r="T381" s="23"/>
      <c r="U381" s="23"/>
      <c r="V381" s="23"/>
      <c r="W381" s="23"/>
      <c r="X381" s="23"/>
      <c r="Y381" s="23"/>
      <c r="Z381" s="23"/>
      <c r="AA381" s="23"/>
      <c r="AB381" s="23"/>
      <c r="AC381" s="16"/>
    </row>
    <row r="382" spans="4:29">
      <c r="D382" s="16"/>
      <c r="I382" s="3"/>
      <c r="K382" s="25"/>
      <c r="L382" s="25"/>
      <c r="M382" s="25"/>
      <c r="N382" s="23"/>
      <c r="O382" s="23"/>
      <c r="P382" s="23"/>
      <c r="Q382" s="23"/>
      <c r="R382" s="23"/>
      <c r="S382" s="23"/>
      <c r="T382" s="23"/>
      <c r="U382" s="23"/>
      <c r="V382" s="23"/>
      <c r="W382" s="23"/>
      <c r="X382" s="23"/>
      <c r="Y382" s="23"/>
      <c r="Z382" s="23"/>
      <c r="AA382" s="23"/>
      <c r="AB382" s="23"/>
      <c r="AC382" s="16"/>
    </row>
    <row r="383" spans="4:29">
      <c r="D383" s="16"/>
      <c r="I383" s="3"/>
      <c r="K383" s="25"/>
      <c r="L383" s="25"/>
      <c r="M383" s="25"/>
      <c r="N383" s="23"/>
      <c r="O383" s="23"/>
      <c r="P383" s="23"/>
      <c r="Q383" s="23"/>
      <c r="R383" s="23"/>
      <c r="S383" s="23"/>
      <c r="T383" s="23"/>
      <c r="U383" s="23"/>
      <c r="V383" s="23"/>
      <c r="W383" s="23"/>
      <c r="X383" s="23"/>
      <c r="Y383" s="23"/>
      <c r="Z383" s="23"/>
      <c r="AA383" s="23"/>
      <c r="AB383" s="23"/>
      <c r="AC383" s="16"/>
    </row>
    <row r="384" spans="4:29">
      <c r="D384" s="16"/>
      <c r="I384" s="3"/>
      <c r="K384" s="25"/>
      <c r="L384" s="25"/>
      <c r="M384" s="25"/>
      <c r="N384" s="23"/>
      <c r="O384" s="23"/>
      <c r="P384" s="23"/>
      <c r="Q384" s="23"/>
      <c r="R384" s="23"/>
      <c r="S384" s="23"/>
      <c r="T384" s="23"/>
      <c r="U384" s="23"/>
      <c r="V384" s="23"/>
      <c r="W384" s="23"/>
      <c r="X384" s="23"/>
      <c r="Y384" s="23"/>
      <c r="Z384" s="23"/>
      <c r="AA384" s="23"/>
      <c r="AB384" s="23"/>
      <c r="AC384" s="16"/>
    </row>
    <row r="385" spans="4:29">
      <c r="D385" s="16"/>
      <c r="I385" s="3"/>
      <c r="K385" s="25"/>
      <c r="L385" s="25"/>
      <c r="M385" s="25"/>
      <c r="N385" s="23"/>
      <c r="O385" s="23"/>
      <c r="P385" s="23"/>
      <c r="Q385" s="23"/>
      <c r="R385" s="23"/>
      <c r="S385" s="23"/>
      <c r="T385" s="23"/>
      <c r="U385" s="23"/>
      <c r="V385" s="23"/>
      <c r="W385" s="23"/>
      <c r="X385" s="23"/>
      <c r="Y385" s="23"/>
      <c r="Z385" s="23"/>
      <c r="AA385" s="23"/>
      <c r="AB385" s="23"/>
      <c r="AC385" s="16"/>
    </row>
    <row r="386" spans="4:29">
      <c r="D386" s="16"/>
      <c r="I386" s="3"/>
      <c r="K386" s="25"/>
      <c r="L386" s="25"/>
      <c r="M386" s="25"/>
      <c r="N386" s="23"/>
      <c r="O386" s="23"/>
      <c r="P386" s="23"/>
      <c r="Q386" s="23"/>
      <c r="R386" s="23"/>
      <c r="S386" s="23"/>
      <c r="T386" s="23"/>
      <c r="U386" s="23"/>
      <c r="V386" s="23"/>
      <c r="W386" s="23"/>
      <c r="X386" s="23"/>
      <c r="Y386" s="23"/>
      <c r="Z386" s="23"/>
      <c r="AA386" s="23"/>
      <c r="AB386" s="23"/>
      <c r="AC386" s="16"/>
    </row>
    <row r="387" spans="4:29">
      <c r="D387" s="16"/>
      <c r="I387" s="3"/>
      <c r="K387" s="25"/>
      <c r="L387" s="25"/>
      <c r="M387" s="25"/>
      <c r="N387" s="23"/>
      <c r="O387" s="23"/>
      <c r="P387" s="23"/>
      <c r="Q387" s="23"/>
      <c r="R387" s="23"/>
      <c r="S387" s="23"/>
      <c r="T387" s="23"/>
      <c r="U387" s="23"/>
      <c r="V387" s="23"/>
      <c r="W387" s="23"/>
      <c r="X387" s="23"/>
      <c r="Y387" s="23"/>
      <c r="Z387" s="23"/>
      <c r="AA387" s="23"/>
      <c r="AB387" s="23"/>
      <c r="AC387" s="16"/>
    </row>
    <row r="388" spans="4:29">
      <c r="D388" s="16"/>
      <c r="I388" s="3"/>
      <c r="K388" s="25"/>
      <c r="L388" s="25"/>
      <c r="M388" s="25"/>
      <c r="N388" s="23"/>
      <c r="O388" s="23"/>
      <c r="P388" s="23"/>
      <c r="Q388" s="23"/>
      <c r="R388" s="23"/>
      <c r="S388" s="23"/>
      <c r="T388" s="23"/>
      <c r="U388" s="23"/>
      <c r="V388" s="23"/>
      <c r="W388" s="23"/>
      <c r="X388" s="23"/>
      <c r="Y388" s="23"/>
      <c r="Z388" s="23"/>
      <c r="AA388" s="23"/>
      <c r="AB388" s="23"/>
      <c r="AC388" s="16"/>
    </row>
    <row r="389" spans="4:29">
      <c r="D389" s="16"/>
      <c r="I389" s="3"/>
      <c r="K389" s="25"/>
      <c r="L389" s="25"/>
      <c r="M389" s="25"/>
      <c r="N389" s="23"/>
      <c r="O389" s="23"/>
      <c r="P389" s="23"/>
      <c r="Q389" s="23"/>
      <c r="R389" s="23"/>
      <c r="S389" s="23"/>
      <c r="T389" s="23"/>
      <c r="U389" s="23"/>
      <c r="V389" s="23"/>
      <c r="W389" s="23"/>
      <c r="X389" s="23"/>
      <c r="Y389" s="23"/>
      <c r="Z389" s="23"/>
      <c r="AA389" s="23"/>
      <c r="AB389" s="23"/>
      <c r="AC389" s="16"/>
    </row>
    <row r="390" spans="4:29">
      <c r="D390" s="16"/>
      <c r="I390" s="3"/>
      <c r="K390" s="25"/>
      <c r="L390" s="25"/>
      <c r="M390" s="25"/>
      <c r="N390" s="23"/>
      <c r="O390" s="23"/>
      <c r="P390" s="23"/>
      <c r="Q390" s="23"/>
      <c r="R390" s="23"/>
      <c r="S390" s="23"/>
      <c r="T390" s="23"/>
      <c r="U390" s="23"/>
      <c r="V390" s="23"/>
      <c r="W390" s="23"/>
      <c r="X390" s="23"/>
      <c r="Y390" s="23"/>
      <c r="Z390" s="23"/>
      <c r="AA390" s="23"/>
      <c r="AB390" s="23"/>
      <c r="AC390" s="16"/>
    </row>
    <row r="391" spans="4:29">
      <c r="D391" s="16"/>
      <c r="I391" s="3"/>
      <c r="K391" s="25"/>
      <c r="L391" s="25"/>
      <c r="M391" s="25"/>
      <c r="N391" s="23"/>
      <c r="O391" s="23"/>
      <c r="P391" s="23"/>
      <c r="Q391" s="23"/>
      <c r="R391" s="23"/>
      <c r="S391" s="23"/>
      <c r="T391" s="23"/>
      <c r="U391" s="23"/>
      <c r="V391" s="23"/>
      <c r="W391" s="23"/>
      <c r="X391" s="23"/>
      <c r="Y391" s="23"/>
      <c r="Z391" s="23"/>
      <c r="AA391" s="23"/>
      <c r="AB391" s="23"/>
      <c r="AC391" s="16"/>
    </row>
    <row r="392" spans="4:29">
      <c r="D392" s="16"/>
      <c r="I392" s="3"/>
      <c r="K392" s="25"/>
      <c r="L392" s="25"/>
      <c r="M392" s="25"/>
      <c r="N392" s="23"/>
      <c r="O392" s="23"/>
      <c r="P392" s="23"/>
      <c r="Q392" s="23"/>
      <c r="R392" s="23"/>
      <c r="S392" s="23"/>
      <c r="T392" s="23"/>
      <c r="U392" s="23"/>
      <c r="V392" s="23"/>
      <c r="W392" s="23"/>
      <c r="X392" s="23"/>
      <c r="Y392" s="23"/>
      <c r="Z392" s="23"/>
      <c r="AA392" s="23"/>
      <c r="AB392" s="23"/>
      <c r="AC392" s="16"/>
    </row>
    <row r="393" spans="4:29">
      <c r="D393" s="16"/>
      <c r="I393" s="3"/>
      <c r="K393" s="25"/>
      <c r="L393" s="25"/>
      <c r="M393" s="25"/>
      <c r="N393" s="23"/>
      <c r="O393" s="23"/>
      <c r="P393" s="23"/>
      <c r="Q393" s="23"/>
      <c r="R393" s="23"/>
      <c r="S393" s="23"/>
      <c r="T393" s="23"/>
      <c r="U393" s="23"/>
      <c r="V393" s="23"/>
      <c r="W393" s="23"/>
      <c r="X393" s="23"/>
      <c r="Y393" s="23"/>
      <c r="Z393" s="23"/>
      <c r="AA393" s="23"/>
      <c r="AB393" s="23"/>
      <c r="AC393" s="16"/>
    </row>
    <row r="394" spans="4:29">
      <c r="D394" s="16"/>
      <c r="I394" s="3"/>
      <c r="K394" s="25"/>
      <c r="L394" s="25"/>
      <c r="M394" s="25"/>
      <c r="N394" s="23"/>
      <c r="O394" s="23"/>
      <c r="P394" s="23"/>
      <c r="Q394" s="23"/>
      <c r="R394" s="23"/>
      <c r="S394" s="23"/>
      <c r="T394" s="23"/>
      <c r="U394" s="23"/>
      <c r="V394" s="23"/>
      <c r="W394" s="23"/>
      <c r="X394" s="23"/>
      <c r="Y394" s="23"/>
      <c r="Z394" s="23"/>
      <c r="AA394" s="23"/>
      <c r="AB394" s="23"/>
      <c r="AC394" s="16"/>
    </row>
    <row r="395" spans="4:29">
      <c r="D395" s="16"/>
      <c r="I395" s="3"/>
      <c r="K395" s="25"/>
      <c r="L395" s="25"/>
      <c r="M395" s="25"/>
      <c r="N395" s="23"/>
      <c r="O395" s="23"/>
      <c r="P395" s="23"/>
      <c r="Q395" s="23"/>
      <c r="R395" s="23"/>
      <c r="S395" s="23"/>
      <c r="T395" s="23"/>
      <c r="U395" s="23"/>
      <c r="V395" s="23"/>
      <c r="W395" s="23"/>
      <c r="X395" s="23"/>
      <c r="Y395" s="23"/>
      <c r="Z395" s="23"/>
      <c r="AA395" s="23"/>
      <c r="AB395" s="23"/>
      <c r="AC395" s="16"/>
    </row>
    <row r="396" spans="4:29">
      <c r="D396" s="16"/>
      <c r="I396" s="3"/>
      <c r="K396" s="25"/>
      <c r="L396" s="25"/>
      <c r="M396" s="25"/>
      <c r="N396" s="23"/>
      <c r="O396" s="23"/>
      <c r="P396" s="23"/>
      <c r="Q396" s="23"/>
      <c r="R396" s="23"/>
      <c r="S396" s="23"/>
      <c r="T396" s="23"/>
      <c r="U396" s="23"/>
      <c r="V396" s="23"/>
      <c r="W396" s="23"/>
      <c r="X396" s="23"/>
      <c r="Y396" s="23"/>
      <c r="Z396" s="23"/>
      <c r="AA396" s="23"/>
      <c r="AB396" s="23"/>
      <c r="AC396" s="16"/>
    </row>
    <row r="397" spans="4:29">
      <c r="D397" s="16"/>
      <c r="I397" s="3"/>
      <c r="K397" s="25"/>
      <c r="L397" s="25"/>
      <c r="M397" s="25"/>
      <c r="N397" s="23"/>
      <c r="O397" s="23"/>
      <c r="P397" s="23"/>
      <c r="Q397" s="23"/>
      <c r="R397" s="23"/>
      <c r="S397" s="23"/>
      <c r="T397" s="23"/>
      <c r="U397" s="23"/>
      <c r="V397" s="23"/>
      <c r="W397" s="23"/>
      <c r="X397" s="23"/>
      <c r="Y397" s="23"/>
      <c r="Z397" s="23"/>
      <c r="AA397" s="23"/>
      <c r="AB397" s="23"/>
      <c r="AC397" s="16"/>
    </row>
    <row r="398" spans="4:29">
      <c r="D398" s="16"/>
      <c r="I398" s="3"/>
      <c r="K398" s="25"/>
      <c r="L398" s="25"/>
      <c r="M398" s="25"/>
      <c r="N398" s="23"/>
      <c r="O398" s="23"/>
      <c r="P398" s="23"/>
      <c r="Q398" s="23"/>
      <c r="R398" s="23"/>
      <c r="S398" s="23"/>
      <c r="T398" s="23"/>
      <c r="U398" s="23"/>
      <c r="V398" s="23"/>
      <c r="W398" s="23"/>
      <c r="X398" s="23"/>
      <c r="Y398" s="23"/>
      <c r="Z398" s="23"/>
      <c r="AA398" s="23"/>
      <c r="AB398" s="23"/>
      <c r="AC398" s="16"/>
    </row>
    <row r="399" spans="4:29">
      <c r="D399" s="16"/>
      <c r="I399" s="3"/>
      <c r="K399" s="25"/>
      <c r="L399" s="25"/>
      <c r="M399" s="25"/>
      <c r="N399" s="23"/>
      <c r="O399" s="23"/>
      <c r="P399" s="23"/>
      <c r="Q399" s="23"/>
      <c r="R399" s="23"/>
      <c r="S399" s="23"/>
      <c r="T399" s="23"/>
      <c r="U399" s="23"/>
      <c r="V399" s="23"/>
      <c r="W399" s="23"/>
      <c r="X399" s="23"/>
      <c r="Y399" s="23"/>
      <c r="Z399" s="23"/>
      <c r="AA399" s="23"/>
      <c r="AB399" s="23"/>
      <c r="AC399" s="16"/>
    </row>
    <row r="400" spans="4:29">
      <c r="D400" s="16"/>
      <c r="I400" s="3"/>
      <c r="K400" s="25"/>
      <c r="L400" s="25"/>
      <c r="M400" s="25"/>
      <c r="N400" s="23"/>
      <c r="O400" s="23"/>
      <c r="P400" s="23"/>
      <c r="Q400" s="23"/>
      <c r="R400" s="23"/>
      <c r="S400" s="23"/>
      <c r="T400" s="23"/>
      <c r="U400" s="23"/>
      <c r="V400" s="23"/>
      <c r="W400" s="23"/>
      <c r="X400" s="23"/>
      <c r="Y400" s="23"/>
      <c r="Z400" s="23"/>
      <c r="AA400" s="23"/>
      <c r="AB400" s="23"/>
      <c r="AC400" s="16"/>
    </row>
    <row r="401" spans="4:29">
      <c r="D401" s="16"/>
      <c r="I401" s="3"/>
      <c r="K401" s="25"/>
      <c r="L401" s="25"/>
      <c r="M401" s="25"/>
      <c r="N401" s="23"/>
      <c r="O401" s="23"/>
      <c r="P401" s="23"/>
      <c r="Q401" s="23"/>
      <c r="R401" s="23"/>
      <c r="S401" s="23"/>
      <c r="T401" s="23"/>
      <c r="U401" s="23"/>
      <c r="V401" s="23"/>
      <c r="W401" s="23"/>
      <c r="X401" s="23"/>
      <c r="Y401" s="23"/>
      <c r="Z401" s="23"/>
      <c r="AA401" s="23"/>
      <c r="AB401" s="23"/>
      <c r="AC401" s="16"/>
    </row>
    <row r="402" spans="4:29">
      <c r="D402" s="16"/>
      <c r="I402" s="3"/>
      <c r="K402" s="25"/>
      <c r="L402" s="25"/>
      <c r="M402" s="25"/>
      <c r="N402" s="23"/>
      <c r="O402" s="23"/>
      <c r="P402" s="23"/>
      <c r="Q402" s="23"/>
      <c r="R402" s="23"/>
      <c r="S402" s="23"/>
      <c r="T402" s="23"/>
      <c r="U402" s="23"/>
      <c r="V402" s="23"/>
      <c r="W402" s="23"/>
      <c r="X402" s="23"/>
      <c r="Y402" s="23"/>
      <c r="Z402" s="23"/>
      <c r="AA402" s="23"/>
      <c r="AB402" s="23"/>
      <c r="AC402" s="16"/>
    </row>
    <row r="403" spans="4:29">
      <c r="D403" s="16"/>
      <c r="I403" s="3"/>
      <c r="K403" s="25"/>
      <c r="L403" s="25"/>
      <c r="M403" s="25"/>
      <c r="N403" s="23"/>
      <c r="O403" s="23"/>
      <c r="P403" s="23"/>
      <c r="Q403" s="23"/>
      <c r="R403" s="23"/>
      <c r="S403" s="23"/>
      <c r="T403" s="23"/>
      <c r="U403" s="23"/>
      <c r="V403" s="23"/>
      <c r="W403" s="23"/>
      <c r="X403" s="23"/>
      <c r="Y403" s="23"/>
      <c r="Z403" s="23"/>
      <c r="AA403" s="23"/>
      <c r="AB403" s="23"/>
      <c r="AC403" s="16"/>
    </row>
    <row r="404" spans="4:29">
      <c r="D404" s="16"/>
      <c r="I404" s="3"/>
      <c r="K404" s="25"/>
      <c r="L404" s="25"/>
      <c r="M404" s="25"/>
      <c r="N404" s="23"/>
      <c r="O404" s="23"/>
      <c r="P404" s="23"/>
      <c r="Q404" s="23"/>
      <c r="R404" s="23"/>
      <c r="S404" s="23"/>
      <c r="T404" s="23"/>
      <c r="U404" s="23"/>
      <c r="V404" s="23"/>
      <c r="W404" s="23"/>
      <c r="X404" s="23"/>
      <c r="Y404" s="23"/>
      <c r="Z404" s="23"/>
      <c r="AA404" s="23"/>
      <c r="AB404" s="23"/>
      <c r="AC404" s="16"/>
    </row>
    <row r="405" spans="4:29">
      <c r="D405" s="16"/>
      <c r="I405" s="3"/>
      <c r="K405" s="25"/>
      <c r="L405" s="25"/>
      <c r="M405" s="25"/>
      <c r="N405" s="23"/>
      <c r="O405" s="23"/>
      <c r="P405" s="23"/>
      <c r="Q405" s="23"/>
      <c r="R405" s="23"/>
      <c r="S405" s="23"/>
      <c r="T405" s="23"/>
      <c r="U405" s="23"/>
      <c r="V405" s="23"/>
      <c r="W405" s="23"/>
      <c r="X405" s="23"/>
      <c r="Y405" s="23"/>
      <c r="Z405" s="23"/>
      <c r="AA405" s="23"/>
      <c r="AB405" s="23"/>
      <c r="AC405" s="16"/>
    </row>
    <row r="406" spans="4:29">
      <c r="D406" s="16"/>
      <c r="I406" s="3"/>
      <c r="K406" s="25"/>
      <c r="L406" s="25"/>
      <c r="M406" s="25"/>
      <c r="N406" s="23"/>
      <c r="O406" s="23"/>
      <c r="P406" s="23"/>
      <c r="Q406" s="23"/>
      <c r="R406" s="23"/>
      <c r="S406" s="23"/>
      <c r="T406" s="23"/>
      <c r="U406" s="23"/>
      <c r="V406" s="23"/>
      <c r="W406" s="23"/>
      <c r="X406" s="23"/>
      <c r="Y406" s="23"/>
      <c r="Z406" s="23"/>
      <c r="AA406" s="23"/>
      <c r="AB406" s="23"/>
      <c r="AC406" s="16"/>
    </row>
    <row r="407" spans="4:29">
      <c r="D407" s="16"/>
      <c r="I407" s="3"/>
      <c r="K407" s="25"/>
      <c r="L407" s="25"/>
      <c r="M407" s="25"/>
      <c r="N407" s="23"/>
      <c r="O407" s="23"/>
      <c r="P407" s="23"/>
      <c r="Q407" s="23"/>
      <c r="R407" s="23"/>
      <c r="S407" s="23"/>
      <c r="T407" s="23"/>
      <c r="U407" s="23"/>
      <c r="V407" s="23"/>
      <c r="W407" s="23"/>
      <c r="X407" s="23"/>
      <c r="Y407" s="23"/>
      <c r="Z407" s="23"/>
      <c r="AA407" s="23"/>
      <c r="AB407" s="23"/>
      <c r="AC407" s="16"/>
    </row>
    <row r="408" spans="4:29">
      <c r="D408" s="16"/>
      <c r="I408" s="3"/>
      <c r="K408" s="25"/>
      <c r="L408" s="25"/>
      <c r="M408" s="25"/>
      <c r="N408" s="23"/>
      <c r="O408" s="23"/>
      <c r="P408" s="23"/>
      <c r="Q408" s="23"/>
      <c r="R408" s="23"/>
      <c r="S408" s="23"/>
      <c r="T408" s="23"/>
      <c r="U408" s="23"/>
      <c r="V408" s="23"/>
      <c r="W408" s="23"/>
      <c r="X408" s="23"/>
      <c r="Y408" s="23"/>
      <c r="Z408" s="23"/>
      <c r="AA408" s="23"/>
      <c r="AB408" s="23"/>
      <c r="AC408" s="16"/>
    </row>
    <row r="409" spans="4:29">
      <c r="D409" s="16"/>
      <c r="I409" s="3"/>
      <c r="K409" s="25"/>
      <c r="L409" s="25"/>
      <c r="M409" s="25"/>
      <c r="N409" s="23"/>
      <c r="O409" s="23"/>
      <c r="P409" s="23"/>
      <c r="Q409" s="23"/>
      <c r="R409" s="23"/>
      <c r="S409" s="23"/>
      <c r="T409" s="23"/>
      <c r="U409" s="23"/>
      <c r="V409" s="23"/>
      <c r="W409" s="23"/>
      <c r="X409" s="23"/>
      <c r="Y409" s="23"/>
      <c r="Z409" s="23"/>
      <c r="AA409" s="23"/>
      <c r="AB409" s="23"/>
      <c r="AC409" s="16"/>
    </row>
    <row r="410" spans="4:29">
      <c r="D410" s="16"/>
      <c r="I410" s="3"/>
      <c r="K410" s="25"/>
      <c r="L410" s="25"/>
      <c r="M410" s="25"/>
      <c r="N410" s="23"/>
      <c r="O410" s="23"/>
      <c r="P410" s="23"/>
      <c r="Q410" s="23"/>
      <c r="R410" s="23"/>
      <c r="S410" s="23"/>
      <c r="T410" s="23"/>
      <c r="U410" s="23"/>
      <c r="V410" s="23"/>
      <c r="W410" s="23"/>
      <c r="X410" s="23"/>
      <c r="Y410" s="23"/>
      <c r="Z410" s="23"/>
      <c r="AA410" s="23"/>
      <c r="AB410" s="23"/>
      <c r="AC410" s="16"/>
    </row>
    <row r="411" spans="4:29">
      <c r="D411" s="16"/>
      <c r="I411" s="3"/>
      <c r="K411" s="25"/>
      <c r="L411" s="25"/>
      <c r="M411" s="25"/>
      <c r="N411" s="23"/>
      <c r="O411" s="23"/>
      <c r="P411" s="23"/>
      <c r="Q411" s="23"/>
      <c r="R411" s="23"/>
      <c r="S411" s="23"/>
      <c r="T411" s="23"/>
      <c r="U411" s="23"/>
      <c r="V411" s="23"/>
      <c r="W411" s="23"/>
      <c r="X411" s="23"/>
      <c r="Y411" s="23"/>
      <c r="Z411" s="23"/>
      <c r="AA411" s="23"/>
      <c r="AB411" s="23"/>
      <c r="AC411" s="16"/>
    </row>
    <row r="412" spans="4:29">
      <c r="D412" s="16"/>
      <c r="I412" s="3"/>
      <c r="K412" s="25"/>
      <c r="L412" s="25"/>
      <c r="M412" s="25"/>
      <c r="N412" s="23"/>
      <c r="O412" s="23"/>
      <c r="P412" s="23"/>
      <c r="Q412" s="23"/>
      <c r="R412" s="23"/>
      <c r="S412" s="23"/>
      <c r="T412" s="23"/>
      <c r="U412" s="23"/>
      <c r="V412" s="23"/>
      <c r="W412" s="23"/>
      <c r="X412" s="23"/>
      <c r="Y412" s="23"/>
      <c r="Z412" s="23"/>
      <c r="AA412" s="23"/>
      <c r="AB412" s="23"/>
      <c r="AC412" s="16"/>
    </row>
    <row r="413" spans="4:29">
      <c r="D413" s="16"/>
      <c r="I413" s="3"/>
      <c r="K413" s="25"/>
      <c r="L413" s="25"/>
      <c r="M413" s="25"/>
      <c r="N413" s="23"/>
      <c r="O413" s="23"/>
      <c r="P413" s="23"/>
      <c r="Q413" s="23"/>
      <c r="R413" s="23"/>
      <c r="S413" s="23"/>
      <c r="T413" s="23"/>
      <c r="U413" s="23"/>
      <c r="V413" s="23"/>
      <c r="W413" s="23"/>
      <c r="X413" s="23"/>
      <c r="Y413" s="23"/>
      <c r="Z413" s="23"/>
      <c r="AA413" s="23"/>
      <c r="AB413" s="23"/>
      <c r="AC413" s="16"/>
    </row>
    <row r="414" spans="4:29">
      <c r="D414" s="16"/>
      <c r="I414" s="3"/>
      <c r="K414" s="25"/>
      <c r="L414" s="25"/>
      <c r="M414" s="25"/>
      <c r="N414" s="23"/>
      <c r="O414" s="23"/>
      <c r="P414" s="23"/>
      <c r="Q414" s="23"/>
      <c r="R414" s="23"/>
      <c r="S414" s="23"/>
      <c r="T414" s="23"/>
      <c r="U414" s="23"/>
      <c r="V414" s="23"/>
      <c r="W414" s="23"/>
      <c r="X414" s="23"/>
      <c r="Y414" s="23"/>
      <c r="Z414" s="23"/>
      <c r="AA414" s="23"/>
      <c r="AB414" s="23"/>
      <c r="AC414" s="16"/>
    </row>
    <row r="415" spans="4:29">
      <c r="D415" s="16"/>
      <c r="I415" s="3"/>
      <c r="K415" s="25"/>
      <c r="L415" s="25"/>
      <c r="M415" s="25"/>
      <c r="N415" s="23"/>
      <c r="O415" s="23"/>
      <c r="P415" s="23"/>
      <c r="Q415" s="23"/>
      <c r="R415" s="23"/>
      <c r="S415" s="23"/>
      <c r="T415" s="23"/>
      <c r="U415" s="23"/>
      <c r="V415" s="23"/>
      <c r="W415" s="23"/>
      <c r="X415" s="23"/>
      <c r="Y415" s="23"/>
      <c r="Z415" s="23"/>
      <c r="AA415" s="23"/>
      <c r="AB415" s="23"/>
      <c r="AC415" s="16"/>
    </row>
    <row r="416" spans="4:29">
      <c r="D416" s="16"/>
      <c r="I416" s="3"/>
      <c r="K416" s="25"/>
      <c r="L416" s="25"/>
      <c r="M416" s="25"/>
      <c r="N416" s="23"/>
      <c r="O416" s="23"/>
      <c r="P416" s="23"/>
      <c r="Q416" s="23"/>
      <c r="R416" s="23"/>
      <c r="S416" s="23"/>
      <c r="T416" s="23"/>
      <c r="U416" s="23"/>
      <c r="V416" s="23"/>
      <c r="W416" s="23"/>
      <c r="X416" s="23"/>
      <c r="Y416" s="23"/>
      <c r="Z416" s="23"/>
      <c r="AA416" s="23"/>
      <c r="AB416" s="23"/>
      <c r="AC416" s="16"/>
    </row>
    <row r="417" spans="4:29">
      <c r="D417" s="16"/>
      <c r="I417" s="3"/>
      <c r="K417" s="25"/>
      <c r="L417" s="25"/>
      <c r="M417" s="25"/>
      <c r="N417" s="23"/>
      <c r="O417" s="23"/>
      <c r="P417" s="23"/>
      <c r="Q417" s="23"/>
      <c r="R417" s="23"/>
      <c r="S417" s="23"/>
      <c r="T417" s="23"/>
      <c r="U417" s="23"/>
      <c r="V417" s="23"/>
      <c r="W417" s="23"/>
      <c r="X417" s="23"/>
      <c r="Y417" s="23"/>
      <c r="Z417" s="23"/>
      <c r="AA417" s="23"/>
      <c r="AB417" s="23"/>
      <c r="AC417" s="16"/>
    </row>
    <row r="418" spans="4:29">
      <c r="D418" s="16"/>
      <c r="I418" s="3"/>
      <c r="K418" s="25"/>
      <c r="L418" s="25"/>
      <c r="M418" s="25"/>
      <c r="N418" s="23"/>
      <c r="O418" s="23"/>
      <c r="P418" s="23"/>
      <c r="Q418" s="23"/>
      <c r="R418" s="23"/>
      <c r="S418" s="23"/>
      <c r="T418" s="23"/>
      <c r="U418" s="23"/>
      <c r="V418" s="23"/>
      <c r="W418" s="23"/>
      <c r="X418" s="23"/>
      <c r="Y418" s="23"/>
      <c r="Z418" s="23"/>
      <c r="AA418" s="23"/>
      <c r="AB418" s="23"/>
      <c r="AC418" s="16"/>
    </row>
    <row r="419" spans="4:29">
      <c r="D419" s="16"/>
      <c r="I419" s="3"/>
      <c r="K419" s="25"/>
      <c r="L419" s="25"/>
      <c r="M419" s="25"/>
      <c r="N419" s="23"/>
      <c r="O419" s="23"/>
      <c r="P419" s="23"/>
      <c r="Q419" s="23"/>
      <c r="R419" s="23"/>
      <c r="S419" s="23"/>
      <c r="T419" s="23"/>
      <c r="U419" s="23"/>
      <c r="V419" s="23"/>
      <c r="W419" s="23"/>
      <c r="X419" s="23"/>
      <c r="Y419" s="23"/>
      <c r="Z419" s="23"/>
      <c r="AA419" s="23"/>
      <c r="AB419" s="23"/>
      <c r="AC419" s="16"/>
    </row>
    <row r="420" spans="4:29">
      <c r="D420" s="16"/>
      <c r="I420" s="3"/>
      <c r="K420" s="25"/>
      <c r="L420" s="25"/>
      <c r="M420" s="25"/>
      <c r="N420" s="23"/>
      <c r="O420" s="23"/>
      <c r="P420" s="23"/>
      <c r="Q420" s="23"/>
      <c r="R420" s="23"/>
      <c r="S420" s="23"/>
      <c r="T420" s="23"/>
      <c r="U420" s="23"/>
      <c r="V420" s="23"/>
      <c r="W420" s="23"/>
      <c r="X420" s="23"/>
      <c r="Y420" s="23"/>
      <c r="Z420" s="23"/>
      <c r="AA420" s="23"/>
      <c r="AB420" s="23"/>
      <c r="AC420" s="16"/>
    </row>
    <row r="421" spans="4:29">
      <c r="D421" s="16"/>
      <c r="I421" s="3"/>
      <c r="K421" s="25"/>
      <c r="L421" s="25"/>
      <c r="M421" s="25"/>
      <c r="N421" s="23"/>
      <c r="O421" s="23"/>
      <c r="P421" s="23"/>
      <c r="Q421" s="23"/>
      <c r="R421" s="23"/>
      <c r="S421" s="23"/>
      <c r="T421" s="23"/>
      <c r="U421" s="23"/>
      <c r="V421" s="23"/>
      <c r="W421" s="23"/>
      <c r="X421" s="23"/>
      <c r="Y421" s="23"/>
      <c r="Z421" s="23"/>
      <c r="AA421" s="23"/>
      <c r="AB421" s="23"/>
      <c r="AC421" s="16"/>
    </row>
    <row r="422" spans="4:29">
      <c r="D422" s="16"/>
      <c r="I422" s="3"/>
      <c r="K422" s="25"/>
      <c r="L422" s="25"/>
      <c r="M422" s="25"/>
      <c r="N422" s="23"/>
      <c r="O422" s="23"/>
      <c r="P422" s="23"/>
      <c r="Q422" s="23"/>
      <c r="R422" s="23"/>
      <c r="S422" s="23"/>
      <c r="T422" s="23"/>
      <c r="U422" s="23"/>
      <c r="V422" s="23"/>
      <c r="W422" s="23"/>
      <c r="X422" s="23"/>
      <c r="Y422" s="23"/>
      <c r="Z422" s="23"/>
      <c r="AA422" s="23"/>
      <c r="AB422" s="23"/>
      <c r="AC422" s="16"/>
    </row>
    <row r="423" spans="4:29">
      <c r="D423" s="16"/>
      <c r="I423" s="3"/>
      <c r="K423" s="25"/>
      <c r="L423" s="25"/>
      <c r="M423" s="25"/>
      <c r="N423" s="23"/>
      <c r="O423" s="23"/>
      <c r="P423" s="23"/>
      <c r="Q423" s="23"/>
      <c r="R423" s="23"/>
      <c r="S423" s="23"/>
      <c r="T423" s="23"/>
      <c r="U423" s="23"/>
      <c r="V423" s="23"/>
      <c r="W423" s="23"/>
      <c r="X423" s="23"/>
      <c r="Y423" s="23"/>
      <c r="Z423" s="23"/>
      <c r="AA423" s="23"/>
      <c r="AB423" s="23"/>
      <c r="AC423" s="16"/>
    </row>
    <row r="424" spans="4:29">
      <c r="D424" s="16"/>
      <c r="I424" s="3"/>
      <c r="K424" s="25"/>
      <c r="L424" s="25"/>
      <c r="M424" s="25"/>
      <c r="N424" s="23"/>
      <c r="O424" s="23"/>
      <c r="P424" s="23"/>
      <c r="Q424" s="23"/>
      <c r="R424" s="23"/>
      <c r="S424" s="23"/>
      <c r="T424" s="23"/>
      <c r="U424" s="23"/>
      <c r="V424" s="23"/>
      <c r="W424" s="23"/>
      <c r="X424" s="23"/>
      <c r="Y424" s="23"/>
      <c r="Z424" s="23"/>
      <c r="AA424" s="23"/>
      <c r="AB424" s="23"/>
      <c r="AC424" s="16"/>
    </row>
    <row r="425" spans="4:29">
      <c r="D425" s="16"/>
      <c r="I425" s="3"/>
      <c r="K425" s="25"/>
      <c r="L425" s="25"/>
      <c r="M425" s="25"/>
      <c r="N425" s="23"/>
      <c r="O425" s="23"/>
      <c r="P425" s="23"/>
      <c r="Q425" s="23"/>
      <c r="R425" s="23"/>
      <c r="S425" s="23"/>
      <c r="T425" s="23"/>
      <c r="U425" s="23"/>
      <c r="V425" s="23"/>
      <c r="W425" s="23"/>
      <c r="X425" s="23"/>
      <c r="Y425" s="23"/>
      <c r="Z425" s="23"/>
      <c r="AA425" s="23"/>
      <c r="AB425" s="23"/>
      <c r="AC425" s="16"/>
    </row>
    <row r="426" spans="4:29">
      <c r="D426" s="16"/>
      <c r="I426" s="3"/>
      <c r="K426" s="25"/>
      <c r="L426" s="25"/>
      <c r="M426" s="25"/>
      <c r="N426" s="23"/>
      <c r="O426" s="23"/>
      <c r="P426" s="23"/>
      <c r="Q426" s="23"/>
      <c r="R426" s="23"/>
      <c r="S426" s="23"/>
      <c r="T426" s="23"/>
      <c r="U426" s="23"/>
      <c r="V426" s="23"/>
      <c r="W426" s="23"/>
      <c r="X426" s="23"/>
      <c r="Y426" s="23"/>
      <c r="Z426" s="23"/>
      <c r="AA426" s="23"/>
      <c r="AB426" s="23"/>
      <c r="AC426" s="16"/>
    </row>
    <row r="427" spans="4:29">
      <c r="D427" s="16"/>
      <c r="I427" s="3"/>
      <c r="K427" s="25"/>
      <c r="L427" s="25"/>
      <c r="M427" s="25"/>
      <c r="N427" s="23"/>
      <c r="O427" s="23"/>
      <c r="P427" s="23"/>
      <c r="Q427" s="23"/>
      <c r="R427" s="23"/>
      <c r="S427" s="23"/>
      <c r="T427" s="23"/>
      <c r="U427" s="23"/>
      <c r="V427" s="23"/>
      <c r="W427" s="23"/>
      <c r="X427" s="23"/>
      <c r="Y427" s="23"/>
      <c r="Z427" s="23"/>
      <c r="AA427" s="23"/>
      <c r="AB427" s="23"/>
      <c r="AC427" s="16"/>
    </row>
    <row r="428" spans="4:29">
      <c r="D428" s="16"/>
      <c r="I428" s="3"/>
      <c r="K428" s="25"/>
      <c r="L428" s="25"/>
      <c r="M428" s="25"/>
      <c r="N428" s="23"/>
      <c r="O428" s="23"/>
      <c r="P428" s="23"/>
      <c r="Q428" s="23"/>
      <c r="R428" s="23"/>
      <c r="S428" s="23"/>
      <c r="T428" s="23"/>
      <c r="U428" s="23"/>
      <c r="V428" s="23"/>
      <c r="W428" s="23"/>
      <c r="X428" s="23"/>
      <c r="Y428" s="23"/>
      <c r="Z428" s="23"/>
      <c r="AA428" s="23"/>
      <c r="AB428" s="23"/>
      <c r="AC428" s="16"/>
    </row>
    <row r="429" spans="4:29">
      <c r="D429" s="16"/>
      <c r="I429" s="3"/>
      <c r="K429" s="25"/>
      <c r="L429" s="25"/>
      <c r="M429" s="25"/>
      <c r="N429" s="23"/>
      <c r="O429" s="23"/>
      <c r="P429" s="23"/>
      <c r="Q429" s="23"/>
      <c r="R429" s="23"/>
      <c r="S429" s="23"/>
      <c r="T429" s="23"/>
      <c r="U429" s="23"/>
      <c r="V429" s="23"/>
      <c r="W429" s="23"/>
      <c r="X429" s="23"/>
      <c r="Y429" s="23"/>
      <c r="Z429" s="23"/>
      <c r="AA429" s="23"/>
      <c r="AB429" s="23"/>
      <c r="AC429" s="16"/>
    </row>
    <row r="430" spans="4:29">
      <c r="D430" s="16"/>
      <c r="I430" s="3"/>
      <c r="K430" s="25"/>
      <c r="L430" s="25"/>
      <c r="M430" s="25"/>
      <c r="N430" s="23"/>
      <c r="O430" s="23"/>
      <c r="P430" s="23"/>
      <c r="Q430" s="23"/>
      <c r="R430" s="23"/>
      <c r="S430" s="23"/>
      <c r="T430" s="23"/>
      <c r="U430" s="23"/>
      <c r="V430" s="23"/>
      <c r="W430" s="23"/>
      <c r="X430" s="23"/>
      <c r="Y430" s="23"/>
      <c r="Z430" s="23"/>
      <c r="AA430" s="23"/>
      <c r="AB430" s="23"/>
      <c r="AC430" s="16"/>
    </row>
    <row r="431" spans="4:29">
      <c r="D431" s="16"/>
      <c r="I431" s="3"/>
      <c r="K431" s="25"/>
      <c r="L431" s="25"/>
      <c r="M431" s="25"/>
      <c r="N431" s="23"/>
      <c r="O431" s="23"/>
      <c r="P431" s="23"/>
      <c r="Q431" s="23"/>
      <c r="R431" s="23"/>
      <c r="S431" s="23"/>
      <c r="T431" s="23"/>
      <c r="U431" s="23"/>
      <c r="V431" s="23"/>
      <c r="W431" s="23"/>
      <c r="X431" s="23"/>
      <c r="Y431" s="23"/>
      <c r="Z431" s="23"/>
      <c r="AA431" s="23"/>
      <c r="AB431" s="23"/>
      <c r="AC431" s="16"/>
    </row>
    <row r="432" spans="4:29">
      <c r="D432" s="16"/>
      <c r="I432" s="3"/>
      <c r="K432" s="25"/>
      <c r="L432" s="25"/>
      <c r="M432" s="25"/>
      <c r="N432" s="23"/>
      <c r="O432" s="23"/>
      <c r="P432" s="23"/>
      <c r="Q432" s="23"/>
      <c r="R432" s="23"/>
      <c r="S432" s="23"/>
      <c r="T432" s="23"/>
      <c r="U432" s="23"/>
      <c r="V432" s="23"/>
      <c r="W432" s="23"/>
      <c r="X432" s="23"/>
      <c r="Y432" s="23"/>
      <c r="Z432" s="23"/>
      <c r="AA432" s="23"/>
      <c r="AB432" s="23"/>
      <c r="AC432" s="16"/>
    </row>
    <row r="433" spans="4:29">
      <c r="D433" s="16"/>
      <c r="I433" s="3"/>
      <c r="K433" s="25"/>
      <c r="L433" s="25"/>
      <c r="M433" s="25"/>
      <c r="N433" s="23"/>
      <c r="O433" s="23"/>
      <c r="P433" s="23"/>
      <c r="Q433" s="23"/>
      <c r="R433" s="23"/>
      <c r="S433" s="23"/>
      <c r="T433" s="23"/>
      <c r="U433" s="23"/>
      <c r="V433" s="23"/>
      <c r="W433" s="23"/>
      <c r="X433" s="23"/>
      <c r="Y433" s="23"/>
      <c r="Z433" s="23"/>
      <c r="AA433" s="23"/>
      <c r="AB433" s="23"/>
      <c r="AC433" s="16"/>
    </row>
    <row r="434" spans="4:29">
      <c r="D434" s="16"/>
      <c r="I434" s="3"/>
      <c r="K434" s="25"/>
      <c r="L434" s="25"/>
      <c r="M434" s="25"/>
      <c r="N434" s="23"/>
      <c r="O434" s="23"/>
      <c r="P434" s="23"/>
      <c r="Q434" s="23"/>
      <c r="R434" s="23"/>
      <c r="S434" s="23"/>
      <c r="T434" s="23"/>
      <c r="U434" s="23"/>
      <c r="V434" s="23"/>
      <c r="W434" s="23"/>
      <c r="X434" s="23"/>
      <c r="Y434" s="23"/>
      <c r="Z434" s="23"/>
      <c r="AA434" s="23"/>
      <c r="AB434" s="23"/>
      <c r="AC434" s="16"/>
    </row>
    <row r="435" spans="4:29">
      <c r="D435" s="16"/>
      <c r="I435" s="3"/>
      <c r="K435" s="25"/>
      <c r="L435" s="25"/>
      <c r="M435" s="25"/>
      <c r="N435" s="23"/>
      <c r="O435" s="23"/>
      <c r="P435" s="23"/>
      <c r="Q435" s="23"/>
      <c r="R435" s="23"/>
      <c r="S435" s="23"/>
      <c r="T435" s="23"/>
      <c r="U435" s="23"/>
      <c r="V435" s="23"/>
      <c r="W435" s="23"/>
      <c r="X435" s="23"/>
      <c r="Y435" s="23"/>
      <c r="Z435" s="23"/>
      <c r="AA435" s="23"/>
      <c r="AB435" s="23"/>
      <c r="AC435" s="16"/>
    </row>
    <row r="436" spans="4:29">
      <c r="D436" s="16"/>
      <c r="I436" s="3"/>
      <c r="K436" s="25"/>
      <c r="L436" s="25"/>
      <c r="M436" s="25"/>
      <c r="N436" s="23"/>
      <c r="O436" s="23"/>
      <c r="P436" s="23"/>
      <c r="Q436" s="23"/>
      <c r="R436" s="23"/>
      <c r="S436" s="23"/>
      <c r="T436" s="23"/>
      <c r="U436" s="23"/>
      <c r="V436" s="23"/>
      <c r="W436" s="23"/>
      <c r="X436" s="23"/>
      <c r="Y436" s="23"/>
      <c r="Z436" s="23"/>
      <c r="AA436" s="23"/>
      <c r="AB436" s="23"/>
      <c r="AC436" s="16"/>
    </row>
    <row r="437" spans="4:29">
      <c r="D437" s="16"/>
      <c r="I437" s="3"/>
      <c r="K437" s="25"/>
      <c r="L437" s="25"/>
      <c r="M437" s="25"/>
      <c r="N437" s="23"/>
      <c r="O437" s="23"/>
      <c r="P437" s="23"/>
      <c r="Q437" s="23"/>
      <c r="R437" s="23"/>
      <c r="S437" s="23"/>
      <c r="T437" s="23"/>
      <c r="U437" s="23"/>
      <c r="V437" s="23"/>
      <c r="W437" s="23"/>
      <c r="X437" s="23"/>
      <c r="Y437" s="23"/>
      <c r="Z437" s="23"/>
      <c r="AA437" s="23"/>
      <c r="AB437" s="23"/>
      <c r="AC437" s="16"/>
    </row>
    <row r="438" spans="4:29">
      <c r="D438" s="16"/>
      <c r="I438" s="3"/>
      <c r="K438" s="25"/>
      <c r="L438" s="25"/>
      <c r="M438" s="25"/>
      <c r="N438" s="23"/>
      <c r="O438" s="23"/>
      <c r="P438" s="23"/>
      <c r="Q438" s="23"/>
      <c r="R438" s="23"/>
      <c r="S438" s="23"/>
      <c r="T438" s="23"/>
      <c r="U438" s="23"/>
      <c r="V438" s="23"/>
      <c r="W438" s="23"/>
      <c r="X438" s="23"/>
      <c r="Y438" s="23"/>
      <c r="Z438" s="23"/>
      <c r="AA438" s="23"/>
      <c r="AB438" s="23"/>
      <c r="AC438" s="16"/>
    </row>
    <row r="439" spans="4:29">
      <c r="D439" s="16"/>
      <c r="I439" s="3"/>
      <c r="K439" s="25"/>
      <c r="L439" s="25"/>
      <c r="M439" s="25"/>
      <c r="N439" s="23"/>
      <c r="O439" s="23"/>
      <c r="P439" s="23"/>
      <c r="Q439" s="23"/>
      <c r="R439" s="23"/>
      <c r="S439" s="23"/>
      <c r="T439" s="23"/>
      <c r="U439" s="23"/>
      <c r="V439" s="23"/>
      <c r="W439" s="23"/>
      <c r="X439" s="23"/>
      <c r="Y439" s="23"/>
      <c r="Z439" s="23"/>
      <c r="AA439" s="23"/>
      <c r="AB439" s="23"/>
      <c r="AC439" s="16"/>
    </row>
    <row r="440" spans="4:29">
      <c r="D440" s="16"/>
      <c r="I440" s="3"/>
      <c r="K440" s="25"/>
      <c r="L440" s="25"/>
      <c r="M440" s="25"/>
      <c r="N440" s="23"/>
      <c r="O440" s="23"/>
      <c r="P440" s="23"/>
      <c r="Q440" s="23"/>
      <c r="R440" s="23"/>
      <c r="S440" s="23"/>
      <c r="T440" s="23"/>
      <c r="U440" s="23"/>
      <c r="V440" s="23"/>
      <c r="W440" s="23"/>
      <c r="X440" s="23"/>
      <c r="Y440" s="23"/>
      <c r="Z440" s="23"/>
      <c r="AA440" s="23"/>
      <c r="AB440" s="23"/>
      <c r="AC440" s="16"/>
    </row>
    <row r="441" spans="4:29">
      <c r="D441" s="16"/>
      <c r="I441" s="3"/>
      <c r="K441" s="25"/>
      <c r="L441" s="25"/>
      <c r="M441" s="25"/>
      <c r="N441" s="23"/>
      <c r="O441" s="23"/>
      <c r="P441" s="23"/>
      <c r="Q441" s="23"/>
      <c r="R441" s="23"/>
      <c r="S441" s="23"/>
      <c r="T441" s="23"/>
      <c r="U441" s="23"/>
      <c r="V441" s="23"/>
      <c r="W441" s="23"/>
      <c r="X441" s="23"/>
      <c r="Y441" s="23"/>
      <c r="Z441" s="23"/>
      <c r="AA441" s="23"/>
      <c r="AB441" s="23"/>
      <c r="AC441" s="16"/>
    </row>
    <row r="442" spans="4:29">
      <c r="D442" s="16"/>
      <c r="I442" s="3"/>
      <c r="K442" s="25"/>
      <c r="L442" s="25"/>
      <c r="M442" s="25"/>
      <c r="N442" s="23"/>
      <c r="O442" s="23"/>
      <c r="P442" s="23"/>
      <c r="Q442" s="23"/>
      <c r="R442" s="23"/>
      <c r="S442" s="23"/>
      <c r="T442" s="23"/>
      <c r="U442" s="23"/>
      <c r="V442" s="23"/>
      <c r="W442" s="23"/>
      <c r="X442" s="23"/>
      <c r="Y442" s="23"/>
      <c r="Z442" s="23"/>
      <c r="AA442" s="23"/>
      <c r="AB442" s="23"/>
      <c r="AC442" s="16"/>
    </row>
    <row r="443" spans="4:29">
      <c r="D443" s="16"/>
      <c r="I443" s="3"/>
      <c r="K443" s="25"/>
      <c r="L443" s="25"/>
      <c r="M443" s="25"/>
      <c r="N443" s="23"/>
      <c r="O443" s="23"/>
      <c r="P443" s="23"/>
      <c r="Q443" s="23"/>
      <c r="R443" s="23"/>
      <c r="S443" s="23"/>
      <c r="T443" s="23"/>
      <c r="U443" s="23"/>
      <c r="V443" s="23"/>
      <c r="W443" s="23"/>
      <c r="X443" s="23"/>
      <c r="Y443" s="23"/>
      <c r="Z443" s="23"/>
      <c r="AA443" s="23"/>
      <c r="AB443" s="23"/>
      <c r="AC443" s="16"/>
    </row>
    <row r="444" spans="4:29">
      <c r="D444" s="16"/>
      <c r="I444" s="3"/>
      <c r="K444" s="25"/>
      <c r="L444" s="25"/>
      <c r="M444" s="25"/>
      <c r="N444" s="23"/>
      <c r="O444" s="23"/>
      <c r="P444" s="23"/>
      <c r="Q444" s="23"/>
      <c r="R444" s="23"/>
      <c r="S444" s="23"/>
      <c r="T444" s="23"/>
      <c r="U444" s="23"/>
      <c r="V444" s="23"/>
      <c r="W444" s="23"/>
      <c r="X444" s="23"/>
      <c r="Y444" s="23"/>
      <c r="Z444" s="23"/>
      <c r="AA444" s="23"/>
      <c r="AB444" s="23"/>
      <c r="AC444" s="16"/>
    </row>
    <row r="445" spans="4:29">
      <c r="D445" s="16"/>
      <c r="I445" s="3"/>
      <c r="K445" s="25"/>
      <c r="L445" s="25"/>
      <c r="M445" s="25"/>
      <c r="N445" s="23"/>
      <c r="O445" s="23"/>
      <c r="P445" s="23"/>
      <c r="Q445" s="23"/>
      <c r="R445" s="23"/>
      <c r="S445" s="23"/>
      <c r="T445" s="23"/>
      <c r="U445" s="23"/>
      <c r="V445" s="23"/>
      <c r="W445" s="23"/>
      <c r="X445" s="23"/>
      <c r="Y445" s="23"/>
      <c r="Z445" s="23"/>
      <c r="AA445" s="23"/>
      <c r="AB445" s="23"/>
      <c r="AC445" s="16"/>
    </row>
    <row r="446" spans="4:29">
      <c r="D446" s="16"/>
      <c r="I446" s="3"/>
      <c r="K446" s="25"/>
      <c r="L446" s="25"/>
      <c r="M446" s="25"/>
      <c r="N446" s="23"/>
      <c r="O446" s="23"/>
      <c r="P446" s="23"/>
      <c r="Q446" s="23"/>
      <c r="R446" s="23"/>
      <c r="S446" s="23"/>
      <c r="T446" s="23"/>
      <c r="U446" s="23"/>
      <c r="V446" s="23"/>
      <c r="W446" s="23"/>
      <c r="X446" s="23"/>
      <c r="Y446" s="23"/>
      <c r="Z446" s="23"/>
      <c r="AA446" s="23"/>
      <c r="AB446" s="23"/>
      <c r="AC446" s="16"/>
    </row>
    <row r="447" spans="4:29">
      <c r="D447" s="16"/>
      <c r="I447" s="3"/>
      <c r="K447" s="25"/>
      <c r="L447" s="25"/>
      <c r="M447" s="25"/>
      <c r="N447" s="23"/>
      <c r="O447" s="23"/>
      <c r="P447" s="23"/>
      <c r="Q447" s="23"/>
      <c r="R447" s="23"/>
      <c r="S447" s="23"/>
      <c r="T447" s="23"/>
      <c r="U447" s="23"/>
      <c r="V447" s="23"/>
      <c r="W447" s="23"/>
      <c r="X447" s="23"/>
      <c r="Y447" s="23"/>
      <c r="Z447" s="23"/>
      <c r="AA447" s="23"/>
      <c r="AB447" s="23"/>
      <c r="AC447" s="16"/>
    </row>
    <row r="448" spans="4:29">
      <c r="D448" s="16"/>
      <c r="I448" s="3"/>
      <c r="K448" s="25"/>
      <c r="L448" s="25"/>
      <c r="M448" s="25"/>
      <c r="N448" s="23"/>
      <c r="O448" s="23"/>
      <c r="P448" s="23"/>
      <c r="Q448" s="23"/>
      <c r="R448" s="23"/>
      <c r="S448" s="23"/>
      <c r="T448" s="23"/>
      <c r="U448" s="23"/>
      <c r="V448" s="23"/>
      <c r="W448" s="23"/>
      <c r="X448" s="23"/>
      <c r="Y448" s="23"/>
      <c r="Z448" s="23"/>
      <c r="AA448" s="23"/>
      <c r="AB448" s="23"/>
      <c r="AC448" s="16"/>
    </row>
    <row r="449" spans="4:29">
      <c r="D449" s="16"/>
      <c r="I449" s="3"/>
      <c r="K449" s="25"/>
      <c r="L449" s="25"/>
      <c r="M449" s="25"/>
      <c r="N449" s="23"/>
      <c r="O449" s="23"/>
      <c r="P449" s="23"/>
      <c r="Q449" s="23"/>
      <c r="R449" s="23"/>
      <c r="S449" s="23"/>
      <c r="T449" s="23"/>
      <c r="U449" s="23"/>
      <c r="V449" s="23"/>
      <c r="W449" s="23"/>
      <c r="X449" s="23"/>
      <c r="Y449" s="23"/>
      <c r="Z449" s="23"/>
      <c r="AA449" s="23"/>
      <c r="AB449" s="23"/>
      <c r="AC449" s="16"/>
    </row>
    <row r="450" spans="4:29">
      <c r="D450" s="16"/>
      <c r="I450" s="3"/>
      <c r="K450" s="25"/>
      <c r="L450" s="25"/>
      <c r="M450" s="25"/>
      <c r="N450" s="23"/>
      <c r="O450" s="23"/>
      <c r="P450" s="23"/>
      <c r="Q450" s="23"/>
      <c r="R450" s="23"/>
      <c r="S450" s="23"/>
      <c r="T450" s="23"/>
      <c r="U450" s="23"/>
      <c r="V450" s="23"/>
      <c r="W450" s="23"/>
      <c r="X450" s="23"/>
      <c r="Y450" s="23"/>
      <c r="Z450" s="23"/>
      <c r="AA450" s="23"/>
      <c r="AB450" s="23"/>
      <c r="AC450" s="16"/>
    </row>
    <row r="451" spans="4:29">
      <c r="D451" s="16"/>
      <c r="I451" s="3"/>
      <c r="K451" s="25"/>
      <c r="L451" s="25"/>
      <c r="M451" s="25"/>
      <c r="N451" s="23"/>
      <c r="O451" s="23"/>
      <c r="P451" s="23"/>
      <c r="Q451" s="23"/>
      <c r="R451" s="23"/>
      <c r="S451" s="23"/>
      <c r="T451" s="23"/>
      <c r="U451" s="23"/>
      <c r="V451" s="23"/>
      <c r="W451" s="23"/>
      <c r="X451" s="23"/>
      <c r="Y451" s="23"/>
      <c r="Z451" s="23"/>
      <c r="AA451" s="23"/>
      <c r="AB451" s="23"/>
      <c r="AC451" s="16"/>
    </row>
    <row r="452" spans="4:29">
      <c r="D452" s="16"/>
      <c r="I452" s="3"/>
      <c r="K452" s="25"/>
      <c r="L452" s="25"/>
      <c r="M452" s="25"/>
      <c r="N452" s="23"/>
      <c r="O452" s="23"/>
      <c r="P452" s="23"/>
      <c r="Q452" s="23"/>
      <c r="R452" s="23"/>
      <c r="S452" s="23"/>
      <c r="T452" s="23"/>
      <c r="U452" s="23"/>
      <c r="V452" s="23"/>
      <c r="W452" s="23"/>
      <c r="X452" s="23"/>
      <c r="Y452" s="23"/>
      <c r="Z452" s="23"/>
      <c r="AA452" s="23"/>
      <c r="AB452" s="23"/>
      <c r="AC452" s="16"/>
    </row>
    <row r="453" spans="4:29">
      <c r="D453" s="16"/>
      <c r="I453" s="3"/>
      <c r="K453" s="25"/>
      <c r="L453" s="25"/>
      <c r="M453" s="25"/>
      <c r="N453" s="23"/>
      <c r="O453" s="23"/>
      <c r="P453" s="23"/>
      <c r="Q453" s="23"/>
      <c r="R453" s="23"/>
      <c r="S453" s="23"/>
      <c r="T453" s="23"/>
      <c r="U453" s="23"/>
      <c r="V453" s="23"/>
      <c r="W453" s="23"/>
      <c r="X453" s="23"/>
      <c r="Y453" s="23"/>
      <c r="Z453" s="23"/>
      <c r="AA453" s="23"/>
      <c r="AB453" s="23"/>
      <c r="AC453" s="16"/>
    </row>
    <row r="454" spans="4:29">
      <c r="D454" s="16"/>
      <c r="I454" s="3"/>
      <c r="K454" s="15"/>
      <c r="L454" s="15"/>
      <c r="M454" s="15"/>
      <c r="N454" s="6"/>
      <c r="O454" s="6"/>
      <c r="P454" s="6"/>
      <c r="Q454" s="6"/>
      <c r="R454" s="6"/>
      <c r="S454" s="6"/>
      <c r="T454" s="6"/>
      <c r="U454" s="6"/>
      <c r="V454" s="6"/>
      <c r="W454" s="6"/>
      <c r="X454" s="6"/>
      <c r="Y454" s="6"/>
      <c r="Z454" s="6"/>
      <c r="AA454" s="6"/>
      <c r="AB454" s="6"/>
      <c r="AC454" s="16"/>
    </row>
    <row r="455" spans="4:29">
      <c r="D455" s="16"/>
      <c r="I455" s="3"/>
      <c r="K455" s="15"/>
      <c r="L455" s="15"/>
      <c r="M455" s="15"/>
      <c r="N455" s="6"/>
      <c r="O455" s="6"/>
      <c r="P455" s="6"/>
      <c r="Q455" s="6"/>
      <c r="R455" s="6"/>
      <c r="S455" s="6"/>
      <c r="T455" s="6"/>
      <c r="U455" s="6"/>
      <c r="V455" s="6"/>
      <c r="W455" s="6"/>
      <c r="X455" s="6"/>
      <c r="Y455" s="6"/>
      <c r="Z455" s="6"/>
      <c r="AA455" s="6"/>
      <c r="AB455" s="6"/>
      <c r="AC455" s="16"/>
    </row>
    <row r="456" spans="4:29">
      <c r="D456" s="16"/>
      <c r="I456" s="3"/>
      <c r="K456" s="15"/>
      <c r="L456" s="15"/>
      <c r="M456" s="15"/>
      <c r="N456" s="6"/>
      <c r="O456" s="6"/>
      <c r="P456" s="6"/>
      <c r="Q456" s="6"/>
      <c r="R456" s="6"/>
      <c r="S456" s="6"/>
      <c r="T456" s="6"/>
      <c r="U456" s="6"/>
      <c r="V456" s="6"/>
      <c r="W456" s="6"/>
      <c r="X456" s="6"/>
      <c r="Y456" s="6"/>
      <c r="Z456" s="6"/>
      <c r="AA456" s="6"/>
      <c r="AB456" s="6"/>
      <c r="AC456" s="16"/>
    </row>
    <row r="457" spans="4:29">
      <c r="D457" s="16"/>
      <c r="I457" s="3"/>
      <c r="K457" s="15"/>
      <c r="L457" s="15"/>
      <c r="M457" s="15"/>
      <c r="N457" s="6"/>
      <c r="O457" s="6"/>
      <c r="P457" s="6"/>
      <c r="Q457" s="6"/>
      <c r="R457" s="6"/>
      <c r="S457" s="6"/>
      <c r="T457" s="6"/>
      <c r="U457" s="6"/>
      <c r="V457" s="6"/>
      <c r="W457" s="6"/>
      <c r="X457" s="6"/>
      <c r="Y457" s="6"/>
      <c r="Z457" s="6"/>
      <c r="AA457" s="6"/>
      <c r="AB457" s="6"/>
      <c r="AC457" s="16"/>
    </row>
    <row r="458" spans="4:29">
      <c r="D458" s="16"/>
      <c r="I458" s="3"/>
      <c r="K458" s="15"/>
      <c r="L458" s="15"/>
      <c r="M458" s="15"/>
      <c r="N458" s="6"/>
      <c r="O458" s="6"/>
      <c r="P458" s="6"/>
      <c r="Q458" s="6"/>
      <c r="R458" s="6"/>
      <c r="S458" s="6"/>
      <c r="T458" s="6"/>
      <c r="U458" s="6"/>
      <c r="V458" s="6"/>
      <c r="W458" s="6"/>
      <c r="X458" s="6"/>
      <c r="Y458" s="6"/>
      <c r="Z458" s="6"/>
      <c r="AA458" s="6"/>
      <c r="AB458" s="6"/>
      <c r="AC458" s="16"/>
    </row>
    <row r="459" spans="4:29">
      <c r="D459" s="16"/>
      <c r="I459" s="3"/>
      <c r="K459" s="15"/>
      <c r="L459" s="15"/>
      <c r="M459" s="15"/>
      <c r="N459" s="6"/>
      <c r="O459" s="6"/>
      <c r="P459" s="6"/>
      <c r="Q459" s="6"/>
      <c r="R459" s="6"/>
      <c r="S459" s="6"/>
      <c r="T459" s="6"/>
      <c r="U459" s="6"/>
      <c r="V459" s="6"/>
      <c r="W459" s="6"/>
      <c r="X459" s="6"/>
      <c r="Y459" s="6"/>
      <c r="Z459" s="6"/>
      <c r="AA459" s="6"/>
      <c r="AB459" s="6"/>
      <c r="AC459" s="16"/>
    </row>
    <row r="460" spans="4:29">
      <c r="D460" s="16"/>
      <c r="I460" s="3"/>
      <c r="K460" s="15"/>
      <c r="L460" s="15"/>
      <c r="M460" s="15"/>
      <c r="N460" s="6"/>
      <c r="O460" s="6"/>
      <c r="P460" s="6"/>
      <c r="Q460" s="6"/>
      <c r="R460" s="6"/>
      <c r="S460" s="6"/>
      <c r="T460" s="6"/>
      <c r="U460" s="6"/>
      <c r="V460" s="6"/>
      <c r="W460" s="6"/>
      <c r="X460" s="6"/>
      <c r="Y460" s="6"/>
      <c r="Z460" s="6"/>
      <c r="AA460" s="6"/>
      <c r="AB460" s="6"/>
      <c r="AC460" s="16"/>
    </row>
    <row r="461" spans="4:29">
      <c r="D461" s="16"/>
      <c r="I461" s="3"/>
      <c r="K461" s="15"/>
      <c r="L461" s="15"/>
      <c r="M461" s="15"/>
      <c r="N461" s="6"/>
      <c r="O461" s="6"/>
      <c r="P461" s="6"/>
      <c r="Q461" s="6"/>
      <c r="R461" s="6"/>
      <c r="S461" s="6"/>
      <c r="T461" s="6"/>
      <c r="U461" s="6"/>
      <c r="V461" s="6"/>
      <c r="W461" s="6"/>
      <c r="X461" s="6"/>
      <c r="Y461" s="6"/>
      <c r="Z461" s="6"/>
      <c r="AA461" s="6"/>
      <c r="AB461" s="6"/>
      <c r="AC461" s="16"/>
    </row>
    <row r="462" spans="4:29">
      <c r="D462" s="16"/>
      <c r="I462" s="3"/>
      <c r="K462" s="15"/>
      <c r="L462" s="15"/>
      <c r="M462" s="15"/>
      <c r="N462" s="6"/>
      <c r="O462" s="6"/>
      <c r="P462" s="6"/>
      <c r="Q462" s="6"/>
      <c r="R462" s="6"/>
      <c r="S462" s="6"/>
      <c r="T462" s="6"/>
      <c r="U462" s="6"/>
      <c r="V462" s="6"/>
      <c r="W462" s="6"/>
      <c r="X462" s="6"/>
      <c r="Y462" s="6"/>
      <c r="Z462" s="6"/>
      <c r="AA462" s="6"/>
      <c r="AB462" s="6"/>
      <c r="AC462" s="16"/>
    </row>
    <row r="463" spans="4:29">
      <c r="D463" s="16"/>
      <c r="I463" s="3"/>
      <c r="K463" s="15"/>
      <c r="L463" s="15"/>
      <c r="M463" s="15"/>
      <c r="N463" s="6"/>
      <c r="O463" s="6"/>
      <c r="P463" s="6"/>
      <c r="Q463" s="6"/>
      <c r="R463" s="6"/>
      <c r="S463" s="6"/>
      <c r="T463" s="6"/>
      <c r="U463" s="6"/>
      <c r="V463" s="6"/>
      <c r="W463" s="6"/>
      <c r="X463" s="6"/>
      <c r="Y463" s="6"/>
      <c r="Z463" s="6"/>
      <c r="AA463" s="6"/>
      <c r="AB463" s="6"/>
      <c r="AC463" s="16"/>
    </row>
    <row r="464" spans="4:29">
      <c r="D464" s="16"/>
      <c r="I464" s="3"/>
      <c r="K464" s="15"/>
      <c r="L464" s="15"/>
      <c r="M464" s="15"/>
      <c r="N464" s="6"/>
      <c r="O464" s="6"/>
      <c r="P464" s="6"/>
      <c r="Q464" s="6"/>
      <c r="R464" s="6"/>
      <c r="S464" s="6"/>
      <c r="T464" s="6"/>
      <c r="U464" s="6"/>
      <c r="V464" s="6"/>
      <c r="W464" s="6"/>
      <c r="X464" s="6"/>
      <c r="Y464" s="6"/>
      <c r="Z464" s="6"/>
      <c r="AA464" s="6"/>
      <c r="AB464" s="6"/>
      <c r="AC464" s="16"/>
    </row>
    <row r="465" spans="4:29">
      <c r="D465" s="16"/>
      <c r="I465" s="3"/>
      <c r="K465" s="15"/>
      <c r="L465" s="15"/>
      <c r="M465" s="15"/>
      <c r="N465" s="6"/>
      <c r="O465" s="6"/>
      <c r="P465" s="6"/>
      <c r="Q465" s="6"/>
      <c r="R465" s="6"/>
      <c r="S465" s="6"/>
      <c r="T465" s="6"/>
      <c r="U465" s="6"/>
      <c r="V465" s="6"/>
      <c r="W465" s="6"/>
      <c r="X465" s="6"/>
      <c r="Y465" s="6"/>
      <c r="Z465" s="6"/>
      <c r="AA465" s="6"/>
      <c r="AB465" s="6"/>
      <c r="AC465" s="16"/>
    </row>
    <row r="466" spans="4:29">
      <c r="D466" s="16"/>
      <c r="I466" s="3"/>
      <c r="K466" s="15"/>
      <c r="L466" s="15"/>
      <c r="M466" s="15"/>
      <c r="N466" s="6"/>
      <c r="O466" s="6"/>
      <c r="P466" s="6"/>
      <c r="Q466" s="6"/>
      <c r="R466" s="6"/>
      <c r="S466" s="6"/>
      <c r="T466" s="6"/>
      <c r="U466" s="6"/>
      <c r="V466" s="6"/>
      <c r="W466" s="6"/>
      <c r="X466" s="6"/>
      <c r="Y466" s="6"/>
      <c r="Z466" s="6"/>
      <c r="AA466" s="6"/>
      <c r="AB466" s="6"/>
      <c r="AC466" s="16"/>
    </row>
    <row r="467" spans="4:29">
      <c r="D467" s="16"/>
      <c r="I467" s="3"/>
      <c r="K467" s="15"/>
      <c r="L467" s="15"/>
      <c r="M467" s="15"/>
      <c r="N467" s="6"/>
      <c r="O467" s="6"/>
      <c r="P467" s="6"/>
      <c r="Q467" s="6"/>
      <c r="R467" s="6"/>
      <c r="S467" s="6"/>
      <c r="T467" s="6"/>
      <c r="U467" s="6"/>
      <c r="V467" s="6"/>
      <c r="W467" s="6"/>
      <c r="X467" s="6"/>
      <c r="Y467" s="6"/>
      <c r="Z467" s="6"/>
      <c r="AA467" s="6"/>
      <c r="AB467" s="6"/>
      <c r="AC467" s="16"/>
    </row>
    <row r="468" spans="4:29">
      <c r="D468" s="16"/>
      <c r="I468" s="3"/>
      <c r="K468" s="15"/>
      <c r="L468" s="15"/>
      <c r="M468" s="15"/>
      <c r="N468" s="6"/>
      <c r="O468" s="6"/>
      <c r="P468" s="6"/>
      <c r="Q468" s="6"/>
      <c r="R468" s="6"/>
      <c r="S468" s="6"/>
      <c r="T468" s="6"/>
      <c r="U468" s="6"/>
      <c r="V468" s="6"/>
      <c r="W468" s="6"/>
      <c r="X468" s="6"/>
      <c r="Y468" s="6"/>
      <c r="Z468" s="6"/>
      <c r="AA468" s="6"/>
      <c r="AB468" s="6"/>
      <c r="AC468" s="16"/>
    </row>
    <row r="469" spans="4:29">
      <c r="D469" s="16"/>
      <c r="I469" s="3"/>
      <c r="K469" s="15"/>
      <c r="L469" s="15"/>
      <c r="M469" s="15"/>
      <c r="N469" s="6"/>
      <c r="O469" s="6"/>
      <c r="P469" s="6"/>
      <c r="Q469" s="6"/>
      <c r="R469" s="6"/>
      <c r="S469" s="6"/>
      <c r="T469" s="6"/>
      <c r="U469" s="6"/>
      <c r="V469" s="6"/>
      <c r="W469" s="6"/>
      <c r="X469" s="6"/>
      <c r="Y469" s="6"/>
      <c r="Z469" s="6"/>
      <c r="AA469" s="6"/>
      <c r="AB469" s="6"/>
      <c r="AC469" s="16"/>
    </row>
    <row r="470" spans="4:29">
      <c r="D470" s="16"/>
      <c r="I470" s="3"/>
      <c r="K470" s="15"/>
      <c r="L470" s="15"/>
      <c r="M470" s="15"/>
      <c r="N470" s="6"/>
      <c r="O470" s="6"/>
      <c r="P470" s="6"/>
      <c r="Q470" s="6"/>
      <c r="R470" s="6"/>
      <c r="S470" s="6"/>
      <c r="T470" s="6"/>
      <c r="U470" s="6"/>
      <c r="V470" s="6"/>
      <c r="W470" s="6"/>
      <c r="X470" s="6"/>
      <c r="Y470" s="6"/>
      <c r="Z470" s="6"/>
      <c r="AA470" s="6"/>
      <c r="AB470" s="6"/>
      <c r="AC470" s="16"/>
    </row>
    <row r="471" spans="4:29">
      <c r="D471" s="16"/>
      <c r="I471" s="3"/>
      <c r="K471" s="15"/>
      <c r="L471" s="15"/>
      <c r="M471" s="15"/>
      <c r="N471" s="6"/>
      <c r="O471" s="6"/>
      <c r="P471" s="6"/>
      <c r="Q471" s="6"/>
      <c r="R471" s="6"/>
      <c r="S471" s="6"/>
      <c r="T471" s="6"/>
      <c r="U471" s="6"/>
      <c r="V471" s="6"/>
      <c r="W471" s="6"/>
      <c r="X471" s="6"/>
      <c r="Y471" s="6"/>
      <c r="Z471" s="6"/>
      <c r="AA471" s="6"/>
      <c r="AB471" s="6"/>
      <c r="AC471" s="16"/>
    </row>
    <row r="472" spans="4:29">
      <c r="D472" s="16"/>
      <c r="I472" s="3"/>
      <c r="K472" s="15"/>
      <c r="L472" s="15"/>
      <c r="M472" s="15"/>
      <c r="N472" s="6"/>
      <c r="O472" s="6"/>
      <c r="P472" s="6"/>
      <c r="Q472" s="6"/>
      <c r="R472" s="6"/>
      <c r="S472" s="6"/>
      <c r="T472" s="6"/>
      <c r="U472" s="6"/>
      <c r="V472" s="6"/>
      <c r="W472" s="6"/>
      <c r="X472" s="6"/>
      <c r="Y472" s="6"/>
      <c r="Z472" s="6"/>
      <c r="AA472" s="6"/>
      <c r="AB472" s="6"/>
      <c r="AC472" s="16"/>
    </row>
    <row r="473" spans="4:29">
      <c r="D473" s="16"/>
      <c r="I473" s="3"/>
      <c r="K473" s="15"/>
      <c r="L473" s="15"/>
      <c r="M473" s="15"/>
      <c r="N473" s="6"/>
      <c r="O473" s="6"/>
      <c r="P473" s="6"/>
      <c r="Q473" s="6"/>
      <c r="R473" s="6"/>
      <c r="S473" s="6"/>
      <c r="T473" s="6"/>
      <c r="U473" s="6"/>
      <c r="V473" s="6"/>
      <c r="W473" s="6"/>
      <c r="X473" s="6"/>
      <c r="Y473" s="6"/>
      <c r="Z473" s="6"/>
      <c r="AA473" s="6"/>
      <c r="AB473" s="6"/>
      <c r="AC473" s="16"/>
    </row>
    <row r="474" spans="4:29">
      <c r="D474" s="16"/>
      <c r="I474" s="3"/>
      <c r="K474" s="15"/>
      <c r="L474" s="15"/>
      <c r="M474" s="15"/>
      <c r="N474" s="6"/>
      <c r="O474" s="6"/>
      <c r="P474" s="6"/>
      <c r="Q474" s="6"/>
      <c r="R474" s="6"/>
      <c r="S474" s="6"/>
      <c r="T474" s="6"/>
      <c r="U474" s="6"/>
      <c r="V474" s="6"/>
      <c r="W474" s="6"/>
      <c r="X474" s="6"/>
      <c r="Y474" s="6"/>
      <c r="Z474" s="6"/>
      <c r="AA474" s="6"/>
      <c r="AB474" s="6"/>
      <c r="AC474" s="16"/>
    </row>
    <row r="475" spans="4:29">
      <c r="D475" s="16"/>
      <c r="I475" s="3"/>
      <c r="K475" s="15"/>
      <c r="L475" s="15"/>
      <c r="M475" s="15"/>
      <c r="N475" s="6"/>
      <c r="O475" s="6"/>
      <c r="P475" s="6"/>
      <c r="Q475" s="6"/>
      <c r="R475" s="6"/>
      <c r="S475" s="6"/>
      <c r="T475" s="6"/>
      <c r="U475" s="6"/>
      <c r="V475" s="6"/>
      <c r="W475" s="6"/>
      <c r="X475" s="6"/>
      <c r="Y475" s="6"/>
      <c r="Z475" s="6"/>
      <c r="AA475" s="6"/>
      <c r="AB475" s="6"/>
      <c r="AC475" s="16"/>
    </row>
    <row r="476" spans="4:29">
      <c r="D476" s="16"/>
      <c r="I476" s="3"/>
      <c r="K476" s="15"/>
      <c r="L476" s="15"/>
      <c r="M476" s="15"/>
      <c r="N476" s="6"/>
      <c r="O476" s="6"/>
      <c r="P476" s="6"/>
      <c r="Q476" s="6"/>
      <c r="R476" s="6"/>
      <c r="S476" s="6"/>
      <c r="T476" s="6"/>
      <c r="U476" s="6"/>
      <c r="V476" s="6"/>
      <c r="W476" s="6"/>
      <c r="X476" s="6"/>
      <c r="Y476" s="6"/>
      <c r="Z476" s="6"/>
      <c r="AA476" s="6"/>
      <c r="AB476" s="6"/>
      <c r="AC476" s="16"/>
    </row>
    <row r="477" spans="4:29">
      <c r="D477" s="16"/>
      <c r="I477" s="3"/>
      <c r="K477" s="15"/>
      <c r="L477" s="15"/>
      <c r="M477" s="15"/>
      <c r="N477" s="6"/>
      <c r="O477" s="6"/>
      <c r="P477" s="6"/>
      <c r="Q477" s="6"/>
      <c r="R477" s="6"/>
      <c r="S477" s="6"/>
      <c r="T477" s="6"/>
      <c r="U477" s="6"/>
      <c r="V477" s="6"/>
      <c r="W477" s="6"/>
      <c r="X477" s="6"/>
      <c r="Y477" s="6"/>
      <c r="Z477" s="6"/>
      <c r="AA477" s="6"/>
      <c r="AB477" s="6"/>
      <c r="AC477" s="16"/>
    </row>
    <row r="478" spans="4:29">
      <c r="D478" s="16"/>
      <c r="I478" s="3"/>
      <c r="K478" s="15"/>
      <c r="L478" s="15"/>
      <c r="M478" s="15"/>
      <c r="N478" s="6"/>
      <c r="O478" s="6"/>
      <c r="P478" s="6"/>
      <c r="Q478" s="6"/>
      <c r="R478" s="6"/>
      <c r="S478" s="6"/>
      <c r="T478" s="6"/>
      <c r="U478" s="6"/>
      <c r="V478" s="6"/>
      <c r="W478" s="6"/>
      <c r="X478" s="6"/>
      <c r="Y478" s="6"/>
      <c r="Z478" s="6"/>
      <c r="AA478" s="6"/>
      <c r="AB478" s="6"/>
      <c r="AC478" s="16"/>
    </row>
    <row r="479" spans="4:29">
      <c r="D479" s="16"/>
      <c r="I479" s="3"/>
      <c r="K479" s="15"/>
      <c r="L479" s="15"/>
      <c r="M479" s="15"/>
      <c r="N479" s="6"/>
      <c r="O479" s="6"/>
      <c r="P479" s="6"/>
      <c r="Q479" s="6"/>
      <c r="R479" s="6"/>
      <c r="S479" s="6"/>
      <c r="T479" s="6"/>
      <c r="U479" s="6"/>
      <c r="V479" s="6"/>
      <c r="W479" s="6"/>
      <c r="X479" s="6"/>
      <c r="Y479" s="6"/>
      <c r="Z479" s="6"/>
      <c r="AA479" s="6"/>
      <c r="AB479" s="6"/>
      <c r="AC479" s="16"/>
    </row>
    <row r="480" spans="4:29">
      <c r="D480" s="16"/>
      <c r="I480" s="3"/>
      <c r="K480" s="15"/>
      <c r="L480" s="15"/>
      <c r="M480" s="15"/>
      <c r="N480" s="6"/>
      <c r="O480" s="6"/>
      <c r="P480" s="6"/>
      <c r="Q480" s="6"/>
      <c r="R480" s="6"/>
      <c r="S480" s="6"/>
      <c r="T480" s="6"/>
      <c r="U480" s="6"/>
      <c r="V480" s="6"/>
      <c r="W480" s="6"/>
      <c r="X480" s="6"/>
      <c r="Y480" s="6"/>
      <c r="Z480" s="6"/>
      <c r="AA480" s="6"/>
      <c r="AB480" s="6"/>
      <c r="AC480" s="16"/>
    </row>
    <row r="481" spans="4:29">
      <c r="D481" s="16"/>
      <c r="I481" s="3"/>
      <c r="K481" s="15"/>
      <c r="L481" s="15"/>
      <c r="M481" s="15"/>
      <c r="N481" s="6"/>
      <c r="O481" s="6"/>
      <c r="P481" s="6"/>
      <c r="Q481" s="6"/>
      <c r="R481" s="6"/>
      <c r="S481" s="6"/>
      <c r="T481" s="6"/>
      <c r="U481" s="6"/>
      <c r="V481" s="6"/>
      <c r="W481" s="6"/>
      <c r="X481" s="6"/>
      <c r="Y481" s="6"/>
      <c r="Z481" s="6"/>
      <c r="AA481" s="6"/>
      <c r="AB481" s="6"/>
      <c r="AC481" s="16"/>
    </row>
    <row r="482" spans="4:29">
      <c r="D482" s="16"/>
      <c r="I482" s="3"/>
      <c r="K482" s="15"/>
      <c r="L482" s="15"/>
      <c r="M482" s="15"/>
      <c r="N482" s="6"/>
      <c r="O482" s="6"/>
      <c r="P482" s="6"/>
      <c r="Q482" s="6"/>
      <c r="R482" s="6"/>
      <c r="S482" s="6"/>
      <c r="T482" s="6"/>
      <c r="U482" s="6"/>
      <c r="V482" s="6"/>
      <c r="W482" s="6"/>
      <c r="X482" s="6"/>
      <c r="Y482" s="6"/>
      <c r="Z482" s="6"/>
      <c r="AA482" s="6"/>
      <c r="AB482" s="6"/>
      <c r="AC482" s="16"/>
    </row>
    <row r="483" spans="4:29">
      <c r="D483" s="16"/>
      <c r="I483" s="3"/>
      <c r="K483" s="15"/>
      <c r="L483" s="15"/>
      <c r="M483" s="15"/>
      <c r="N483" s="6"/>
      <c r="O483" s="6"/>
      <c r="P483" s="6"/>
      <c r="Q483" s="6"/>
      <c r="R483" s="6"/>
      <c r="S483" s="6"/>
      <c r="T483" s="6"/>
      <c r="U483" s="6"/>
      <c r="V483" s="6"/>
      <c r="W483" s="6"/>
      <c r="X483" s="6"/>
      <c r="Y483" s="6"/>
      <c r="Z483" s="6"/>
      <c r="AA483" s="6"/>
      <c r="AB483" s="6"/>
      <c r="AC483" s="16"/>
    </row>
    <row r="484" spans="4:29">
      <c r="D484" s="16"/>
      <c r="I484" s="3"/>
      <c r="K484" s="15"/>
      <c r="L484" s="15"/>
      <c r="M484" s="15"/>
      <c r="N484" s="6"/>
      <c r="O484" s="6"/>
      <c r="P484" s="6"/>
      <c r="Q484" s="6"/>
      <c r="R484" s="6"/>
      <c r="S484" s="6"/>
      <c r="T484" s="6"/>
      <c r="U484" s="6"/>
      <c r="V484" s="6"/>
      <c r="W484" s="6"/>
      <c r="X484" s="6"/>
      <c r="Y484" s="6"/>
      <c r="Z484" s="6"/>
      <c r="AA484" s="6"/>
      <c r="AB484" s="6"/>
      <c r="AC484" s="16"/>
    </row>
    <row r="485" spans="4:29">
      <c r="D485" s="16"/>
      <c r="I485" s="3"/>
      <c r="K485" s="15"/>
      <c r="L485" s="15"/>
      <c r="M485" s="15"/>
      <c r="N485" s="6"/>
      <c r="O485" s="6"/>
      <c r="P485" s="6"/>
      <c r="Q485" s="6"/>
      <c r="R485" s="6"/>
      <c r="S485" s="6"/>
      <c r="T485" s="6"/>
      <c r="U485" s="6"/>
      <c r="V485" s="6"/>
      <c r="W485" s="6"/>
      <c r="X485" s="6"/>
      <c r="Y485" s="6"/>
      <c r="Z485" s="6"/>
      <c r="AA485" s="6"/>
      <c r="AB485" s="6"/>
      <c r="AC485" s="16"/>
    </row>
    <row r="486" spans="4:29">
      <c r="D486" s="16"/>
      <c r="I486" s="3"/>
      <c r="K486" s="15"/>
      <c r="L486" s="15"/>
      <c r="M486" s="15"/>
      <c r="N486" s="6"/>
      <c r="O486" s="6"/>
      <c r="P486" s="6"/>
      <c r="Q486" s="6"/>
      <c r="R486" s="6"/>
      <c r="S486" s="6"/>
      <c r="T486" s="6"/>
      <c r="U486" s="6"/>
      <c r="V486" s="6"/>
      <c r="W486" s="6"/>
      <c r="X486" s="6"/>
      <c r="Y486" s="6"/>
      <c r="Z486" s="6"/>
      <c r="AA486" s="6"/>
      <c r="AB486" s="6"/>
      <c r="AC486" s="16"/>
    </row>
    <row r="487" spans="4:29">
      <c r="D487" s="16"/>
      <c r="I487" s="3"/>
      <c r="K487" s="15"/>
      <c r="L487" s="15"/>
      <c r="M487" s="15"/>
      <c r="N487" s="6"/>
      <c r="O487" s="6"/>
      <c r="P487" s="6"/>
      <c r="Q487" s="6"/>
      <c r="R487" s="6"/>
      <c r="S487" s="6"/>
      <c r="T487" s="6"/>
      <c r="U487" s="6"/>
      <c r="V487" s="6"/>
      <c r="W487" s="6"/>
      <c r="X487" s="6"/>
      <c r="Y487" s="6"/>
      <c r="Z487" s="6"/>
      <c r="AA487" s="6"/>
      <c r="AB487" s="6"/>
      <c r="AC487" s="16"/>
    </row>
    <row r="488" spans="4:29">
      <c r="D488" s="16"/>
      <c r="I488" s="3"/>
      <c r="K488" s="15"/>
      <c r="L488" s="15"/>
      <c r="M488" s="15"/>
      <c r="N488" s="6"/>
      <c r="O488" s="6"/>
      <c r="P488" s="6"/>
      <c r="Q488" s="6"/>
      <c r="R488" s="6"/>
      <c r="S488" s="6"/>
      <c r="T488" s="6"/>
      <c r="U488" s="6"/>
      <c r="V488" s="6"/>
      <c r="W488" s="6"/>
      <c r="X488" s="6"/>
      <c r="Y488" s="6"/>
      <c r="Z488" s="6"/>
      <c r="AA488" s="6"/>
      <c r="AB488" s="6"/>
      <c r="AC488" s="16"/>
    </row>
    <row r="489" spans="4:29">
      <c r="D489" s="16"/>
      <c r="I489" s="3"/>
      <c r="K489" s="15"/>
      <c r="L489" s="15"/>
      <c r="M489" s="15"/>
      <c r="N489" s="6"/>
      <c r="O489" s="6"/>
      <c r="P489" s="6"/>
      <c r="Q489" s="6"/>
      <c r="R489" s="6"/>
      <c r="S489" s="6"/>
      <c r="T489" s="6"/>
      <c r="U489" s="6"/>
      <c r="V489" s="6"/>
      <c r="W489" s="6"/>
      <c r="X489" s="6"/>
      <c r="Y489" s="6"/>
      <c r="Z489" s="6"/>
      <c r="AA489" s="6"/>
      <c r="AB489" s="6"/>
      <c r="AC489" s="16"/>
    </row>
    <row r="490" spans="4:29">
      <c r="D490" s="16"/>
      <c r="I490" s="3"/>
      <c r="K490" s="15"/>
      <c r="L490" s="15"/>
      <c r="M490" s="15"/>
      <c r="N490" s="6"/>
      <c r="O490" s="6"/>
      <c r="P490" s="6"/>
      <c r="Q490" s="6"/>
      <c r="R490" s="6"/>
      <c r="S490" s="6"/>
      <c r="T490" s="6"/>
      <c r="U490" s="6"/>
      <c r="V490" s="6"/>
      <c r="W490" s="6"/>
      <c r="X490" s="6"/>
      <c r="Y490" s="6"/>
      <c r="Z490" s="6"/>
      <c r="AA490" s="6"/>
      <c r="AB490" s="6"/>
      <c r="AC490" s="16"/>
    </row>
    <row r="491" spans="4:29">
      <c r="D491" s="16"/>
      <c r="I491" s="3"/>
      <c r="K491" s="15"/>
      <c r="L491" s="15"/>
      <c r="M491" s="15"/>
      <c r="N491" s="6"/>
      <c r="O491" s="6"/>
      <c r="P491" s="6"/>
      <c r="Q491" s="6"/>
      <c r="R491" s="6"/>
      <c r="S491" s="6"/>
      <c r="T491" s="6"/>
      <c r="U491" s="6"/>
      <c r="V491" s="6"/>
      <c r="W491" s="6"/>
      <c r="X491" s="6"/>
      <c r="Y491" s="6"/>
      <c r="Z491" s="6"/>
      <c r="AA491" s="6"/>
      <c r="AB491" s="6"/>
      <c r="AC491" s="16"/>
    </row>
    <row r="492" spans="4:29">
      <c r="D492" s="16"/>
      <c r="I492" s="3"/>
      <c r="K492" s="15"/>
      <c r="L492" s="15"/>
      <c r="M492" s="15"/>
      <c r="N492" s="6"/>
      <c r="O492" s="6"/>
      <c r="P492" s="6"/>
      <c r="Q492" s="6"/>
      <c r="R492" s="6"/>
      <c r="S492" s="6"/>
      <c r="T492" s="6"/>
      <c r="U492" s="6"/>
      <c r="V492" s="6"/>
      <c r="W492" s="6"/>
      <c r="X492" s="6"/>
      <c r="Y492" s="6"/>
      <c r="Z492" s="6"/>
      <c r="AA492" s="6"/>
      <c r="AB492" s="6"/>
      <c r="AC492" s="16"/>
    </row>
    <row r="493" spans="4:29">
      <c r="D493" s="16"/>
      <c r="I493" s="3"/>
      <c r="K493" s="15"/>
      <c r="L493" s="15"/>
      <c r="M493" s="15"/>
      <c r="N493" s="6"/>
      <c r="O493" s="6"/>
      <c r="P493" s="6"/>
      <c r="Q493" s="6"/>
      <c r="R493" s="6"/>
      <c r="S493" s="6"/>
      <c r="T493" s="6"/>
      <c r="U493" s="6"/>
      <c r="V493" s="6"/>
      <c r="W493" s="6"/>
      <c r="X493" s="6"/>
      <c r="Y493" s="6"/>
      <c r="Z493" s="6"/>
      <c r="AA493" s="6"/>
      <c r="AB493" s="6"/>
      <c r="AC493" s="16"/>
    </row>
    <row r="494" spans="4:29">
      <c r="D494" s="16"/>
      <c r="I494" s="3"/>
      <c r="K494" s="15"/>
      <c r="L494" s="15"/>
      <c r="M494" s="15"/>
      <c r="N494" s="6"/>
      <c r="O494" s="6"/>
      <c r="P494" s="6"/>
      <c r="Q494" s="6"/>
      <c r="R494" s="6"/>
      <c r="S494" s="6"/>
      <c r="T494" s="6"/>
      <c r="U494" s="6"/>
      <c r="V494" s="6"/>
      <c r="W494" s="6"/>
      <c r="X494" s="6"/>
      <c r="Y494" s="6"/>
      <c r="Z494" s="6"/>
      <c r="AA494" s="6"/>
      <c r="AB494" s="6"/>
      <c r="AC494" s="16"/>
    </row>
    <row r="495" spans="4:29">
      <c r="D495" s="16"/>
      <c r="I495" s="3"/>
      <c r="K495" s="15"/>
      <c r="L495" s="15"/>
      <c r="M495" s="15"/>
      <c r="N495" s="6"/>
      <c r="O495" s="6"/>
      <c r="P495" s="6"/>
      <c r="Q495" s="6"/>
      <c r="R495" s="6"/>
      <c r="S495" s="6"/>
      <c r="T495" s="6"/>
      <c r="U495" s="6"/>
      <c r="V495" s="6"/>
      <c r="W495" s="6"/>
      <c r="X495" s="6"/>
      <c r="Y495" s="6"/>
      <c r="Z495" s="6"/>
      <c r="AA495" s="6"/>
      <c r="AB495" s="6"/>
      <c r="AC495" s="16"/>
    </row>
    <row r="496" spans="4:29">
      <c r="D496" s="16"/>
      <c r="I496" s="3"/>
      <c r="K496" s="15"/>
      <c r="L496" s="15"/>
      <c r="M496" s="15"/>
      <c r="N496" s="6"/>
      <c r="O496" s="6"/>
      <c r="P496" s="6"/>
      <c r="Q496" s="6"/>
      <c r="R496" s="6"/>
      <c r="S496" s="6"/>
      <c r="T496" s="6"/>
      <c r="U496" s="6"/>
      <c r="V496" s="6"/>
      <c r="W496" s="6"/>
      <c r="X496" s="6"/>
      <c r="Y496" s="6"/>
      <c r="Z496" s="6"/>
      <c r="AA496" s="6"/>
      <c r="AB496" s="6"/>
      <c r="AC496" s="16"/>
    </row>
    <row r="497" spans="4:29">
      <c r="D497" s="16"/>
      <c r="I497" s="3"/>
      <c r="K497" s="15"/>
      <c r="L497" s="15"/>
      <c r="M497" s="15"/>
      <c r="N497" s="6"/>
      <c r="O497" s="6"/>
      <c r="P497" s="6"/>
      <c r="Q497" s="6"/>
      <c r="R497" s="6"/>
      <c r="S497" s="6"/>
      <c r="T497" s="6"/>
      <c r="U497" s="6"/>
      <c r="V497" s="6"/>
      <c r="W497" s="6"/>
      <c r="X497" s="6"/>
      <c r="Y497" s="6"/>
      <c r="Z497" s="6"/>
      <c r="AA497" s="6"/>
      <c r="AB497" s="6"/>
      <c r="AC497" s="16"/>
    </row>
    <row r="498" spans="4:29">
      <c r="D498" s="16"/>
      <c r="I498" s="3"/>
      <c r="K498" s="15"/>
      <c r="L498" s="15"/>
      <c r="M498" s="15"/>
      <c r="N498" s="6"/>
      <c r="O498" s="6"/>
      <c r="P498" s="6"/>
      <c r="Q498" s="6"/>
      <c r="R498" s="6"/>
      <c r="S498" s="6"/>
      <c r="T498" s="6"/>
      <c r="U498" s="6"/>
      <c r="V498" s="6"/>
      <c r="W498" s="6"/>
      <c r="X498" s="6"/>
      <c r="Y498" s="6"/>
      <c r="Z498" s="6"/>
      <c r="AA498" s="6"/>
      <c r="AB498" s="6"/>
      <c r="AC498" s="16"/>
    </row>
    <row r="499" spans="4:29">
      <c r="D499" s="16"/>
      <c r="I499" s="3"/>
      <c r="K499" s="15"/>
      <c r="L499" s="15"/>
      <c r="M499" s="15"/>
      <c r="N499" s="6"/>
      <c r="O499" s="6"/>
      <c r="P499" s="6"/>
      <c r="Q499" s="6"/>
      <c r="R499" s="6"/>
      <c r="S499" s="6"/>
      <c r="T499" s="6"/>
      <c r="U499" s="6"/>
      <c r="V499" s="6"/>
      <c r="W499" s="6"/>
      <c r="X499" s="6"/>
      <c r="Y499" s="6"/>
      <c r="Z499" s="6"/>
      <c r="AA499" s="6"/>
      <c r="AB499" s="6"/>
      <c r="AC499" s="16"/>
    </row>
    <row r="500" spans="4:29">
      <c r="D500" s="16"/>
      <c r="I500" s="3"/>
      <c r="K500" s="15"/>
      <c r="L500" s="15"/>
      <c r="M500" s="15"/>
      <c r="N500" s="6"/>
      <c r="O500" s="6"/>
      <c r="P500" s="6"/>
      <c r="Q500" s="6"/>
      <c r="R500" s="6"/>
      <c r="S500" s="6"/>
      <c r="T500" s="6"/>
      <c r="U500" s="6"/>
      <c r="V500" s="6"/>
      <c r="W500" s="6"/>
      <c r="X500" s="6"/>
      <c r="Y500" s="6"/>
      <c r="Z500" s="6"/>
      <c r="AA500" s="6"/>
      <c r="AB500" s="6"/>
      <c r="AC500" s="16"/>
    </row>
    <row r="501" spans="4:29">
      <c r="D501" s="16"/>
      <c r="I501" s="3"/>
      <c r="K501" s="15"/>
      <c r="L501" s="15"/>
      <c r="M501" s="15"/>
      <c r="N501" s="6"/>
      <c r="O501" s="6"/>
      <c r="P501" s="6"/>
      <c r="Q501" s="6"/>
      <c r="R501" s="6"/>
      <c r="S501" s="6"/>
      <c r="T501" s="6"/>
      <c r="U501" s="6"/>
      <c r="V501" s="6"/>
      <c r="W501" s="6"/>
      <c r="X501" s="6"/>
      <c r="Y501" s="6"/>
      <c r="Z501" s="6"/>
      <c r="AA501" s="6"/>
      <c r="AB501" s="6"/>
      <c r="AC501" s="16"/>
    </row>
    <row r="502" spans="4:29">
      <c r="D502" s="16"/>
      <c r="I502" s="3"/>
      <c r="K502" s="15"/>
      <c r="L502" s="15"/>
      <c r="M502" s="15"/>
      <c r="N502" s="6"/>
      <c r="O502" s="6"/>
      <c r="P502" s="6"/>
      <c r="Q502" s="6"/>
      <c r="R502" s="6"/>
      <c r="S502" s="6"/>
      <c r="T502" s="6"/>
      <c r="U502" s="6"/>
      <c r="V502" s="6"/>
      <c r="W502" s="6"/>
      <c r="X502" s="6"/>
      <c r="Y502" s="6"/>
      <c r="Z502" s="6"/>
      <c r="AA502" s="6"/>
      <c r="AB502" s="6"/>
      <c r="AC502" s="16"/>
    </row>
    <row r="503" spans="4:29">
      <c r="D503" s="16"/>
      <c r="I503" s="3"/>
      <c r="K503" s="15"/>
      <c r="L503" s="15"/>
      <c r="M503" s="15"/>
      <c r="N503" s="6"/>
      <c r="O503" s="6"/>
      <c r="P503" s="6"/>
      <c r="Q503" s="6"/>
      <c r="R503" s="6"/>
      <c r="S503" s="6"/>
      <c r="T503" s="6"/>
      <c r="U503" s="6"/>
      <c r="V503" s="6"/>
      <c r="W503" s="6"/>
      <c r="X503" s="6"/>
      <c r="Y503" s="6"/>
      <c r="Z503" s="6"/>
      <c r="AA503" s="6"/>
      <c r="AB503" s="6"/>
      <c r="AC503" s="16"/>
    </row>
    <row r="504" spans="4:29">
      <c r="D504" s="16"/>
      <c r="I504" s="3"/>
      <c r="K504" s="15"/>
      <c r="L504" s="15"/>
      <c r="M504" s="15"/>
      <c r="N504" s="6"/>
      <c r="O504" s="6"/>
      <c r="P504" s="6"/>
      <c r="Q504" s="6"/>
      <c r="R504" s="6"/>
      <c r="S504" s="6"/>
      <c r="T504" s="6"/>
      <c r="U504" s="6"/>
      <c r="V504" s="6"/>
      <c r="W504" s="6"/>
      <c r="X504" s="6"/>
      <c r="Y504" s="6"/>
      <c r="Z504" s="6"/>
      <c r="AA504" s="6"/>
      <c r="AB504" s="6"/>
      <c r="AC504" s="16"/>
    </row>
    <row r="505" spans="4:29">
      <c r="D505" s="16"/>
      <c r="I505" s="3"/>
      <c r="K505" s="15"/>
      <c r="L505" s="15"/>
      <c r="M505" s="15"/>
      <c r="N505" s="6"/>
      <c r="O505" s="6"/>
      <c r="P505" s="6"/>
      <c r="Q505" s="6"/>
      <c r="R505" s="6"/>
      <c r="S505" s="6"/>
      <c r="T505" s="6"/>
      <c r="U505" s="6"/>
      <c r="V505" s="6"/>
      <c r="W505" s="6"/>
      <c r="X505" s="6"/>
      <c r="Y505" s="6"/>
      <c r="Z505" s="6"/>
      <c r="AA505" s="6"/>
      <c r="AB505" s="6"/>
      <c r="AC505" s="16"/>
    </row>
    <row r="506" spans="4:29">
      <c r="D506" s="16"/>
      <c r="I506" s="3"/>
      <c r="K506" s="15"/>
      <c r="L506" s="15"/>
      <c r="M506" s="15"/>
      <c r="N506" s="6"/>
      <c r="O506" s="6"/>
      <c r="P506" s="6"/>
      <c r="Q506" s="6"/>
      <c r="R506" s="6"/>
      <c r="S506" s="6"/>
      <c r="T506" s="6"/>
      <c r="U506" s="6"/>
      <c r="V506" s="6"/>
      <c r="W506" s="6"/>
      <c r="X506" s="6"/>
      <c r="Y506" s="6"/>
      <c r="Z506" s="6"/>
      <c r="AA506" s="6"/>
      <c r="AB506" s="6"/>
      <c r="AC506" s="16"/>
    </row>
    <row r="507" spans="4:29">
      <c r="D507" s="16"/>
      <c r="I507" s="3"/>
      <c r="K507" s="15"/>
      <c r="L507" s="15"/>
      <c r="M507" s="15"/>
      <c r="N507" s="6"/>
      <c r="O507" s="6"/>
      <c r="P507" s="6"/>
      <c r="Q507" s="6"/>
      <c r="R507" s="6"/>
      <c r="S507" s="6"/>
      <c r="T507" s="6"/>
      <c r="U507" s="6"/>
      <c r="V507" s="6"/>
      <c r="W507" s="6"/>
      <c r="X507" s="6"/>
      <c r="Y507" s="6"/>
      <c r="Z507" s="6"/>
      <c r="AA507" s="6"/>
      <c r="AB507" s="6"/>
      <c r="AC507" s="16"/>
    </row>
    <row r="508" spans="4:29">
      <c r="D508" s="16"/>
      <c r="I508" s="3"/>
      <c r="K508" s="15"/>
      <c r="L508" s="15"/>
      <c r="M508" s="15"/>
      <c r="N508" s="6"/>
      <c r="O508" s="6"/>
      <c r="P508" s="6"/>
      <c r="Q508" s="6"/>
      <c r="R508" s="6"/>
      <c r="S508" s="6"/>
      <c r="T508" s="6"/>
      <c r="U508" s="6"/>
      <c r="V508" s="6"/>
      <c r="W508" s="6"/>
      <c r="X508" s="6"/>
      <c r="Y508" s="6"/>
      <c r="Z508" s="6"/>
      <c r="AA508" s="6"/>
      <c r="AB508" s="6"/>
      <c r="AC508" s="16"/>
    </row>
    <row r="509" spans="4:29">
      <c r="D509" s="16"/>
      <c r="I509" s="3"/>
      <c r="K509" s="15"/>
      <c r="L509" s="15"/>
      <c r="M509" s="15"/>
      <c r="N509" s="6"/>
      <c r="O509" s="6"/>
      <c r="P509" s="6"/>
      <c r="Q509" s="6"/>
      <c r="R509" s="6"/>
      <c r="S509" s="6"/>
      <c r="T509" s="6"/>
      <c r="U509" s="6"/>
      <c r="V509" s="6"/>
      <c r="W509" s="6"/>
      <c r="X509" s="6"/>
      <c r="Y509" s="6"/>
      <c r="Z509" s="6"/>
      <c r="AA509" s="6"/>
      <c r="AB509" s="6"/>
      <c r="AC509" s="16"/>
    </row>
    <row r="510" spans="4:29">
      <c r="D510" s="16"/>
      <c r="I510" s="3"/>
      <c r="K510" s="15"/>
      <c r="L510" s="15"/>
      <c r="M510" s="15"/>
      <c r="N510" s="6"/>
      <c r="O510" s="6"/>
      <c r="P510" s="6"/>
      <c r="Q510" s="6"/>
      <c r="R510" s="6"/>
      <c r="S510" s="6"/>
      <c r="T510" s="6"/>
      <c r="U510" s="6"/>
      <c r="V510" s="6"/>
      <c r="W510" s="6"/>
      <c r="X510" s="6"/>
      <c r="Y510" s="6"/>
      <c r="Z510" s="6"/>
      <c r="AA510" s="6"/>
      <c r="AB510" s="6"/>
      <c r="AC510" s="16"/>
    </row>
    <row r="511" spans="4:29">
      <c r="D511" s="16"/>
      <c r="I511" s="3"/>
      <c r="K511" s="15"/>
      <c r="L511" s="15"/>
      <c r="M511" s="15"/>
      <c r="N511" s="6"/>
      <c r="O511" s="6"/>
      <c r="P511" s="6"/>
      <c r="Q511" s="6"/>
      <c r="R511" s="6"/>
      <c r="S511" s="6"/>
      <c r="T511" s="6"/>
      <c r="U511" s="6"/>
      <c r="V511" s="6"/>
      <c r="W511" s="6"/>
      <c r="X511" s="6"/>
      <c r="Y511" s="6"/>
      <c r="Z511" s="6"/>
      <c r="AA511" s="6"/>
      <c r="AB511" s="6"/>
      <c r="AC511" s="16"/>
    </row>
    <row r="512" spans="4:29">
      <c r="D512" s="16"/>
      <c r="I512" s="3"/>
      <c r="K512" s="15"/>
      <c r="L512" s="15"/>
      <c r="M512" s="15"/>
      <c r="N512" s="6"/>
      <c r="O512" s="6"/>
      <c r="P512" s="6"/>
      <c r="Q512" s="6"/>
      <c r="R512" s="6"/>
      <c r="S512" s="6"/>
      <c r="T512" s="6"/>
      <c r="U512" s="6"/>
      <c r="V512" s="6"/>
      <c r="W512" s="6"/>
      <c r="X512" s="6"/>
      <c r="Y512" s="6"/>
      <c r="Z512" s="6"/>
      <c r="AA512" s="6"/>
      <c r="AB512" s="6"/>
      <c r="AC512" s="16"/>
    </row>
    <row r="513" spans="4:29">
      <c r="D513" s="16"/>
      <c r="I513" s="3"/>
      <c r="K513" s="15"/>
      <c r="L513" s="15"/>
      <c r="M513" s="15"/>
      <c r="N513" s="6"/>
      <c r="O513" s="6"/>
      <c r="P513" s="6"/>
      <c r="Q513" s="6"/>
      <c r="R513" s="6"/>
      <c r="S513" s="6"/>
      <c r="T513" s="6"/>
      <c r="U513" s="6"/>
      <c r="V513" s="6"/>
      <c r="W513" s="6"/>
      <c r="X513" s="6"/>
      <c r="Y513" s="6"/>
      <c r="Z513" s="6"/>
      <c r="AA513" s="6"/>
      <c r="AB513" s="6"/>
      <c r="AC513" s="16"/>
    </row>
    <row r="514" spans="4:29">
      <c r="D514" s="16"/>
      <c r="I514" s="3"/>
      <c r="K514" s="15"/>
      <c r="L514" s="15"/>
      <c r="M514" s="15"/>
      <c r="N514" s="6"/>
      <c r="O514" s="6"/>
      <c r="P514" s="6"/>
      <c r="Q514" s="6"/>
      <c r="R514" s="6"/>
      <c r="S514" s="6"/>
      <c r="T514" s="6"/>
      <c r="U514" s="6"/>
      <c r="V514" s="6"/>
      <c r="W514" s="6"/>
      <c r="X514" s="6"/>
      <c r="Y514" s="6"/>
      <c r="Z514" s="6"/>
      <c r="AA514" s="6"/>
      <c r="AB514" s="6"/>
      <c r="AC514" s="16"/>
    </row>
    <row r="515" spans="4:29">
      <c r="D515" s="16"/>
      <c r="I515" s="3"/>
      <c r="K515" s="15"/>
      <c r="L515" s="15"/>
      <c r="M515" s="15"/>
      <c r="N515" s="6"/>
      <c r="O515" s="6"/>
      <c r="P515" s="6"/>
      <c r="Q515" s="6"/>
      <c r="R515" s="6"/>
      <c r="S515" s="6"/>
      <c r="T515" s="6"/>
      <c r="U515" s="6"/>
      <c r="V515" s="6"/>
      <c r="W515" s="6"/>
      <c r="X515" s="6"/>
      <c r="Y515" s="6"/>
      <c r="Z515" s="6"/>
      <c r="AA515" s="6"/>
      <c r="AB515" s="6"/>
      <c r="AC515" s="16"/>
    </row>
    <row r="516" spans="4:29">
      <c r="D516" s="16"/>
      <c r="I516" s="3"/>
      <c r="K516" s="15"/>
      <c r="L516" s="15"/>
      <c r="M516" s="15"/>
      <c r="N516" s="6"/>
      <c r="O516" s="6"/>
      <c r="P516" s="6"/>
      <c r="Q516" s="6"/>
      <c r="R516" s="6"/>
      <c r="S516" s="6"/>
      <c r="T516" s="6"/>
      <c r="U516" s="6"/>
      <c r="V516" s="6"/>
      <c r="W516" s="6"/>
      <c r="X516" s="6"/>
      <c r="Y516" s="6"/>
      <c r="Z516" s="6"/>
      <c r="AA516" s="6"/>
      <c r="AB516" s="6"/>
      <c r="AC516" s="16"/>
    </row>
    <row r="517" spans="4:29">
      <c r="D517" s="16"/>
      <c r="I517" s="3"/>
      <c r="K517" s="15"/>
      <c r="L517" s="15"/>
      <c r="M517" s="15"/>
      <c r="N517" s="6"/>
      <c r="O517" s="6"/>
      <c r="P517" s="6"/>
      <c r="Q517" s="6"/>
      <c r="R517" s="6"/>
      <c r="S517" s="6"/>
      <c r="T517" s="6"/>
      <c r="U517" s="6"/>
      <c r="V517" s="6"/>
      <c r="W517" s="6"/>
      <c r="X517" s="6"/>
      <c r="Y517" s="6"/>
      <c r="Z517" s="6"/>
      <c r="AA517" s="6"/>
      <c r="AB517" s="6"/>
      <c r="AC517" s="16"/>
    </row>
    <row r="518" spans="4:29">
      <c r="D518" s="16"/>
      <c r="I518" s="3"/>
      <c r="K518" s="15"/>
      <c r="L518" s="15"/>
      <c r="M518" s="15"/>
      <c r="N518" s="6"/>
      <c r="O518" s="6"/>
      <c r="P518" s="6"/>
      <c r="Q518" s="6"/>
      <c r="R518" s="6"/>
      <c r="S518" s="6"/>
      <c r="T518" s="6"/>
      <c r="U518" s="6"/>
      <c r="V518" s="6"/>
      <c r="W518" s="6"/>
      <c r="X518" s="6"/>
      <c r="Y518" s="6"/>
      <c r="Z518" s="6"/>
      <c r="AA518" s="6"/>
      <c r="AB518" s="6"/>
      <c r="AC518" s="16"/>
    </row>
    <row r="519" spans="4:29">
      <c r="D519" s="16"/>
      <c r="I519" s="3"/>
      <c r="K519" s="15"/>
      <c r="L519" s="15"/>
      <c r="M519" s="15"/>
      <c r="N519" s="6"/>
      <c r="O519" s="6"/>
      <c r="P519" s="6"/>
      <c r="Q519" s="6"/>
      <c r="R519" s="6"/>
      <c r="S519" s="6"/>
      <c r="T519" s="6"/>
      <c r="U519" s="6"/>
      <c r="V519" s="6"/>
      <c r="W519" s="6"/>
      <c r="X519" s="6"/>
      <c r="Y519" s="6"/>
      <c r="Z519" s="6"/>
      <c r="AA519" s="6"/>
      <c r="AB519" s="6"/>
      <c r="AC519" s="16"/>
    </row>
    <row r="520" spans="4:29">
      <c r="D520" s="16"/>
      <c r="I520" s="3"/>
      <c r="K520" s="15"/>
      <c r="L520" s="15"/>
      <c r="M520" s="15"/>
      <c r="N520" s="6"/>
      <c r="O520" s="6"/>
      <c r="P520" s="6"/>
      <c r="Q520" s="6"/>
      <c r="R520" s="6"/>
      <c r="S520" s="6"/>
      <c r="T520" s="6"/>
      <c r="U520" s="6"/>
      <c r="V520" s="6"/>
      <c r="W520" s="6"/>
      <c r="X520" s="6"/>
      <c r="Y520" s="6"/>
      <c r="Z520" s="6"/>
      <c r="AA520" s="6"/>
      <c r="AB520" s="6"/>
      <c r="AC520" s="16"/>
    </row>
    <row r="521" spans="4:29">
      <c r="D521" s="16"/>
      <c r="I521" s="3"/>
      <c r="K521" s="15"/>
      <c r="L521" s="15"/>
      <c r="M521" s="15"/>
      <c r="N521" s="6"/>
      <c r="O521" s="6"/>
      <c r="P521" s="6"/>
      <c r="Q521" s="6"/>
      <c r="R521" s="6"/>
      <c r="S521" s="6"/>
      <c r="T521" s="6"/>
      <c r="U521" s="6"/>
      <c r="V521" s="6"/>
      <c r="W521" s="6"/>
      <c r="X521" s="6"/>
      <c r="Y521" s="6"/>
      <c r="Z521" s="6"/>
      <c r="AA521" s="6"/>
      <c r="AB521" s="6"/>
      <c r="AC521" s="16"/>
    </row>
    <row r="522" spans="4:29">
      <c r="D522" s="16"/>
      <c r="I522" s="3"/>
      <c r="K522" s="15"/>
      <c r="L522" s="15"/>
      <c r="M522" s="15"/>
      <c r="N522" s="6"/>
      <c r="O522" s="6"/>
      <c r="P522" s="6"/>
      <c r="Q522" s="6"/>
      <c r="R522" s="6"/>
      <c r="S522" s="6"/>
      <c r="T522" s="6"/>
      <c r="U522" s="6"/>
      <c r="V522" s="6"/>
      <c r="W522" s="6"/>
      <c r="X522" s="6"/>
      <c r="Y522" s="6"/>
      <c r="Z522" s="6"/>
      <c r="AA522" s="6"/>
      <c r="AB522" s="6"/>
      <c r="AC522" s="16"/>
    </row>
    <row r="523" spans="4:29">
      <c r="D523" s="16"/>
      <c r="I523" s="3"/>
      <c r="K523" s="15"/>
      <c r="L523" s="15"/>
      <c r="M523" s="15"/>
      <c r="N523" s="6"/>
      <c r="O523" s="6"/>
      <c r="P523" s="6"/>
      <c r="Q523" s="6"/>
      <c r="R523" s="6"/>
      <c r="S523" s="6"/>
      <c r="T523" s="6"/>
      <c r="U523" s="6"/>
      <c r="V523" s="6"/>
      <c r="W523" s="6"/>
      <c r="X523" s="6"/>
      <c r="Y523" s="6"/>
      <c r="Z523" s="6"/>
      <c r="AA523" s="6"/>
      <c r="AB523" s="6"/>
      <c r="AC523" s="16"/>
    </row>
    <row r="524" spans="4:29">
      <c r="D524" s="16"/>
      <c r="I524" s="3"/>
      <c r="K524" s="15"/>
      <c r="L524" s="15"/>
      <c r="M524" s="15"/>
      <c r="N524" s="6"/>
      <c r="O524" s="6"/>
      <c r="P524" s="6"/>
      <c r="Q524" s="6"/>
      <c r="R524" s="6"/>
      <c r="S524" s="6"/>
      <c r="T524" s="6"/>
      <c r="U524" s="6"/>
      <c r="V524" s="6"/>
      <c r="W524" s="6"/>
      <c r="X524" s="6"/>
      <c r="Y524" s="6"/>
      <c r="Z524" s="6"/>
      <c r="AA524" s="6"/>
      <c r="AB524" s="6"/>
      <c r="AC524" s="16"/>
    </row>
    <row r="525" spans="4:29">
      <c r="D525" s="16"/>
      <c r="I525" s="3"/>
      <c r="K525" s="15"/>
      <c r="L525" s="15"/>
      <c r="M525" s="15"/>
      <c r="N525" s="6"/>
      <c r="O525" s="6"/>
      <c r="P525" s="6"/>
      <c r="Q525" s="6"/>
      <c r="R525" s="6"/>
      <c r="S525" s="6"/>
      <c r="T525" s="6"/>
      <c r="U525" s="6"/>
      <c r="V525" s="6"/>
      <c r="W525" s="6"/>
      <c r="X525" s="6"/>
      <c r="Y525" s="6"/>
      <c r="Z525" s="6"/>
      <c r="AA525" s="6"/>
      <c r="AB525" s="6"/>
      <c r="AC525" s="16"/>
    </row>
    <row r="526" spans="4:29">
      <c r="D526" s="16"/>
      <c r="I526" s="3"/>
      <c r="K526" s="15"/>
      <c r="L526" s="15"/>
      <c r="M526" s="15"/>
      <c r="N526" s="6"/>
      <c r="O526" s="6"/>
      <c r="P526" s="6"/>
      <c r="Q526" s="6"/>
      <c r="R526" s="6"/>
      <c r="S526" s="6"/>
      <c r="T526" s="6"/>
      <c r="U526" s="6"/>
      <c r="V526" s="6"/>
      <c r="W526" s="6"/>
      <c r="X526" s="6"/>
      <c r="Y526" s="6"/>
      <c r="Z526" s="6"/>
      <c r="AA526" s="6"/>
      <c r="AB526" s="6"/>
      <c r="AC526" s="16"/>
    </row>
    <row r="527" spans="4:29">
      <c r="D527" s="16"/>
      <c r="I527" s="3"/>
      <c r="K527" s="15"/>
      <c r="L527" s="15"/>
      <c r="M527" s="15"/>
      <c r="N527" s="6"/>
      <c r="O527" s="6"/>
      <c r="P527" s="6"/>
      <c r="Q527" s="6"/>
      <c r="R527" s="6"/>
      <c r="S527" s="6"/>
      <c r="T527" s="6"/>
      <c r="U527" s="6"/>
      <c r="V527" s="6"/>
      <c r="W527" s="6"/>
      <c r="X527" s="6"/>
      <c r="Y527" s="6"/>
      <c r="Z527" s="6"/>
      <c r="AA527" s="6"/>
      <c r="AB527" s="6"/>
      <c r="AC527" s="16"/>
    </row>
    <row r="528" spans="4:29">
      <c r="D528" s="16"/>
      <c r="I528" s="3"/>
      <c r="K528" s="15"/>
      <c r="L528" s="15"/>
      <c r="M528" s="15"/>
      <c r="N528" s="6"/>
      <c r="O528" s="6"/>
      <c r="P528" s="6"/>
      <c r="Q528" s="6"/>
      <c r="R528" s="6"/>
      <c r="S528" s="6"/>
      <c r="T528" s="6"/>
      <c r="U528" s="6"/>
      <c r="V528" s="6"/>
      <c r="W528" s="6"/>
      <c r="X528" s="6"/>
      <c r="Y528" s="6"/>
      <c r="Z528" s="6"/>
      <c r="AA528" s="6"/>
      <c r="AB528" s="6"/>
      <c r="AC528" s="16"/>
    </row>
    <row r="529" spans="4:29">
      <c r="D529" s="16"/>
      <c r="I529" s="3"/>
      <c r="K529" s="15"/>
      <c r="L529" s="15"/>
      <c r="M529" s="15"/>
      <c r="N529" s="6"/>
      <c r="O529" s="6"/>
      <c r="P529" s="6"/>
      <c r="Q529" s="6"/>
      <c r="R529" s="6"/>
      <c r="S529" s="6"/>
      <c r="T529" s="6"/>
      <c r="U529" s="6"/>
      <c r="V529" s="6"/>
      <c r="W529" s="6"/>
      <c r="X529" s="6"/>
      <c r="Y529" s="6"/>
      <c r="Z529" s="6"/>
      <c r="AA529" s="6"/>
      <c r="AB529" s="6"/>
      <c r="AC529" s="16"/>
    </row>
    <row r="530" spans="4:29">
      <c r="D530" s="16"/>
      <c r="I530" s="3"/>
      <c r="K530" s="15"/>
      <c r="L530" s="15"/>
      <c r="M530" s="15"/>
      <c r="N530" s="6"/>
      <c r="O530" s="6"/>
      <c r="P530" s="6"/>
      <c r="Q530" s="6"/>
      <c r="R530" s="6"/>
      <c r="S530" s="6"/>
      <c r="T530" s="6"/>
      <c r="U530" s="6"/>
      <c r="V530" s="6"/>
      <c r="W530" s="6"/>
      <c r="X530" s="6"/>
      <c r="Y530" s="6"/>
      <c r="Z530" s="6"/>
      <c r="AA530" s="6"/>
      <c r="AB530" s="6"/>
      <c r="AC530" s="16"/>
    </row>
    <row r="531" spans="4:29">
      <c r="D531" s="16"/>
      <c r="I531" s="3"/>
      <c r="K531" s="15"/>
      <c r="L531" s="15"/>
      <c r="M531" s="15"/>
      <c r="N531" s="6"/>
      <c r="O531" s="6"/>
      <c r="P531" s="6"/>
      <c r="Q531" s="6"/>
      <c r="R531" s="6"/>
      <c r="S531" s="6"/>
      <c r="T531" s="6"/>
      <c r="U531" s="6"/>
      <c r="V531" s="6"/>
      <c r="W531" s="6"/>
      <c r="X531" s="6"/>
      <c r="Y531" s="6"/>
      <c r="Z531" s="6"/>
      <c r="AA531" s="6"/>
      <c r="AB531" s="6"/>
      <c r="AC531" s="16"/>
    </row>
    <row r="532" spans="4:29">
      <c r="D532" s="16"/>
      <c r="I532" s="3"/>
      <c r="K532" s="15"/>
      <c r="L532" s="15"/>
      <c r="M532" s="15"/>
      <c r="N532" s="6"/>
      <c r="O532" s="6"/>
      <c r="P532" s="6"/>
      <c r="Q532" s="6"/>
      <c r="R532" s="6"/>
      <c r="S532" s="6"/>
      <c r="T532" s="6"/>
      <c r="U532" s="6"/>
      <c r="V532" s="6"/>
      <c r="W532" s="6"/>
      <c r="X532" s="6"/>
      <c r="Y532" s="6"/>
      <c r="Z532" s="6"/>
      <c r="AA532" s="6"/>
      <c r="AB532" s="6"/>
      <c r="AC532" s="16"/>
    </row>
    <row r="533" spans="4:29">
      <c r="D533" s="16"/>
      <c r="I533" s="3"/>
      <c r="K533" s="15"/>
      <c r="L533" s="15"/>
      <c r="M533" s="15"/>
      <c r="N533" s="6"/>
      <c r="O533" s="6"/>
      <c r="P533" s="6"/>
      <c r="Q533" s="6"/>
      <c r="R533" s="6"/>
      <c r="S533" s="6"/>
      <c r="T533" s="6"/>
      <c r="U533" s="6"/>
      <c r="V533" s="6"/>
      <c r="W533" s="6"/>
      <c r="X533" s="6"/>
      <c r="Y533" s="6"/>
      <c r="Z533" s="6"/>
      <c r="AA533" s="6"/>
      <c r="AB533" s="6"/>
      <c r="AC533" s="16"/>
    </row>
    <row r="534" spans="4:29">
      <c r="D534" s="16"/>
      <c r="I534" s="3"/>
      <c r="K534" s="15"/>
      <c r="L534" s="15"/>
      <c r="M534" s="15"/>
      <c r="N534" s="6"/>
      <c r="O534" s="6"/>
      <c r="P534" s="6"/>
      <c r="Q534" s="6"/>
      <c r="R534" s="6"/>
      <c r="S534" s="6"/>
      <c r="T534" s="6"/>
      <c r="U534" s="6"/>
      <c r="V534" s="6"/>
      <c r="W534" s="6"/>
      <c r="X534" s="6"/>
      <c r="Y534" s="6"/>
      <c r="Z534" s="6"/>
      <c r="AA534" s="6"/>
      <c r="AB534" s="6"/>
      <c r="AC534" s="16"/>
    </row>
    <row r="535" spans="4:29">
      <c r="D535" s="16"/>
      <c r="I535" s="3"/>
      <c r="K535" s="15"/>
      <c r="L535" s="15"/>
      <c r="M535" s="15"/>
      <c r="N535" s="6"/>
      <c r="O535" s="6"/>
      <c r="P535" s="6"/>
      <c r="Q535" s="6"/>
      <c r="R535" s="6"/>
      <c r="S535" s="6"/>
      <c r="T535" s="6"/>
      <c r="U535" s="6"/>
      <c r="V535" s="6"/>
      <c r="W535" s="6"/>
      <c r="X535" s="6"/>
      <c r="Y535" s="6"/>
      <c r="Z535" s="6"/>
      <c r="AA535" s="6"/>
      <c r="AB535" s="6"/>
      <c r="AC535" s="16"/>
    </row>
    <row r="536" spans="4:29">
      <c r="D536" s="16"/>
      <c r="I536" s="3"/>
      <c r="K536" s="15"/>
      <c r="L536" s="15"/>
      <c r="M536" s="15"/>
      <c r="N536" s="6"/>
      <c r="O536" s="6"/>
      <c r="P536" s="6"/>
      <c r="Q536" s="6"/>
      <c r="R536" s="6"/>
      <c r="S536" s="6"/>
      <c r="T536" s="6"/>
      <c r="U536" s="6"/>
      <c r="V536" s="6"/>
      <c r="W536" s="6"/>
      <c r="X536" s="6"/>
      <c r="Y536" s="6"/>
      <c r="Z536" s="6"/>
      <c r="AA536" s="6"/>
      <c r="AB536" s="6"/>
      <c r="AC536" s="16"/>
    </row>
    <row r="537" spans="4:29">
      <c r="D537" s="16"/>
      <c r="I537" s="3"/>
      <c r="K537" s="15"/>
      <c r="L537" s="15"/>
      <c r="M537" s="15"/>
      <c r="N537" s="6"/>
      <c r="O537" s="6"/>
      <c r="P537" s="6"/>
      <c r="Q537" s="6"/>
      <c r="R537" s="6"/>
      <c r="S537" s="6"/>
      <c r="T537" s="6"/>
      <c r="U537" s="6"/>
      <c r="V537" s="6"/>
      <c r="W537" s="6"/>
      <c r="X537" s="6"/>
      <c r="Y537" s="6"/>
      <c r="Z537" s="6"/>
      <c r="AA537" s="6"/>
      <c r="AB537" s="6"/>
      <c r="AC537" s="16"/>
    </row>
    <row r="538" spans="4:29">
      <c r="D538" s="16"/>
      <c r="I538" s="3"/>
      <c r="K538" s="15"/>
      <c r="L538" s="15"/>
      <c r="M538" s="15"/>
      <c r="N538" s="6"/>
      <c r="O538" s="6"/>
      <c r="P538" s="6"/>
      <c r="Q538" s="6"/>
      <c r="R538" s="6"/>
      <c r="S538" s="6"/>
      <c r="T538" s="6"/>
      <c r="U538" s="6"/>
      <c r="V538" s="6"/>
      <c r="W538" s="6"/>
      <c r="X538" s="6"/>
      <c r="Y538" s="6"/>
      <c r="Z538" s="6"/>
      <c r="AA538" s="6"/>
      <c r="AB538" s="6"/>
      <c r="AC538" s="16"/>
    </row>
    <row r="539" spans="4:29">
      <c r="D539" s="16"/>
      <c r="I539" s="3"/>
      <c r="K539" s="15"/>
      <c r="L539" s="15"/>
      <c r="M539" s="15"/>
      <c r="N539" s="6"/>
      <c r="O539" s="6"/>
      <c r="P539" s="6"/>
      <c r="Q539" s="6"/>
      <c r="R539" s="6"/>
      <c r="S539" s="6"/>
      <c r="T539" s="6"/>
      <c r="U539" s="6"/>
      <c r="V539" s="6"/>
      <c r="W539" s="6"/>
      <c r="X539" s="6"/>
      <c r="Y539" s="6"/>
      <c r="Z539" s="6"/>
      <c r="AA539" s="6"/>
      <c r="AB539" s="6"/>
      <c r="AC539" s="16"/>
    </row>
    <row r="540" spans="4:29">
      <c r="D540" s="16"/>
      <c r="I540" s="3"/>
      <c r="K540" s="15"/>
      <c r="L540" s="15"/>
      <c r="M540" s="15"/>
      <c r="N540" s="6"/>
      <c r="O540" s="6"/>
      <c r="P540" s="6"/>
      <c r="Q540" s="6"/>
      <c r="R540" s="6"/>
      <c r="S540" s="6"/>
      <c r="T540" s="6"/>
      <c r="U540" s="6"/>
      <c r="V540" s="6"/>
      <c r="W540" s="6"/>
      <c r="X540" s="6"/>
      <c r="Y540" s="6"/>
      <c r="Z540" s="6"/>
      <c r="AA540" s="6"/>
      <c r="AB540" s="6"/>
      <c r="AC540" s="16"/>
    </row>
    <row r="541" spans="4:29">
      <c r="D541" s="16"/>
      <c r="I541" s="3"/>
      <c r="K541" s="15"/>
      <c r="L541" s="15"/>
      <c r="M541" s="15"/>
      <c r="N541" s="6"/>
      <c r="O541" s="6"/>
      <c r="P541" s="6"/>
      <c r="Q541" s="6"/>
      <c r="R541" s="6"/>
      <c r="S541" s="6"/>
      <c r="T541" s="6"/>
      <c r="U541" s="6"/>
      <c r="V541" s="6"/>
      <c r="W541" s="6"/>
      <c r="X541" s="6"/>
      <c r="Y541" s="6"/>
      <c r="Z541" s="6"/>
      <c r="AA541" s="6"/>
      <c r="AB541" s="6"/>
      <c r="AC541" s="16"/>
    </row>
    <row r="542" spans="4:29">
      <c r="D542" s="16"/>
      <c r="I542" s="3"/>
      <c r="K542" s="15"/>
      <c r="L542" s="15"/>
      <c r="M542" s="15"/>
      <c r="N542" s="6"/>
      <c r="O542" s="6"/>
      <c r="P542" s="6"/>
      <c r="Q542" s="6"/>
      <c r="R542" s="6"/>
      <c r="S542" s="6"/>
      <c r="T542" s="6"/>
      <c r="U542" s="6"/>
      <c r="V542" s="6"/>
      <c r="W542" s="6"/>
      <c r="X542" s="6"/>
      <c r="Y542" s="6"/>
      <c r="Z542" s="6"/>
      <c r="AA542" s="6"/>
      <c r="AB542" s="6"/>
      <c r="AC542" s="16"/>
    </row>
    <row r="543" spans="4:29">
      <c r="D543" s="16"/>
      <c r="I543" s="3"/>
      <c r="K543" s="15"/>
      <c r="L543" s="15"/>
      <c r="M543" s="15"/>
      <c r="N543" s="6"/>
      <c r="O543" s="6"/>
      <c r="P543" s="6"/>
      <c r="Q543" s="6"/>
      <c r="R543" s="6"/>
      <c r="S543" s="6"/>
      <c r="T543" s="6"/>
      <c r="U543" s="6"/>
      <c r="V543" s="6"/>
      <c r="W543" s="6"/>
      <c r="X543" s="6"/>
      <c r="Y543" s="6"/>
      <c r="Z543" s="6"/>
      <c r="AA543" s="6"/>
      <c r="AB543" s="6"/>
      <c r="AC543" s="16"/>
    </row>
    <row r="544" spans="4:29">
      <c r="D544" s="16"/>
      <c r="I544" s="3"/>
      <c r="K544" s="15"/>
      <c r="L544" s="15"/>
      <c r="M544" s="15"/>
      <c r="N544" s="6"/>
      <c r="O544" s="6"/>
      <c r="P544" s="6"/>
      <c r="Q544" s="6"/>
      <c r="R544" s="6"/>
      <c r="S544" s="6"/>
      <c r="T544" s="6"/>
      <c r="U544" s="6"/>
      <c r="V544" s="6"/>
      <c r="W544" s="6"/>
      <c r="X544" s="6"/>
      <c r="Y544" s="6"/>
      <c r="Z544" s="6"/>
      <c r="AA544" s="6"/>
      <c r="AB544" s="6"/>
      <c r="AC544" s="16"/>
    </row>
    <row r="545" spans="4:29">
      <c r="D545" s="16"/>
      <c r="I545" s="3"/>
      <c r="K545" s="15"/>
      <c r="L545" s="15"/>
      <c r="M545" s="15"/>
      <c r="N545" s="6"/>
      <c r="O545" s="6"/>
      <c r="P545" s="6"/>
      <c r="Q545" s="6"/>
      <c r="R545" s="6"/>
      <c r="S545" s="6"/>
      <c r="T545" s="6"/>
      <c r="U545" s="6"/>
      <c r="V545" s="6"/>
      <c r="W545" s="6"/>
      <c r="X545" s="6"/>
      <c r="Y545" s="6"/>
      <c r="Z545" s="6"/>
      <c r="AA545" s="6"/>
      <c r="AB545" s="6"/>
      <c r="AC545" s="16"/>
    </row>
    <row r="546" spans="4:29">
      <c r="D546" s="16"/>
      <c r="I546" s="3"/>
      <c r="K546" s="15"/>
      <c r="L546" s="15"/>
      <c r="M546" s="15"/>
      <c r="N546" s="6"/>
      <c r="O546" s="6"/>
      <c r="P546" s="6"/>
      <c r="Q546" s="6"/>
      <c r="R546" s="6"/>
      <c r="S546" s="6"/>
      <c r="T546" s="6"/>
      <c r="U546" s="6"/>
      <c r="V546" s="6"/>
      <c r="W546" s="6"/>
      <c r="X546" s="6"/>
      <c r="Y546" s="6"/>
      <c r="Z546" s="6"/>
      <c r="AA546" s="6"/>
      <c r="AB546" s="6"/>
      <c r="AC546" s="16"/>
    </row>
    <row r="547" spans="4:29">
      <c r="D547" s="16"/>
      <c r="I547" s="3"/>
      <c r="K547" s="15"/>
      <c r="L547" s="15"/>
      <c r="M547" s="15"/>
      <c r="N547" s="6"/>
      <c r="O547" s="6"/>
      <c r="P547" s="6"/>
      <c r="Q547" s="6"/>
      <c r="R547" s="6"/>
      <c r="S547" s="6"/>
      <c r="T547" s="6"/>
      <c r="U547" s="6"/>
      <c r="V547" s="6"/>
      <c r="W547" s="6"/>
      <c r="X547" s="6"/>
      <c r="Y547" s="6"/>
      <c r="Z547" s="6"/>
      <c r="AA547" s="6"/>
      <c r="AB547" s="6"/>
      <c r="AC547" s="16"/>
    </row>
    <row r="548" spans="4:29">
      <c r="D548" s="16"/>
      <c r="I548" s="3"/>
      <c r="K548" s="15"/>
      <c r="L548" s="15"/>
      <c r="M548" s="15"/>
      <c r="N548" s="6"/>
      <c r="O548" s="6"/>
      <c r="P548" s="6"/>
      <c r="Q548" s="6"/>
      <c r="R548" s="6"/>
      <c r="S548" s="6"/>
      <c r="T548" s="6"/>
      <c r="U548" s="6"/>
      <c r="V548" s="6"/>
      <c r="W548" s="6"/>
      <c r="X548" s="6"/>
      <c r="Y548" s="6"/>
      <c r="Z548" s="6"/>
      <c r="AA548" s="6"/>
      <c r="AB548" s="6"/>
      <c r="AC548" s="16"/>
    </row>
    <row r="549" spans="4:29">
      <c r="D549" s="16"/>
      <c r="I549" s="3"/>
      <c r="K549" s="15"/>
      <c r="L549" s="15"/>
      <c r="M549" s="15"/>
      <c r="N549" s="6"/>
      <c r="O549" s="6"/>
      <c r="P549" s="6"/>
      <c r="Q549" s="6"/>
      <c r="R549" s="6"/>
      <c r="S549" s="6"/>
      <c r="T549" s="6"/>
      <c r="U549" s="6"/>
      <c r="V549" s="6"/>
      <c r="W549" s="6"/>
      <c r="X549" s="6"/>
      <c r="Y549" s="6"/>
      <c r="Z549" s="6"/>
      <c r="AA549" s="6"/>
      <c r="AB549" s="6"/>
      <c r="AC549" s="16"/>
    </row>
    <row r="550" spans="4:29">
      <c r="D550" s="16"/>
      <c r="I550" s="3"/>
      <c r="K550" s="15"/>
      <c r="L550" s="15"/>
      <c r="M550" s="15"/>
      <c r="N550" s="6"/>
      <c r="O550" s="6"/>
      <c r="P550" s="6"/>
      <c r="Q550" s="6"/>
      <c r="R550" s="6"/>
      <c r="S550" s="6"/>
      <c r="T550" s="6"/>
      <c r="U550" s="6"/>
      <c r="V550" s="6"/>
      <c r="W550" s="6"/>
      <c r="X550" s="6"/>
      <c r="Y550" s="6"/>
      <c r="Z550" s="6"/>
      <c r="AA550" s="6"/>
      <c r="AB550" s="6"/>
      <c r="AC550" s="16"/>
    </row>
    <row r="551" spans="4:29">
      <c r="D551" s="16"/>
      <c r="I551" s="3"/>
      <c r="K551" s="15"/>
      <c r="L551" s="15"/>
      <c r="M551" s="15"/>
      <c r="N551" s="6"/>
      <c r="O551" s="6"/>
      <c r="P551" s="6"/>
      <c r="Q551" s="6"/>
      <c r="R551" s="6"/>
      <c r="S551" s="6"/>
      <c r="T551" s="6"/>
      <c r="U551" s="6"/>
      <c r="V551" s="6"/>
      <c r="W551" s="6"/>
      <c r="X551" s="6"/>
      <c r="Y551" s="6"/>
      <c r="Z551" s="6"/>
      <c r="AA551" s="6"/>
      <c r="AB551" s="6"/>
      <c r="AC551" s="16"/>
    </row>
    <row r="552" spans="4:29">
      <c r="D552" s="16"/>
      <c r="I552" s="3"/>
      <c r="K552" s="15"/>
      <c r="L552" s="15"/>
      <c r="M552" s="15"/>
      <c r="N552" s="6"/>
      <c r="O552" s="6"/>
      <c r="P552" s="6"/>
      <c r="Q552" s="6"/>
      <c r="R552" s="6"/>
      <c r="S552" s="6"/>
      <c r="T552" s="6"/>
      <c r="U552" s="6"/>
      <c r="V552" s="6"/>
      <c r="W552" s="6"/>
      <c r="X552" s="6"/>
      <c r="Y552" s="6"/>
      <c r="Z552" s="6"/>
      <c r="AA552" s="6"/>
      <c r="AB552" s="6"/>
      <c r="AC552" s="16"/>
    </row>
    <row r="553" spans="4:29">
      <c r="D553" s="16"/>
      <c r="I553" s="3"/>
      <c r="K553" s="15"/>
      <c r="L553" s="15"/>
      <c r="M553" s="15"/>
      <c r="N553" s="6"/>
      <c r="O553" s="6"/>
      <c r="P553" s="6"/>
      <c r="Q553" s="6"/>
      <c r="R553" s="6"/>
      <c r="S553" s="6"/>
      <c r="T553" s="6"/>
      <c r="U553" s="6"/>
      <c r="V553" s="6"/>
      <c r="W553" s="6"/>
      <c r="X553" s="6"/>
      <c r="Y553" s="6"/>
      <c r="Z553" s="6"/>
      <c r="AA553" s="6"/>
      <c r="AB553" s="6"/>
      <c r="AC553" s="16"/>
    </row>
    <row r="554" spans="4:29">
      <c r="D554" s="16"/>
      <c r="I554" s="3"/>
      <c r="K554" s="15"/>
      <c r="L554" s="15"/>
      <c r="M554" s="15"/>
      <c r="N554" s="6"/>
      <c r="O554" s="6"/>
      <c r="P554" s="6"/>
      <c r="Q554" s="6"/>
      <c r="R554" s="6"/>
      <c r="S554" s="6"/>
      <c r="T554" s="6"/>
      <c r="U554" s="6"/>
      <c r="V554" s="6"/>
      <c r="W554" s="6"/>
      <c r="X554" s="6"/>
      <c r="Y554" s="6"/>
      <c r="Z554" s="6"/>
      <c r="AA554" s="6"/>
      <c r="AB554" s="6"/>
      <c r="AC554" s="16"/>
    </row>
    <row r="555" spans="4:29">
      <c r="D555" s="16"/>
      <c r="I555" s="3"/>
      <c r="K555" s="15"/>
      <c r="L555" s="15"/>
      <c r="M555" s="15"/>
      <c r="N555" s="6"/>
      <c r="O555" s="6"/>
      <c r="P555" s="6"/>
      <c r="Q555" s="6"/>
      <c r="R555" s="6"/>
      <c r="S555" s="6"/>
      <c r="T555" s="6"/>
      <c r="U555" s="6"/>
      <c r="V555" s="6"/>
      <c r="W555" s="6"/>
      <c r="X555" s="6"/>
      <c r="Y555" s="6"/>
      <c r="Z555" s="6"/>
      <c r="AA555" s="6"/>
      <c r="AB555" s="6"/>
      <c r="AC555" s="16"/>
    </row>
    <row r="556" spans="4:29">
      <c r="D556" s="16"/>
      <c r="I556" s="3"/>
      <c r="K556" s="15"/>
      <c r="L556" s="15"/>
      <c r="M556" s="15"/>
      <c r="N556" s="6"/>
      <c r="O556" s="6"/>
      <c r="P556" s="6"/>
      <c r="Q556" s="6"/>
      <c r="R556" s="6"/>
      <c r="S556" s="6"/>
      <c r="T556" s="6"/>
      <c r="U556" s="6"/>
      <c r="V556" s="6"/>
      <c r="W556" s="6"/>
      <c r="X556" s="6"/>
      <c r="Y556" s="6"/>
      <c r="Z556" s="6"/>
      <c r="AA556" s="6"/>
      <c r="AB556" s="6"/>
      <c r="AC556" s="16"/>
    </row>
    <row r="557" spans="4:29">
      <c r="D557" s="16"/>
      <c r="I557" s="3"/>
      <c r="K557" s="15"/>
      <c r="L557" s="15"/>
      <c r="M557" s="15"/>
      <c r="N557" s="6"/>
      <c r="O557" s="6"/>
      <c r="P557" s="6"/>
      <c r="Q557" s="6"/>
      <c r="R557" s="6"/>
      <c r="S557" s="6"/>
      <c r="T557" s="6"/>
      <c r="U557" s="6"/>
      <c r="V557" s="6"/>
      <c r="W557" s="6"/>
      <c r="X557" s="6"/>
      <c r="Y557" s="6"/>
      <c r="Z557" s="6"/>
      <c r="AA557" s="6"/>
      <c r="AB557" s="6"/>
      <c r="AC557" s="16"/>
    </row>
    <row r="558" spans="4:29">
      <c r="D558" s="16"/>
      <c r="I558" s="3"/>
      <c r="K558" s="15"/>
      <c r="L558" s="15"/>
      <c r="M558" s="15"/>
      <c r="N558" s="6"/>
      <c r="O558" s="6"/>
      <c r="P558" s="6"/>
      <c r="Q558" s="6"/>
      <c r="R558" s="6"/>
      <c r="S558" s="6"/>
      <c r="T558" s="6"/>
      <c r="U558" s="6"/>
      <c r="V558" s="6"/>
      <c r="W558" s="6"/>
      <c r="X558" s="6"/>
      <c r="Y558" s="6"/>
      <c r="Z558" s="6"/>
      <c r="AA558" s="6"/>
      <c r="AB558" s="6"/>
      <c r="AC558" s="16"/>
    </row>
    <row r="559" spans="4:29">
      <c r="D559" s="16"/>
      <c r="I559" s="3"/>
      <c r="K559" s="15"/>
      <c r="L559" s="15"/>
      <c r="M559" s="15"/>
      <c r="N559" s="6"/>
      <c r="O559" s="6"/>
      <c r="P559" s="6"/>
      <c r="Q559" s="6"/>
      <c r="R559" s="6"/>
      <c r="S559" s="6"/>
      <c r="T559" s="6"/>
      <c r="U559" s="6"/>
      <c r="V559" s="6"/>
      <c r="W559" s="6"/>
      <c r="X559" s="6"/>
      <c r="Y559" s="6"/>
      <c r="Z559" s="6"/>
      <c r="AA559" s="6"/>
      <c r="AB559" s="6"/>
      <c r="AC559" s="16"/>
    </row>
    <row r="560" spans="4:29">
      <c r="D560" s="16"/>
      <c r="I560" s="3"/>
      <c r="K560" s="15"/>
      <c r="L560" s="15"/>
      <c r="M560" s="15"/>
      <c r="N560" s="6"/>
      <c r="O560" s="6"/>
      <c r="P560" s="6"/>
      <c r="Q560" s="6"/>
      <c r="R560" s="6"/>
      <c r="S560" s="6"/>
      <c r="T560" s="6"/>
      <c r="U560" s="6"/>
      <c r="V560" s="6"/>
      <c r="W560" s="6"/>
      <c r="X560" s="6"/>
      <c r="Y560" s="6"/>
      <c r="Z560" s="6"/>
      <c r="AA560" s="6"/>
      <c r="AB560" s="6"/>
      <c r="AC560" s="16"/>
    </row>
    <row r="561" spans="4:29">
      <c r="D561" s="16"/>
      <c r="I561" s="3"/>
      <c r="K561" s="15"/>
      <c r="L561" s="15"/>
      <c r="M561" s="15"/>
      <c r="N561" s="6"/>
      <c r="O561" s="6"/>
      <c r="P561" s="6"/>
      <c r="Q561" s="6"/>
      <c r="R561" s="6"/>
      <c r="S561" s="6"/>
      <c r="T561" s="6"/>
      <c r="U561" s="6"/>
      <c r="V561" s="6"/>
      <c r="W561" s="6"/>
      <c r="X561" s="6"/>
      <c r="Y561" s="6"/>
      <c r="Z561" s="6"/>
      <c r="AA561" s="6"/>
      <c r="AB561" s="6"/>
      <c r="AC561" s="16"/>
    </row>
    <row r="562" spans="4:29">
      <c r="D562" s="16"/>
      <c r="I562" s="3"/>
      <c r="K562" s="15"/>
      <c r="L562" s="15"/>
      <c r="M562" s="15"/>
      <c r="N562" s="6"/>
      <c r="O562" s="6"/>
      <c r="P562" s="6"/>
      <c r="Q562" s="6"/>
      <c r="R562" s="6"/>
      <c r="S562" s="6"/>
      <c r="T562" s="6"/>
      <c r="U562" s="6"/>
      <c r="V562" s="6"/>
      <c r="W562" s="6"/>
      <c r="X562" s="6"/>
      <c r="Y562" s="6"/>
      <c r="Z562" s="6"/>
      <c r="AA562" s="6"/>
      <c r="AB562" s="6"/>
      <c r="AC562" s="16"/>
    </row>
    <row r="563" spans="4:29">
      <c r="D563" s="16"/>
      <c r="I563" s="3"/>
      <c r="K563" s="15"/>
      <c r="L563" s="15"/>
      <c r="M563" s="15"/>
      <c r="N563" s="6"/>
      <c r="O563" s="6"/>
      <c r="P563" s="6"/>
      <c r="Q563" s="6"/>
      <c r="R563" s="6"/>
      <c r="S563" s="6"/>
      <c r="T563" s="6"/>
      <c r="U563" s="6"/>
      <c r="V563" s="6"/>
      <c r="W563" s="6"/>
      <c r="X563" s="6"/>
      <c r="Y563" s="6"/>
      <c r="Z563" s="6"/>
      <c r="AA563" s="6"/>
      <c r="AB563" s="6"/>
      <c r="AC563" s="16"/>
    </row>
    <row r="564" spans="4:29">
      <c r="D564" s="16"/>
      <c r="I564" s="3"/>
      <c r="K564" s="15"/>
      <c r="L564" s="15"/>
      <c r="M564" s="15"/>
      <c r="N564" s="6"/>
      <c r="O564" s="6"/>
      <c r="P564" s="6"/>
      <c r="Q564" s="6"/>
      <c r="R564" s="6"/>
      <c r="S564" s="6"/>
      <c r="T564" s="6"/>
      <c r="U564" s="6"/>
      <c r="V564" s="6"/>
      <c r="W564" s="6"/>
      <c r="X564" s="6"/>
      <c r="Y564" s="6"/>
      <c r="Z564" s="6"/>
      <c r="AA564" s="6"/>
      <c r="AB564" s="6"/>
      <c r="AC564" s="16"/>
    </row>
    <row r="565" spans="4:29">
      <c r="D565" s="16"/>
      <c r="I565" s="3"/>
      <c r="K565" s="15"/>
      <c r="L565" s="15"/>
      <c r="M565" s="15"/>
      <c r="N565" s="6"/>
      <c r="O565" s="6"/>
      <c r="P565" s="6"/>
      <c r="Q565" s="6"/>
      <c r="R565" s="6"/>
      <c r="S565" s="6"/>
      <c r="T565" s="6"/>
      <c r="U565" s="6"/>
      <c r="V565" s="6"/>
      <c r="W565" s="6"/>
      <c r="X565" s="6"/>
      <c r="Y565" s="6"/>
      <c r="Z565" s="6"/>
      <c r="AA565" s="6"/>
      <c r="AB565" s="6"/>
      <c r="AC565" s="16"/>
    </row>
    <row r="566" spans="4:29">
      <c r="D566" s="16"/>
      <c r="I566" s="3"/>
      <c r="K566" s="15"/>
      <c r="L566" s="15"/>
      <c r="M566" s="15"/>
      <c r="N566" s="6"/>
      <c r="O566" s="6"/>
      <c r="P566" s="6"/>
      <c r="Q566" s="6"/>
      <c r="R566" s="6"/>
      <c r="S566" s="6"/>
      <c r="T566" s="6"/>
      <c r="U566" s="6"/>
      <c r="V566" s="6"/>
      <c r="W566" s="6"/>
      <c r="X566" s="6"/>
      <c r="Y566" s="6"/>
      <c r="Z566" s="6"/>
      <c r="AA566" s="6"/>
      <c r="AB566" s="6"/>
      <c r="AC566" s="16"/>
    </row>
    <row r="567" spans="4:29">
      <c r="D567" s="16"/>
      <c r="I567" s="3"/>
      <c r="K567" s="15"/>
      <c r="L567" s="15"/>
      <c r="M567" s="15"/>
      <c r="N567" s="6"/>
      <c r="O567" s="6"/>
      <c r="P567" s="6"/>
      <c r="Q567" s="6"/>
      <c r="R567" s="6"/>
      <c r="S567" s="6"/>
      <c r="T567" s="6"/>
      <c r="U567" s="6"/>
      <c r="V567" s="6"/>
      <c r="W567" s="6"/>
      <c r="X567" s="6"/>
      <c r="Y567" s="6"/>
      <c r="Z567" s="6"/>
      <c r="AA567" s="6"/>
      <c r="AB567" s="6"/>
      <c r="AC567" s="16"/>
    </row>
    <row r="568" spans="4:29">
      <c r="D568" s="16"/>
      <c r="I568" s="3"/>
      <c r="K568" s="15"/>
      <c r="L568" s="15"/>
      <c r="M568" s="15"/>
      <c r="N568" s="6"/>
      <c r="O568" s="6"/>
      <c r="P568" s="6"/>
      <c r="Q568" s="6"/>
      <c r="R568" s="6"/>
      <c r="S568" s="6"/>
      <c r="T568" s="6"/>
      <c r="U568" s="6"/>
      <c r="V568" s="6"/>
      <c r="W568" s="6"/>
      <c r="X568" s="6"/>
      <c r="Y568" s="6"/>
      <c r="Z568" s="6"/>
      <c r="AA568" s="6"/>
      <c r="AB568" s="6"/>
      <c r="AC568" s="16"/>
    </row>
    <row r="569" spans="4:29">
      <c r="D569" s="16"/>
      <c r="I569" s="3"/>
      <c r="K569" s="15"/>
      <c r="L569" s="15"/>
      <c r="M569" s="15"/>
      <c r="N569" s="6"/>
      <c r="O569" s="6"/>
      <c r="P569" s="6"/>
      <c r="Q569" s="6"/>
      <c r="R569" s="6"/>
      <c r="S569" s="6"/>
      <c r="T569" s="6"/>
      <c r="U569" s="6"/>
      <c r="V569" s="6"/>
      <c r="W569" s="6"/>
      <c r="X569" s="6"/>
      <c r="Y569" s="6"/>
      <c r="Z569" s="6"/>
      <c r="AA569" s="6"/>
      <c r="AB569" s="6"/>
      <c r="AC569" s="16"/>
    </row>
    <row r="570" spans="4:29">
      <c r="D570" s="16"/>
      <c r="I570" s="3"/>
      <c r="K570" s="15"/>
      <c r="L570" s="15"/>
      <c r="M570" s="15"/>
      <c r="N570" s="6"/>
      <c r="O570" s="6"/>
      <c r="P570" s="6"/>
      <c r="Q570" s="6"/>
      <c r="R570" s="6"/>
      <c r="S570" s="6"/>
      <c r="T570" s="6"/>
      <c r="U570" s="6"/>
      <c r="V570" s="6"/>
      <c r="W570" s="6"/>
      <c r="X570" s="6"/>
      <c r="Y570" s="6"/>
      <c r="Z570" s="6"/>
      <c r="AA570" s="6"/>
      <c r="AB570" s="6"/>
      <c r="AC570" s="16"/>
    </row>
    <row r="571" spans="4:29">
      <c r="D571" s="16"/>
      <c r="I571" s="3"/>
      <c r="K571" s="15"/>
      <c r="L571" s="15"/>
      <c r="M571" s="15"/>
      <c r="N571" s="6"/>
      <c r="O571" s="6"/>
      <c r="P571" s="6"/>
      <c r="Q571" s="6"/>
      <c r="R571" s="6"/>
      <c r="S571" s="6"/>
      <c r="T571" s="6"/>
      <c r="U571" s="6"/>
      <c r="V571" s="6"/>
      <c r="W571" s="6"/>
      <c r="X571" s="6"/>
      <c r="Y571" s="6"/>
      <c r="Z571" s="6"/>
      <c r="AA571" s="6"/>
      <c r="AB571" s="6"/>
      <c r="AC571" s="16"/>
    </row>
    <row r="572" spans="4:29">
      <c r="D572" s="16"/>
      <c r="I572" s="3"/>
      <c r="K572" s="15"/>
      <c r="L572" s="15"/>
      <c r="M572" s="15"/>
      <c r="N572" s="6"/>
      <c r="O572" s="6"/>
      <c r="P572" s="6"/>
      <c r="Q572" s="6"/>
      <c r="R572" s="6"/>
      <c r="S572" s="6"/>
      <c r="T572" s="6"/>
      <c r="U572" s="6"/>
      <c r="V572" s="6"/>
      <c r="W572" s="6"/>
      <c r="X572" s="6"/>
      <c r="Y572" s="6"/>
      <c r="Z572" s="6"/>
      <c r="AA572" s="6"/>
      <c r="AB572" s="6"/>
      <c r="AC572" s="16"/>
    </row>
    <row r="573" spans="4:29">
      <c r="D573" s="16"/>
      <c r="I573" s="3"/>
      <c r="K573" s="15"/>
      <c r="L573" s="15"/>
      <c r="M573" s="15"/>
      <c r="N573" s="6"/>
      <c r="O573" s="6"/>
      <c r="P573" s="6"/>
      <c r="Q573" s="6"/>
      <c r="R573" s="6"/>
      <c r="S573" s="6"/>
      <c r="T573" s="6"/>
      <c r="U573" s="6"/>
      <c r="V573" s="6"/>
      <c r="W573" s="6"/>
      <c r="X573" s="6"/>
      <c r="Y573" s="6"/>
      <c r="Z573" s="6"/>
      <c r="AA573" s="6"/>
      <c r="AB573" s="6"/>
      <c r="AC573" s="16"/>
    </row>
    <row r="574" spans="4:29">
      <c r="D574" s="16"/>
      <c r="I574" s="3"/>
      <c r="K574" s="15"/>
      <c r="L574" s="15"/>
      <c r="M574" s="15"/>
      <c r="N574" s="6"/>
      <c r="O574" s="6"/>
      <c r="P574" s="6"/>
      <c r="Q574" s="6"/>
      <c r="R574" s="6"/>
      <c r="S574" s="6"/>
      <c r="T574" s="6"/>
      <c r="U574" s="6"/>
      <c r="V574" s="6"/>
      <c r="W574" s="6"/>
      <c r="X574" s="6"/>
      <c r="Y574" s="6"/>
      <c r="Z574" s="6"/>
      <c r="AA574" s="6"/>
      <c r="AB574" s="6"/>
      <c r="AC574" s="16"/>
    </row>
    <row r="575" spans="4:29">
      <c r="D575" s="16"/>
      <c r="I575" s="3"/>
      <c r="K575" s="15"/>
      <c r="L575" s="15"/>
      <c r="M575" s="15"/>
      <c r="N575" s="6"/>
      <c r="O575" s="6"/>
      <c r="P575" s="6"/>
      <c r="Q575" s="6"/>
      <c r="R575" s="6"/>
      <c r="S575" s="6"/>
      <c r="T575" s="6"/>
      <c r="U575" s="6"/>
      <c r="V575" s="6"/>
      <c r="W575" s="6"/>
      <c r="X575" s="6"/>
      <c r="Y575" s="6"/>
      <c r="Z575" s="6"/>
      <c r="AA575" s="6"/>
      <c r="AB575" s="6"/>
      <c r="AC575" s="16"/>
    </row>
    <row r="576" spans="4:29">
      <c r="D576" s="16"/>
      <c r="I576" s="3"/>
      <c r="K576" s="15"/>
      <c r="L576" s="15"/>
      <c r="M576" s="15"/>
      <c r="N576" s="6"/>
      <c r="O576" s="6"/>
      <c r="P576" s="6"/>
      <c r="Q576" s="6"/>
      <c r="R576" s="6"/>
      <c r="S576" s="6"/>
      <c r="T576" s="6"/>
      <c r="U576" s="6"/>
      <c r="V576" s="6"/>
      <c r="W576" s="6"/>
      <c r="X576" s="6"/>
      <c r="Y576" s="6"/>
      <c r="Z576" s="6"/>
      <c r="AA576" s="6"/>
      <c r="AB576" s="6"/>
      <c r="AC576" s="16"/>
    </row>
    <row r="577" spans="4:29">
      <c r="D577" s="16"/>
      <c r="I577" s="3"/>
      <c r="K577" s="15"/>
      <c r="L577" s="15"/>
      <c r="M577" s="15"/>
      <c r="N577" s="6"/>
      <c r="O577" s="6"/>
      <c r="P577" s="6"/>
      <c r="Q577" s="6"/>
      <c r="R577" s="6"/>
      <c r="S577" s="6"/>
      <c r="T577" s="6"/>
      <c r="U577" s="6"/>
      <c r="V577" s="6"/>
      <c r="W577" s="6"/>
      <c r="X577" s="6"/>
      <c r="Y577" s="6"/>
      <c r="Z577" s="6"/>
      <c r="AA577" s="6"/>
      <c r="AB577" s="6"/>
      <c r="AC577" s="16"/>
    </row>
    <row r="578" spans="4:29">
      <c r="D578" s="16"/>
      <c r="I578" s="3"/>
      <c r="K578" s="15"/>
      <c r="L578" s="15"/>
      <c r="M578" s="15"/>
      <c r="N578" s="6"/>
      <c r="O578" s="6"/>
      <c r="P578" s="6"/>
      <c r="Q578" s="6"/>
      <c r="R578" s="6"/>
      <c r="S578" s="6"/>
      <c r="T578" s="6"/>
      <c r="U578" s="6"/>
      <c r="V578" s="6"/>
      <c r="W578" s="6"/>
      <c r="X578" s="6"/>
      <c r="Y578" s="6"/>
      <c r="Z578" s="6"/>
      <c r="AA578" s="6"/>
      <c r="AB578" s="6"/>
      <c r="AC578" s="16"/>
    </row>
    <row r="579" spans="4:29">
      <c r="D579" s="16"/>
      <c r="I579" s="3"/>
      <c r="K579" s="15"/>
      <c r="L579" s="15"/>
      <c r="M579" s="15"/>
      <c r="N579" s="6"/>
      <c r="O579" s="6"/>
      <c r="P579" s="6"/>
      <c r="Q579" s="6"/>
      <c r="R579" s="6"/>
      <c r="S579" s="6"/>
      <c r="T579" s="6"/>
      <c r="U579" s="6"/>
      <c r="V579" s="6"/>
      <c r="W579" s="6"/>
      <c r="X579" s="6"/>
      <c r="Y579" s="6"/>
      <c r="Z579" s="6"/>
      <c r="AA579" s="6"/>
      <c r="AB579" s="6"/>
      <c r="AC579" s="16"/>
    </row>
    <row r="580" spans="4:29">
      <c r="D580" s="16"/>
      <c r="I580" s="3"/>
      <c r="K580" s="15"/>
      <c r="L580" s="15"/>
      <c r="M580" s="15"/>
      <c r="N580" s="6"/>
      <c r="O580" s="6"/>
      <c r="P580" s="6"/>
      <c r="Q580" s="6"/>
      <c r="R580" s="6"/>
      <c r="S580" s="6"/>
      <c r="T580" s="6"/>
      <c r="U580" s="6"/>
      <c r="V580" s="6"/>
      <c r="W580" s="6"/>
      <c r="X580" s="6"/>
      <c r="Y580" s="6"/>
      <c r="Z580" s="6"/>
      <c r="AA580" s="6"/>
      <c r="AB580" s="6"/>
      <c r="AC580" s="16"/>
    </row>
    <row r="581" spans="4:29">
      <c r="D581" s="16"/>
      <c r="I581" s="3"/>
      <c r="K581" s="15"/>
      <c r="L581" s="15"/>
      <c r="M581" s="15"/>
      <c r="N581" s="6"/>
      <c r="O581" s="6"/>
      <c r="P581" s="6"/>
      <c r="Q581" s="6"/>
      <c r="R581" s="6"/>
      <c r="S581" s="6"/>
      <c r="T581" s="6"/>
      <c r="U581" s="6"/>
      <c r="V581" s="6"/>
      <c r="W581" s="6"/>
      <c r="X581" s="6"/>
      <c r="Y581" s="6"/>
      <c r="Z581" s="6"/>
      <c r="AA581" s="6"/>
      <c r="AB581" s="6"/>
      <c r="AC581" s="16"/>
    </row>
    <row r="582" spans="4:29">
      <c r="D582" s="16"/>
      <c r="I582" s="3"/>
      <c r="K582" s="15"/>
      <c r="L582" s="15"/>
      <c r="M582" s="15"/>
      <c r="N582" s="6"/>
      <c r="O582" s="6"/>
      <c r="P582" s="6"/>
      <c r="Q582" s="6"/>
      <c r="R582" s="6"/>
      <c r="S582" s="6"/>
      <c r="T582" s="6"/>
      <c r="U582" s="6"/>
      <c r="V582" s="6"/>
      <c r="W582" s="6"/>
      <c r="X582" s="6"/>
      <c r="Y582" s="6"/>
      <c r="Z582" s="6"/>
      <c r="AA582" s="6"/>
      <c r="AB582" s="6"/>
      <c r="AC582" s="16"/>
    </row>
    <row r="583" spans="4:29">
      <c r="D583" s="16"/>
      <c r="I583" s="3"/>
      <c r="K583" s="15"/>
      <c r="L583" s="15"/>
      <c r="M583" s="15"/>
      <c r="N583" s="6"/>
      <c r="O583" s="6"/>
      <c r="P583" s="6"/>
      <c r="Q583" s="6"/>
      <c r="R583" s="6"/>
      <c r="S583" s="6"/>
      <c r="T583" s="6"/>
      <c r="U583" s="6"/>
      <c r="V583" s="6"/>
      <c r="W583" s="6"/>
      <c r="X583" s="6"/>
      <c r="Y583" s="6"/>
      <c r="Z583" s="6"/>
      <c r="AA583" s="6"/>
      <c r="AB583" s="6"/>
      <c r="AC583" s="16"/>
    </row>
    <row r="584" spans="4:29">
      <c r="D584" s="16"/>
      <c r="I584" s="3"/>
      <c r="K584" s="15"/>
      <c r="L584" s="15"/>
      <c r="M584" s="15"/>
      <c r="N584" s="6"/>
      <c r="O584" s="6"/>
      <c r="P584" s="6"/>
      <c r="Q584" s="6"/>
      <c r="R584" s="6"/>
      <c r="S584" s="6"/>
      <c r="T584" s="6"/>
      <c r="U584" s="6"/>
      <c r="V584" s="6"/>
      <c r="W584" s="6"/>
      <c r="X584" s="6"/>
      <c r="Y584" s="6"/>
      <c r="Z584" s="6"/>
      <c r="AA584" s="6"/>
      <c r="AB584" s="6"/>
      <c r="AC584" s="16"/>
    </row>
    <row r="585" spans="4:29">
      <c r="D585" s="16"/>
      <c r="I585" s="3"/>
      <c r="K585" s="15"/>
      <c r="L585" s="15"/>
      <c r="M585" s="15"/>
      <c r="N585" s="6"/>
      <c r="O585" s="6"/>
      <c r="P585" s="6"/>
      <c r="Q585" s="6"/>
      <c r="R585" s="6"/>
      <c r="S585" s="6"/>
      <c r="T585" s="6"/>
      <c r="U585" s="6"/>
      <c r="V585" s="6"/>
      <c r="W585" s="6"/>
      <c r="X585" s="6"/>
      <c r="Y585" s="6"/>
      <c r="Z585" s="6"/>
      <c r="AA585" s="6"/>
      <c r="AB585" s="6"/>
      <c r="AC585" s="16"/>
    </row>
    <row r="586" spans="4:29">
      <c r="D586" s="16"/>
      <c r="I586" s="3"/>
      <c r="K586" s="15"/>
      <c r="L586" s="15"/>
      <c r="M586" s="15"/>
      <c r="N586" s="6"/>
      <c r="O586" s="6"/>
      <c r="P586" s="6"/>
      <c r="Q586" s="6"/>
      <c r="R586" s="6"/>
      <c r="S586" s="6"/>
      <c r="T586" s="6"/>
      <c r="U586" s="6"/>
      <c r="V586" s="6"/>
      <c r="W586" s="6"/>
      <c r="X586" s="6"/>
      <c r="Y586" s="6"/>
      <c r="Z586" s="6"/>
      <c r="AA586" s="6"/>
      <c r="AB586" s="6"/>
      <c r="AC586" s="16"/>
    </row>
    <row r="587" spans="4:29">
      <c r="D587" s="16"/>
      <c r="I587" s="3"/>
      <c r="K587" s="15"/>
      <c r="L587" s="15"/>
      <c r="M587" s="15"/>
      <c r="N587" s="6"/>
      <c r="O587" s="6"/>
      <c r="P587" s="6"/>
      <c r="Q587" s="6"/>
      <c r="R587" s="6"/>
      <c r="S587" s="6"/>
      <c r="T587" s="6"/>
      <c r="U587" s="6"/>
      <c r="V587" s="6"/>
      <c r="W587" s="6"/>
      <c r="X587" s="6"/>
      <c r="Y587" s="6"/>
      <c r="Z587" s="6"/>
      <c r="AA587" s="6"/>
      <c r="AB587" s="6"/>
      <c r="AC587" s="16"/>
    </row>
    <row r="588" spans="4:29">
      <c r="D588" s="16"/>
      <c r="I588" s="3"/>
      <c r="K588" s="15"/>
      <c r="L588" s="15"/>
      <c r="M588" s="15"/>
      <c r="N588" s="6"/>
      <c r="O588" s="6"/>
      <c r="P588" s="6"/>
      <c r="Q588" s="6"/>
      <c r="R588" s="6"/>
      <c r="S588" s="6"/>
      <c r="T588" s="6"/>
      <c r="U588" s="6"/>
      <c r="V588" s="6"/>
      <c r="W588" s="6"/>
      <c r="X588" s="6"/>
      <c r="Y588" s="6"/>
      <c r="Z588" s="6"/>
      <c r="AA588" s="6"/>
      <c r="AB588" s="6"/>
      <c r="AC588" s="16"/>
    </row>
    <row r="589" spans="4:29">
      <c r="D589" s="16"/>
      <c r="I589" s="3"/>
      <c r="K589" s="15"/>
      <c r="L589" s="15"/>
      <c r="M589" s="15"/>
      <c r="N589" s="6"/>
      <c r="O589" s="6"/>
      <c r="P589" s="6"/>
      <c r="Q589" s="6"/>
      <c r="R589" s="6"/>
      <c r="S589" s="6"/>
      <c r="T589" s="6"/>
      <c r="U589" s="6"/>
      <c r="V589" s="6"/>
      <c r="W589" s="6"/>
      <c r="X589" s="6"/>
      <c r="Y589" s="6"/>
      <c r="Z589" s="6"/>
      <c r="AA589" s="6"/>
      <c r="AB589" s="6"/>
      <c r="AC589" s="16"/>
    </row>
    <row r="590" spans="4:29">
      <c r="D590" s="16"/>
      <c r="I590" s="3"/>
      <c r="K590" s="15"/>
      <c r="L590" s="15"/>
      <c r="M590" s="15"/>
      <c r="N590" s="6"/>
      <c r="O590" s="6"/>
      <c r="P590" s="6"/>
      <c r="Q590" s="6"/>
      <c r="R590" s="6"/>
      <c r="S590" s="6"/>
      <c r="T590" s="6"/>
      <c r="U590" s="6"/>
      <c r="V590" s="6"/>
      <c r="W590" s="6"/>
      <c r="X590" s="6"/>
      <c r="Y590" s="6"/>
      <c r="Z590" s="6"/>
      <c r="AA590" s="6"/>
      <c r="AB590" s="6"/>
      <c r="AC590" s="16"/>
    </row>
    <row r="591" spans="4:29">
      <c r="D591" s="16"/>
      <c r="I591" s="3"/>
      <c r="K591" s="15"/>
      <c r="L591" s="15"/>
      <c r="M591" s="15"/>
      <c r="N591" s="6"/>
      <c r="O591" s="6"/>
      <c r="P591" s="6"/>
      <c r="Q591" s="6"/>
      <c r="R591" s="6"/>
      <c r="S591" s="6"/>
      <c r="T591" s="6"/>
      <c r="U591" s="6"/>
      <c r="V591" s="6"/>
      <c r="W591" s="6"/>
      <c r="X591" s="6"/>
      <c r="Y591" s="6"/>
      <c r="Z591" s="6"/>
      <c r="AA591" s="6"/>
      <c r="AB591" s="6"/>
      <c r="AC591" s="16"/>
    </row>
    <row r="592" spans="4:29">
      <c r="D592" s="16"/>
      <c r="I592" s="3"/>
      <c r="K592" s="15"/>
      <c r="L592" s="15"/>
      <c r="M592" s="15"/>
      <c r="N592" s="6"/>
      <c r="O592" s="6"/>
      <c r="P592" s="6"/>
      <c r="Q592" s="6"/>
      <c r="R592" s="6"/>
      <c r="S592" s="6"/>
      <c r="T592" s="6"/>
      <c r="U592" s="6"/>
      <c r="V592" s="6"/>
      <c r="W592" s="6"/>
      <c r="X592" s="6"/>
      <c r="Y592" s="6"/>
      <c r="Z592" s="6"/>
      <c r="AA592" s="6"/>
      <c r="AB592" s="6"/>
      <c r="AC592" s="16"/>
    </row>
    <row r="593" spans="4:29">
      <c r="D593" s="16"/>
      <c r="I593" s="3"/>
      <c r="K593" s="15"/>
      <c r="L593" s="15"/>
      <c r="M593" s="15"/>
      <c r="N593" s="6"/>
      <c r="O593" s="6"/>
      <c r="P593" s="6"/>
      <c r="Q593" s="6"/>
      <c r="R593" s="6"/>
      <c r="S593" s="6"/>
      <c r="T593" s="6"/>
      <c r="U593" s="6"/>
      <c r="V593" s="6"/>
      <c r="W593" s="6"/>
      <c r="X593" s="6"/>
      <c r="Y593" s="6"/>
      <c r="Z593" s="6"/>
      <c r="AA593" s="6"/>
      <c r="AB593" s="6"/>
      <c r="AC593" s="16"/>
    </row>
    <row r="594" spans="4:29">
      <c r="D594" s="16"/>
      <c r="I594" s="3"/>
      <c r="K594" s="15"/>
      <c r="L594" s="15"/>
      <c r="M594" s="15"/>
      <c r="N594" s="6"/>
      <c r="O594" s="6"/>
      <c r="P594" s="6"/>
      <c r="Q594" s="6"/>
      <c r="R594" s="6"/>
      <c r="S594" s="6"/>
      <c r="T594" s="6"/>
      <c r="U594" s="6"/>
      <c r="V594" s="6"/>
      <c r="W594" s="6"/>
      <c r="X594" s="6"/>
      <c r="Y594" s="6"/>
      <c r="Z594" s="6"/>
      <c r="AA594" s="6"/>
      <c r="AB594" s="6"/>
      <c r="AC594" s="16"/>
    </row>
    <row r="595" spans="4:29">
      <c r="D595" s="16"/>
      <c r="I595" s="3"/>
      <c r="K595" s="15"/>
      <c r="L595" s="15"/>
      <c r="M595" s="15"/>
      <c r="N595" s="6"/>
      <c r="O595" s="6"/>
      <c r="P595" s="6"/>
      <c r="Q595" s="6"/>
      <c r="R595" s="6"/>
      <c r="S595" s="6"/>
      <c r="T595" s="6"/>
      <c r="U595" s="6"/>
      <c r="V595" s="6"/>
      <c r="W595" s="6"/>
      <c r="X595" s="6"/>
      <c r="Y595" s="6"/>
      <c r="Z595" s="6"/>
      <c r="AA595" s="6"/>
      <c r="AB595" s="6"/>
      <c r="AC595" s="16"/>
    </row>
    <row r="596" spans="4:29">
      <c r="D596" s="16"/>
      <c r="I596" s="3"/>
      <c r="K596" s="15"/>
      <c r="L596" s="15"/>
      <c r="M596" s="15"/>
      <c r="N596" s="6"/>
      <c r="O596" s="6"/>
      <c r="P596" s="6"/>
      <c r="Q596" s="6"/>
      <c r="R596" s="6"/>
      <c r="S596" s="6"/>
      <c r="T596" s="6"/>
      <c r="U596" s="6"/>
      <c r="V596" s="6"/>
      <c r="W596" s="6"/>
      <c r="X596" s="6"/>
      <c r="Y596" s="6"/>
      <c r="Z596" s="6"/>
      <c r="AA596" s="6"/>
      <c r="AB596" s="6"/>
      <c r="AC596" s="16"/>
    </row>
    <row r="597" spans="4:29">
      <c r="D597" s="16"/>
      <c r="I597" s="3"/>
      <c r="K597" s="15"/>
      <c r="L597" s="15"/>
      <c r="M597" s="15"/>
      <c r="N597" s="6"/>
      <c r="O597" s="6"/>
      <c r="P597" s="6"/>
      <c r="Q597" s="6"/>
      <c r="R597" s="6"/>
      <c r="S597" s="6"/>
      <c r="T597" s="6"/>
      <c r="U597" s="6"/>
      <c r="V597" s="6"/>
      <c r="W597" s="6"/>
      <c r="X597" s="6"/>
      <c r="Y597" s="6"/>
      <c r="Z597" s="6"/>
      <c r="AA597" s="6"/>
      <c r="AB597" s="6"/>
      <c r="AC597" s="16"/>
    </row>
    <row r="598" spans="4:29">
      <c r="D598" s="16"/>
      <c r="I598" s="3"/>
      <c r="K598" s="15"/>
      <c r="L598" s="15"/>
      <c r="M598" s="15"/>
      <c r="N598" s="6"/>
      <c r="O598" s="6"/>
      <c r="P598" s="6"/>
      <c r="Q598" s="6"/>
      <c r="R598" s="6"/>
      <c r="S598" s="6"/>
      <c r="T598" s="6"/>
      <c r="U598" s="6"/>
      <c r="V598" s="6"/>
      <c r="W598" s="6"/>
      <c r="X598" s="6"/>
      <c r="Y598" s="6"/>
      <c r="Z598" s="6"/>
      <c r="AA598" s="6"/>
      <c r="AB598" s="6"/>
      <c r="AC598" s="16"/>
    </row>
    <row r="599" spans="4:29">
      <c r="D599" s="16"/>
      <c r="I599" s="3"/>
      <c r="K599" s="15"/>
      <c r="L599" s="15"/>
      <c r="M599" s="15"/>
      <c r="N599" s="6"/>
      <c r="O599" s="6"/>
      <c r="P599" s="6"/>
      <c r="Q599" s="6"/>
      <c r="R599" s="6"/>
      <c r="S599" s="6"/>
      <c r="T599" s="6"/>
      <c r="U599" s="6"/>
      <c r="V599" s="6"/>
      <c r="W599" s="6"/>
      <c r="X599" s="6"/>
      <c r="Y599" s="6"/>
      <c r="Z599" s="6"/>
      <c r="AA599" s="6"/>
      <c r="AB599" s="6"/>
      <c r="AC599" s="16"/>
    </row>
    <row r="600" spans="4:29">
      <c r="D600" s="16"/>
      <c r="I600" s="3"/>
      <c r="K600" s="15"/>
      <c r="L600" s="15"/>
      <c r="M600" s="15"/>
      <c r="N600" s="6"/>
      <c r="O600" s="6"/>
      <c r="P600" s="6"/>
      <c r="Q600" s="6"/>
      <c r="R600" s="6"/>
      <c r="S600" s="6"/>
      <c r="T600" s="6"/>
      <c r="U600" s="6"/>
      <c r="V600" s="6"/>
      <c r="W600" s="6"/>
      <c r="X600" s="6"/>
      <c r="Y600" s="6"/>
      <c r="Z600" s="6"/>
      <c r="AA600" s="6"/>
      <c r="AB600" s="6"/>
      <c r="AC600" s="16"/>
    </row>
    <row r="601" spans="4:29">
      <c r="D601" s="16"/>
      <c r="I601" s="3"/>
      <c r="K601" s="15"/>
      <c r="L601" s="15"/>
      <c r="M601" s="15"/>
      <c r="N601" s="6"/>
      <c r="O601" s="6"/>
      <c r="P601" s="6"/>
      <c r="Q601" s="6"/>
      <c r="R601" s="6"/>
      <c r="S601" s="6"/>
      <c r="T601" s="6"/>
      <c r="U601" s="6"/>
      <c r="V601" s="6"/>
      <c r="W601" s="6"/>
      <c r="X601" s="6"/>
      <c r="Y601" s="6"/>
      <c r="Z601" s="6"/>
      <c r="AA601" s="6"/>
      <c r="AB601" s="6"/>
      <c r="AC601" s="16"/>
    </row>
    <row r="602" spans="4:29">
      <c r="D602" s="16"/>
      <c r="I602" s="3"/>
      <c r="K602" s="15"/>
      <c r="L602" s="15"/>
      <c r="M602" s="15"/>
      <c r="N602" s="6"/>
      <c r="O602" s="6"/>
      <c r="P602" s="6"/>
      <c r="Q602" s="6"/>
      <c r="R602" s="6"/>
      <c r="S602" s="6"/>
      <c r="T602" s="6"/>
      <c r="U602" s="6"/>
      <c r="V602" s="6"/>
      <c r="W602" s="6"/>
      <c r="X602" s="6"/>
      <c r="Y602" s="6"/>
      <c r="Z602" s="6"/>
      <c r="AA602" s="6"/>
      <c r="AB602" s="6"/>
      <c r="AC602" s="16"/>
    </row>
    <row r="603" spans="4:29">
      <c r="D603" s="16"/>
      <c r="I603" s="3"/>
      <c r="K603" s="15"/>
      <c r="L603" s="15"/>
      <c r="M603" s="15"/>
      <c r="N603" s="6"/>
      <c r="O603" s="6"/>
      <c r="P603" s="6"/>
      <c r="Q603" s="6"/>
      <c r="R603" s="6"/>
      <c r="S603" s="6"/>
      <c r="T603" s="6"/>
      <c r="U603" s="6"/>
      <c r="V603" s="6"/>
      <c r="W603" s="6"/>
      <c r="X603" s="6"/>
      <c r="Y603" s="6"/>
      <c r="Z603" s="6"/>
      <c r="AA603" s="6"/>
      <c r="AB603" s="6"/>
      <c r="AC603" s="16"/>
    </row>
    <row r="604" spans="4:29">
      <c r="D604" s="16"/>
      <c r="I604" s="3"/>
      <c r="K604" s="15"/>
      <c r="L604" s="15"/>
      <c r="M604" s="15"/>
      <c r="N604" s="6"/>
      <c r="O604" s="6"/>
      <c r="P604" s="6"/>
      <c r="Q604" s="6"/>
      <c r="R604" s="6"/>
      <c r="S604" s="6"/>
      <c r="T604" s="6"/>
      <c r="U604" s="6"/>
      <c r="V604" s="6"/>
      <c r="W604" s="6"/>
      <c r="X604" s="6"/>
      <c r="Y604" s="6"/>
      <c r="Z604" s="6"/>
      <c r="AA604" s="6"/>
      <c r="AB604" s="6"/>
      <c r="AC604" s="16"/>
    </row>
    <row r="605" spans="4:29">
      <c r="D605" s="16"/>
      <c r="I605" s="3"/>
      <c r="K605" s="15"/>
      <c r="L605" s="15"/>
      <c r="M605" s="15"/>
      <c r="N605" s="6"/>
      <c r="O605" s="6"/>
      <c r="P605" s="6"/>
      <c r="Q605" s="6"/>
      <c r="R605" s="6"/>
      <c r="S605" s="6"/>
      <c r="T605" s="6"/>
      <c r="U605" s="6"/>
      <c r="V605" s="6"/>
      <c r="W605" s="6"/>
      <c r="X605" s="6"/>
      <c r="Y605" s="6"/>
      <c r="Z605" s="6"/>
      <c r="AA605" s="6"/>
      <c r="AB605" s="6"/>
      <c r="AC605" s="16"/>
    </row>
    <row r="606" spans="4:29">
      <c r="D606" s="16"/>
      <c r="I606" s="3"/>
      <c r="K606" s="15"/>
      <c r="L606" s="15"/>
      <c r="M606" s="15"/>
      <c r="N606" s="6"/>
      <c r="O606" s="6"/>
      <c r="P606" s="6"/>
      <c r="Q606" s="6"/>
      <c r="R606" s="6"/>
      <c r="S606" s="6"/>
      <c r="T606" s="6"/>
      <c r="U606" s="6"/>
      <c r="V606" s="6"/>
      <c r="W606" s="6"/>
      <c r="X606" s="6"/>
      <c r="Y606" s="6"/>
      <c r="Z606" s="6"/>
      <c r="AA606" s="6"/>
      <c r="AB606" s="6"/>
      <c r="AC606" s="16"/>
    </row>
    <row r="607" spans="4:29">
      <c r="D607" s="16"/>
      <c r="I607" s="3"/>
      <c r="K607" s="15"/>
      <c r="L607" s="15"/>
      <c r="M607" s="15"/>
      <c r="N607" s="6"/>
      <c r="O607" s="6"/>
      <c r="P607" s="6"/>
      <c r="Q607" s="6"/>
      <c r="R607" s="6"/>
      <c r="S607" s="6"/>
      <c r="T607" s="6"/>
      <c r="U607" s="6"/>
      <c r="V607" s="6"/>
      <c r="W607" s="6"/>
      <c r="X607" s="6"/>
      <c r="Y607" s="6"/>
      <c r="Z607" s="6"/>
      <c r="AA607" s="6"/>
      <c r="AB607" s="6"/>
      <c r="AC607" s="16"/>
    </row>
    <row r="608" spans="4:29">
      <c r="D608" s="16"/>
      <c r="I608" s="3"/>
      <c r="K608" s="15"/>
      <c r="L608" s="15"/>
      <c r="M608" s="15"/>
      <c r="N608" s="6"/>
      <c r="O608" s="6"/>
      <c r="P608" s="6"/>
      <c r="Q608" s="6"/>
      <c r="R608" s="6"/>
      <c r="S608" s="6"/>
      <c r="T608" s="6"/>
      <c r="U608" s="6"/>
      <c r="V608" s="6"/>
      <c r="W608" s="6"/>
      <c r="X608" s="6"/>
      <c r="Y608" s="6"/>
      <c r="Z608" s="6"/>
      <c r="AA608" s="6"/>
      <c r="AB608" s="6"/>
      <c r="AC608" s="16"/>
    </row>
    <row r="609" spans="4:29">
      <c r="D609" s="16"/>
      <c r="I609" s="3"/>
      <c r="K609" s="15"/>
      <c r="L609" s="15"/>
      <c r="M609" s="15"/>
      <c r="N609" s="6"/>
      <c r="O609" s="6"/>
      <c r="P609" s="6"/>
      <c r="Q609" s="6"/>
      <c r="R609" s="6"/>
      <c r="S609" s="6"/>
      <c r="T609" s="6"/>
      <c r="U609" s="6"/>
      <c r="V609" s="6"/>
      <c r="W609" s="6"/>
      <c r="X609" s="6"/>
      <c r="Y609" s="6"/>
      <c r="Z609" s="6"/>
      <c r="AA609" s="6"/>
      <c r="AB609" s="6"/>
      <c r="AC609" s="16"/>
    </row>
    <row r="610" spans="4:29">
      <c r="D610" s="16"/>
      <c r="I610" s="3"/>
      <c r="K610" s="15"/>
      <c r="L610" s="15"/>
      <c r="M610" s="15"/>
      <c r="N610" s="6"/>
      <c r="O610" s="6"/>
      <c r="P610" s="6"/>
      <c r="Q610" s="6"/>
      <c r="R610" s="6"/>
      <c r="S610" s="6"/>
      <c r="T610" s="6"/>
      <c r="U610" s="6"/>
      <c r="V610" s="6"/>
      <c r="W610" s="6"/>
      <c r="X610" s="6"/>
      <c r="Y610" s="6"/>
      <c r="Z610" s="6"/>
      <c r="AA610" s="6"/>
      <c r="AB610" s="6"/>
      <c r="AC610" s="16"/>
    </row>
    <row r="611" spans="4:29">
      <c r="D611" s="16"/>
      <c r="I611" s="3"/>
      <c r="K611" s="15"/>
      <c r="L611" s="15"/>
      <c r="M611" s="15"/>
      <c r="N611" s="6"/>
      <c r="O611" s="6"/>
      <c r="P611" s="6"/>
      <c r="Q611" s="6"/>
      <c r="R611" s="6"/>
      <c r="S611" s="6"/>
      <c r="T611" s="6"/>
      <c r="U611" s="6"/>
      <c r="V611" s="6"/>
      <c r="W611" s="6"/>
      <c r="X611" s="6"/>
      <c r="Y611" s="6"/>
      <c r="Z611" s="6"/>
      <c r="AA611" s="6"/>
      <c r="AB611" s="6"/>
      <c r="AC611" s="16"/>
    </row>
    <row r="612" spans="4:29">
      <c r="D612" s="16"/>
      <c r="I612" s="3"/>
      <c r="K612" s="15"/>
      <c r="L612" s="15"/>
      <c r="M612" s="15"/>
      <c r="N612" s="6"/>
      <c r="O612" s="6"/>
      <c r="P612" s="6"/>
      <c r="Q612" s="6"/>
      <c r="R612" s="6"/>
      <c r="S612" s="6"/>
      <c r="T612" s="6"/>
      <c r="U612" s="6"/>
      <c r="V612" s="6"/>
      <c r="W612" s="6"/>
      <c r="X612" s="6"/>
      <c r="Y612" s="6"/>
      <c r="Z612" s="6"/>
      <c r="AA612" s="6"/>
      <c r="AB612" s="6"/>
      <c r="AC612" s="16"/>
    </row>
    <row r="613" spans="4:29">
      <c r="D613" s="16"/>
      <c r="I613" s="3"/>
      <c r="K613" s="15"/>
      <c r="L613" s="15"/>
      <c r="M613" s="15"/>
      <c r="N613" s="6"/>
      <c r="O613" s="6"/>
      <c r="P613" s="6"/>
      <c r="Q613" s="6"/>
      <c r="R613" s="6"/>
      <c r="S613" s="6"/>
      <c r="T613" s="6"/>
      <c r="U613" s="6"/>
      <c r="V613" s="6"/>
      <c r="W613" s="6"/>
      <c r="X613" s="6"/>
      <c r="Y613" s="6"/>
      <c r="Z613" s="6"/>
      <c r="AA613" s="6"/>
      <c r="AB613" s="6"/>
      <c r="AC613" s="16"/>
    </row>
    <row r="614" spans="4:29">
      <c r="D614" s="16"/>
      <c r="I614" s="3"/>
      <c r="K614" s="15"/>
      <c r="L614" s="15"/>
      <c r="M614" s="15"/>
      <c r="N614" s="6"/>
      <c r="O614" s="6"/>
      <c r="P614" s="6"/>
      <c r="Q614" s="6"/>
      <c r="R614" s="6"/>
      <c r="S614" s="6"/>
      <c r="T614" s="6"/>
      <c r="U614" s="6"/>
      <c r="V614" s="6"/>
      <c r="W614" s="6"/>
      <c r="X614" s="6"/>
      <c r="Y614" s="6"/>
      <c r="Z614" s="6"/>
      <c r="AA614" s="6"/>
      <c r="AB614" s="6"/>
      <c r="AC614" s="16"/>
    </row>
    <row r="615" spans="4:29">
      <c r="D615" s="16"/>
      <c r="I615" s="3"/>
      <c r="K615" s="15"/>
      <c r="L615" s="15"/>
      <c r="M615" s="15"/>
      <c r="N615" s="6"/>
      <c r="O615" s="6"/>
      <c r="P615" s="6"/>
      <c r="Q615" s="6"/>
      <c r="R615" s="6"/>
      <c r="S615" s="6"/>
      <c r="T615" s="6"/>
      <c r="U615" s="6"/>
      <c r="V615" s="6"/>
      <c r="W615" s="6"/>
      <c r="X615" s="6"/>
      <c r="Y615" s="6"/>
      <c r="Z615" s="6"/>
      <c r="AA615" s="6"/>
      <c r="AB615" s="6"/>
      <c r="AC615" s="16"/>
    </row>
    <row r="616" spans="4:29">
      <c r="D616" s="16"/>
      <c r="I616" s="3"/>
      <c r="K616" s="15"/>
      <c r="L616" s="15"/>
      <c r="M616" s="15"/>
      <c r="N616" s="6"/>
      <c r="O616" s="6"/>
      <c r="P616" s="6"/>
      <c r="Q616" s="6"/>
      <c r="R616" s="6"/>
      <c r="S616" s="6"/>
      <c r="T616" s="6"/>
      <c r="U616" s="6"/>
      <c r="V616" s="6"/>
      <c r="W616" s="6"/>
      <c r="X616" s="6"/>
      <c r="Y616" s="6"/>
      <c r="Z616" s="6"/>
      <c r="AA616" s="6"/>
      <c r="AB616" s="6"/>
      <c r="AC616" s="16"/>
    </row>
    <row r="617" spans="4:29">
      <c r="D617" s="16"/>
      <c r="I617" s="3"/>
      <c r="K617" s="15"/>
      <c r="L617" s="15"/>
      <c r="M617" s="15"/>
      <c r="N617" s="6"/>
      <c r="O617" s="6"/>
      <c r="P617" s="6"/>
      <c r="Q617" s="6"/>
      <c r="R617" s="6"/>
      <c r="S617" s="6"/>
      <c r="T617" s="6"/>
      <c r="U617" s="6"/>
      <c r="V617" s="6"/>
      <c r="W617" s="6"/>
      <c r="X617" s="6"/>
      <c r="Y617" s="6"/>
      <c r="Z617" s="6"/>
      <c r="AA617" s="6"/>
      <c r="AB617" s="6"/>
      <c r="AC617" s="16"/>
    </row>
    <row r="618" spans="4:29">
      <c r="D618" s="16"/>
      <c r="I618" s="3"/>
      <c r="K618" s="15"/>
      <c r="L618" s="15"/>
      <c r="M618" s="15"/>
      <c r="N618" s="6"/>
      <c r="O618" s="6"/>
      <c r="P618" s="6"/>
      <c r="Q618" s="6"/>
      <c r="R618" s="6"/>
      <c r="S618" s="6"/>
      <c r="T618" s="6"/>
      <c r="U618" s="6"/>
      <c r="V618" s="6"/>
      <c r="W618" s="6"/>
      <c r="X618" s="6"/>
      <c r="Y618" s="6"/>
      <c r="Z618" s="6"/>
      <c r="AA618" s="6"/>
      <c r="AB618" s="6"/>
      <c r="AC618" s="16"/>
    </row>
    <row r="619" spans="4:29">
      <c r="D619" s="16"/>
      <c r="I619" s="3"/>
      <c r="K619" s="15"/>
      <c r="L619" s="15"/>
      <c r="M619" s="15"/>
      <c r="N619" s="6"/>
      <c r="O619" s="6"/>
      <c r="P619" s="6"/>
      <c r="Q619" s="6"/>
      <c r="R619" s="6"/>
      <c r="S619" s="6"/>
      <c r="T619" s="6"/>
      <c r="U619" s="6"/>
      <c r="V619" s="6"/>
      <c r="W619" s="6"/>
      <c r="X619" s="6"/>
      <c r="Y619" s="6"/>
      <c r="Z619" s="6"/>
      <c r="AA619" s="6"/>
      <c r="AB619" s="6"/>
      <c r="AC619" s="16"/>
    </row>
    <row r="620" spans="4:29">
      <c r="D620" s="16"/>
      <c r="I620" s="3"/>
      <c r="K620" s="15"/>
      <c r="L620" s="15"/>
      <c r="M620" s="15"/>
      <c r="N620" s="6"/>
      <c r="O620" s="6"/>
      <c r="P620" s="6"/>
      <c r="Q620" s="6"/>
      <c r="R620" s="6"/>
      <c r="S620" s="6"/>
      <c r="T620" s="6"/>
      <c r="U620" s="6"/>
      <c r="V620" s="6"/>
      <c r="W620" s="6"/>
      <c r="X620" s="6"/>
      <c r="Y620" s="6"/>
      <c r="Z620" s="6"/>
      <c r="AA620" s="6"/>
      <c r="AB620" s="6"/>
      <c r="AC620" s="16"/>
    </row>
    <row r="621" spans="4:29">
      <c r="D621" s="16"/>
      <c r="I621" s="3"/>
      <c r="K621" s="15"/>
      <c r="L621" s="15"/>
      <c r="M621" s="15"/>
      <c r="N621" s="6"/>
      <c r="O621" s="6"/>
      <c r="P621" s="6"/>
      <c r="Q621" s="6"/>
      <c r="R621" s="6"/>
      <c r="S621" s="6"/>
      <c r="T621" s="6"/>
      <c r="U621" s="6"/>
      <c r="V621" s="6"/>
      <c r="W621" s="6"/>
      <c r="X621" s="6"/>
      <c r="Y621" s="6"/>
      <c r="Z621" s="6"/>
      <c r="AA621" s="6"/>
      <c r="AB621" s="6"/>
      <c r="AC621" s="16"/>
    </row>
    <row r="622" spans="4:29">
      <c r="D622" s="16"/>
      <c r="I622" s="3"/>
      <c r="K622" s="15"/>
      <c r="L622" s="15"/>
      <c r="M622" s="15"/>
      <c r="N622" s="6"/>
      <c r="O622" s="6"/>
      <c r="P622" s="6"/>
      <c r="Q622" s="6"/>
      <c r="R622" s="6"/>
      <c r="S622" s="6"/>
      <c r="T622" s="6"/>
      <c r="U622" s="6"/>
      <c r="V622" s="6"/>
      <c r="W622" s="6"/>
      <c r="X622" s="6"/>
      <c r="Y622" s="6"/>
      <c r="Z622" s="6"/>
      <c r="AA622" s="6"/>
      <c r="AB622" s="6"/>
      <c r="AC622" s="16"/>
    </row>
    <row r="623" spans="4:29">
      <c r="D623" s="16"/>
      <c r="I623" s="3"/>
      <c r="K623" s="15"/>
      <c r="L623" s="15"/>
      <c r="M623" s="15"/>
      <c r="N623" s="6"/>
      <c r="O623" s="6"/>
      <c r="P623" s="6"/>
      <c r="Q623" s="6"/>
      <c r="R623" s="6"/>
      <c r="S623" s="6"/>
      <c r="T623" s="6"/>
      <c r="U623" s="6"/>
      <c r="V623" s="6"/>
      <c r="W623" s="6"/>
      <c r="X623" s="6"/>
      <c r="Y623" s="6"/>
      <c r="Z623" s="6"/>
      <c r="AA623" s="6"/>
      <c r="AB623" s="6"/>
      <c r="AC623" s="16"/>
    </row>
    <row r="624" spans="4:29">
      <c r="D624" s="16"/>
      <c r="I624" s="3"/>
      <c r="K624" s="15"/>
      <c r="L624" s="15"/>
      <c r="M624" s="15"/>
      <c r="N624" s="6"/>
      <c r="O624" s="6"/>
      <c r="P624" s="6"/>
      <c r="Q624" s="6"/>
      <c r="R624" s="6"/>
      <c r="S624" s="6"/>
      <c r="T624" s="6"/>
      <c r="U624" s="6"/>
      <c r="V624" s="6"/>
      <c r="W624" s="6"/>
      <c r="X624" s="6"/>
      <c r="Y624" s="6"/>
      <c r="Z624" s="6"/>
      <c r="AA624" s="6"/>
      <c r="AB624" s="6"/>
      <c r="AC624" s="16"/>
    </row>
    <row r="625" spans="4:29">
      <c r="D625" s="16"/>
      <c r="I625" s="3"/>
      <c r="K625" s="15"/>
      <c r="L625" s="15"/>
      <c r="M625" s="15"/>
      <c r="N625" s="6"/>
      <c r="O625" s="6"/>
      <c r="P625" s="6"/>
      <c r="Q625" s="6"/>
      <c r="R625" s="6"/>
      <c r="S625" s="6"/>
      <c r="T625" s="6"/>
      <c r="U625" s="6"/>
      <c r="V625" s="6"/>
      <c r="W625" s="6"/>
      <c r="X625" s="6"/>
      <c r="Y625" s="6"/>
      <c r="Z625" s="6"/>
      <c r="AA625" s="6"/>
      <c r="AB625" s="6"/>
      <c r="AC625" s="16"/>
    </row>
    <row r="626" spans="4:29">
      <c r="D626" s="16"/>
      <c r="I626" s="3"/>
      <c r="K626" s="15"/>
      <c r="L626" s="15"/>
      <c r="M626" s="15"/>
      <c r="N626" s="6"/>
      <c r="O626" s="6"/>
      <c r="P626" s="6"/>
      <c r="Q626" s="6"/>
      <c r="R626" s="6"/>
      <c r="S626" s="6"/>
      <c r="T626" s="6"/>
      <c r="U626" s="6"/>
      <c r="V626" s="6"/>
      <c r="W626" s="6"/>
      <c r="X626" s="6"/>
      <c r="Y626" s="6"/>
      <c r="Z626" s="6"/>
      <c r="AA626" s="6"/>
      <c r="AB626" s="6"/>
      <c r="AC626" s="16"/>
    </row>
    <row r="627" spans="4:29">
      <c r="D627" s="16"/>
      <c r="I627" s="3"/>
      <c r="K627" s="15"/>
      <c r="L627" s="15"/>
      <c r="M627" s="15"/>
      <c r="N627" s="6"/>
      <c r="O627" s="6"/>
      <c r="P627" s="6"/>
      <c r="Q627" s="6"/>
      <c r="R627" s="6"/>
      <c r="S627" s="6"/>
      <c r="T627" s="6"/>
      <c r="U627" s="6"/>
      <c r="V627" s="6"/>
      <c r="W627" s="6"/>
      <c r="X627" s="6"/>
      <c r="Y627" s="6"/>
      <c r="Z627" s="6"/>
      <c r="AA627" s="6"/>
      <c r="AB627" s="6"/>
      <c r="AC627" s="16"/>
    </row>
    <row r="628" spans="4:29">
      <c r="D628" s="16"/>
      <c r="I628" s="3"/>
      <c r="K628" s="15"/>
      <c r="L628" s="15"/>
      <c r="M628" s="15"/>
      <c r="N628" s="6"/>
      <c r="O628" s="6"/>
      <c r="P628" s="6"/>
      <c r="Q628" s="6"/>
      <c r="R628" s="6"/>
      <c r="S628" s="6"/>
      <c r="T628" s="6"/>
      <c r="U628" s="6"/>
      <c r="V628" s="6"/>
      <c r="W628" s="6"/>
      <c r="X628" s="6"/>
      <c r="Y628" s="6"/>
      <c r="Z628" s="6"/>
      <c r="AA628" s="6"/>
      <c r="AB628" s="6"/>
      <c r="AC628" s="16"/>
    </row>
    <row r="629" spans="4:29">
      <c r="D629" s="16"/>
      <c r="I629" s="3"/>
      <c r="K629" s="15"/>
      <c r="L629" s="15"/>
      <c r="M629" s="15"/>
      <c r="N629" s="6"/>
      <c r="O629" s="6"/>
      <c r="P629" s="6"/>
      <c r="Q629" s="6"/>
      <c r="R629" s="6"/>
      <c r="S629" s="6"/>
      <c r="T629" s="6"/>
      <c r="U629" s="6"/>
      <c r="V629" s="6"/>
      <c r="W629" s="6"/>
      <c r="X629" s="6"/>
      <c r="Y629" s="6"/>
      <c r="Z629" s="6"/>
      <c r="AA629" s="6"/>
      <c r="AB629" s="6"/>
      <c r="AC629" s="16"/>
    </row>
    <row r="630" spans="4:29">
      <c r="D630" s="16"/>
      <c r="I630" s="3"/>
      <c r="K630" s="15"/>
      <c r="L630" s="15"/>
      <c r="M630" s="15"/>
      <c r="N630" s="6"/>
      <c r="O630" s="6"/>
      <c r="P630" s="6"/>
      <c r="Q630" s="6"/>
      <c r="R630" s="6"/>
      <c r="S630" s="6"/>
      <c r="T630" s="6"/>
      <c r="U630" s="6"/>
      <c r="V630" s="6"/>
      <c r="W630" s="6"/>
      <c r="X630" s="6"/>
      <c r="Y630" s="6"/>
      <c r="Z630" s="6"/>
      <c r="AA630" s="6"/>
      <c r="AB630" s="6"/>
      <c r="AC630" s="16"/>
    </row>
    <row r="631" spans="4:29">
      <c r="D631" s="16"/>
      <c r="I631" s="3"/>
      <c r="K631" s="15"/>
      <c r="L631" s="15"/>
      <c r="M631" s="15"/>
      <c r="N631" s="6"/>
      <c r="O631" s="6"/>
      <c r="P631" s="6"/>
      <c r="Q631" s="6"/>
      <c r="R631" s="6"/>
      <c r="S631" s="6"/>
      <c r="T631" s="6"/>
      <c r="U631" s="6"/>
      <c r="V631" s="6"/>
      <c r="W631" s="6"/>
      <c r="X631" s="6"/>
      <c r="Y631" s="6"/>
      <c r="Z631" s="6"/>
      <c r="AA631" s="6"/>
      <c r="AB631" s="6"/>
      <c r="AC631" s="16"/>
    </row>
    <row r="632" spans="4:29">
      <c r="D632" s="16"/>
      <c r="I632" s="3"/>
      <c r="K632" s="15"/>
      <c r="L632" s="15"/>
      <c r="M632" s="15"/>
      <c r="N632" s="6"/>
      <c r="O632" s="6"/>
      <c r="P632" s="6"/>
      <c r="Q632" s="6"/>
      <c r="R632" s="6"/>
      <c r="S632" s="6"/>
      <c r="T632" s="6"/>
      <c r="U632" s="6"/>
      <c r="V632" s="6"/>
      <c r="W632" s="6"/>
      <c r="X632" s="6"/>
      <c r="Y632" s="6"/>
      <c r="Z632" s="6"/>
      <c r="AA632" s="6"/>
      <c r="AB632" s="6"/>
      <c r="AC632" s="16"/>
    </row>
    <row r="633" spans="4:29">
      <c r="D633" s="16"/>
      <c r="I633" s="3"/>
      <c r="K633" s="15"/>
      <c r="L633" s="15"/>
      <c r="M633" s="15"/>
      <c r="N633" s="6"/>
      <c r="O633" s="6"/>
      <c r="P633" s="6"/>
      <c r="Q633" s="6"/>
      <c r="R633" s="6"/>
      <c r="S633" s="6"/>
      <c r="T633" s="6"/>
      <c r="U633" s="6"/>
      <c r="V633" s="6"/>
      <c r="W633" s="6"/>
      <c r="X633" s="6"/>
      <c r="Y633" s="6"/>
      <c r="Z633" s="6"/>
      <c r="AA633" s="6"/>
      <c r="AB633" s="6"/>
      <c r="AC633" s="16"/>
    </row>
    <row r="634" spans="4:29">
      <c r="D634" s="16"/>
      <c r="I634" s="3"/>
      <c r="K634" s="15"/>
      <c r="L634" s="15"/>
      <c r="M634" s="15"/>
      <c r="N634" s="6"/>
      <c r="O634" s="6"/>
      <c r="P634" s="6"/>
      <c r="Q634" s="6"/>
      <c r="R634" s="6"/>
      <c r="S634" s="6"/>
      <c r="T634" s="6"/>
      <c r="U634" s="6"/>
      <c r="V634" s="6"/>
      <c r="W634" s="6"/>
      <c r="X634" s="6"/>
      <c r="Y634" s="6"/>
      <c r="Z634" s="6"/>
      <c r="AA634" s="6"/>
      <c r="AB634" s="6"/>
      <c r="AC634" s="16"/>
    </row>
    <row r="635" spans="4:29">
      <c r="D635" s="16"/>
      <c r="I635" s="3"/>
      <c r="K635" s="15"/>
      <c r="L635" s="15"/>
      <c r="M635" s="15"/>
      <c r="N635" s="6"/>
      <c r="O635" s="6"/>
      <c r="P635" s="6"/>
      <c r="Q635" s="6"/>
      <c r="R635" s="6"/>
      <c r="S635" s="6"/>
      <c r="T635" s="6"/>
      <c r="U635" s="6"/>
      <c r="V635" s="6"/>
      <c r="W635" s="6"/>
      <c r="X635" s="6"/>
      <c r="Y635" s="6"/>
      <c r="Z635" s="6"/>
      <c r="AA635" s="6"/>
      <c r="AB635" s="6"/>
      <c r="AC635" s="16"/>
    </row>
    <row r="636" spans="4:29">
      <c r="D636" s="16"/>
      <c r="I636" s="3"/>
      <c r="K636" s="15"/>
      <c r="L636" s="15"/>
      <c r="M636" s="15"/>
      <c r="N636" s="6"/>
      <c r="O636" s="6"/>
      <c r="P636" s="6"/>
      <c r="Q636" s="6"/>
      <c r="R636" s="6"/>
      <c r="S636" s="6"/>
      <c r="T636" s="6"/>
      <c r="U636" s="6"/>
      <c r="V636" s="6"/>
      <c r="W636" s="6"/>
      <c r="X636" s="6"/>
      <c r="Y636" s="6"/>
      <c r="Z636" s="6"/>
      <c r="AA636" s="6"/>
      <c r="AB636" s="6"/>
      <c r="AC636" s="16"/>
    </row>
    <row r="637" spans="4:29">
      <c r="D637" s="16"/>
      <c r="I637" s="3"/>
      <c r="K637" s="15"/>
      <c r="L637" s="15"/>
      <c r="M637" s="15"/>
      <c r="N637" s="6"/>
      <c r="O637" s="6"/>
      <c r="P637" s="6"/>
      <c r="Q637" s="6"/>
      <c r="R637" s="6"/>
      <c r="S637" s="6"/>
      <c r="T637" s="6"/>
      <c r="U637" s="6"/>
      <c r="V637" s="6"/>
      <c r="W637" s="6"/>
      <c r="X637" s="6"/>
      <c r="Y637" s="6"/>
      <c r="Z637" s="6"/>
      <c r="AA637" s="6"/>
      <c r="AB637" s="6"/>
      <c r="AC637" s="16"/>
    </row>
    <row r="638" spans="4:29">
      <c r="D638" s="16"/>
      <c r="I638" s="3"/>
      <c r="K638" s="15"/>
      <c r="L638" s="15"/>
      <c r="M638" s="15"/>
      <c r="N638" s="6"/>
      <c r="O638" s="6"/>
      <c r="P638" s="6"/>
      <c r="Q638" s="6"/>
      <c r="R638" s="6"/>
      <c r="S638" s="6"/>
      <c r="T638" s="6"/>
      <c r="U638" s="6"/>
      <c r="V638" s="6"/>
      <c r="W638" s="6"/>
      <c r="X638" s="6"/>
      <c r="Y638" s="6"/>
      <c r="Z638" s="6"/>
      <c r="AA638" s="6"/>
      <c r="AB638" s="6"/>
      <c r="AC638" s="16"/>
    </row>
    <row r="639" spans="4:29">
      <c r="D639" s="16"/>
      <c r="I639" s="3"/>
      <c r="K639" s="15"/>
      <c r="L639" s="15"/>
      <c r="M639" s="15"/>
      <c r="N639" s="6"/>
      <c r="O639" s="6"/>
      <c r="P639" s="6"/>
      <c r="Q639" s="6"/>
      <c r="R639" s="6"/>
      <c r="S639" s="6"/>
      <c r="T639" s="6"/>
      <c r="U639" s="6"/>
      <c r="V639" s="6"/>
      <c r="W639" s="6"/>
      <c r="X639" s="6"/>
      <c r="Y639" s="6"/>
      <c r="Z639" s="6"/>
      <c r="AA639" s="6"/>
      <c r="AB639" s="6"/>
      <c r="AC639" s="16"/>
    </row>
    <row r="640" spans="4:29">
      <c r="D640" s="16"/>
      <c r="I640" s="3"/>
      <c r="K640" s="15"/>
      <c r="L640" s="15"/>
      <c r="M640" s="15"/>
      <c r="N640" s="6"/>
      <c r="O640" s="6"/>
      <c r="P640" s="6"/>
      <c r="Q640" s="6"/>
      <c r="R640" s="6"/>
      <c r="S640" s="6"/>
      <c r="T640" s="6"/>
      <c r="U640" s="6"/>
      <c r="V640" s="6"/>
      <c r="W640" s="6"/>
      <c r="X640" s="6"/>
      <c r="Y640" s="6"/>
      <c r="Z640" s="6"/>
      <c r="AA640" s="6"/>
      <c r="AB640" s="6"/>
      <c r="AC640" s="16"/>
    </row>
    <row r="641" spans="4:29">
      <c r="D641" s="16"/>
      <c r="I641" s="3"/>
      <c r="K641" s="15"/>
      <c r="L641" s="15"/>
      <c r="M641" s="15"/>
      <c r="N641" s="6"/>
      <c r="O641" s="6"/>
      <c r="P641" s="6"/>
      <c r="Q641" s="6"/>
      <c r="R641" s="6"/>
      <c r="S641" s="6"/>
      <c r="T641" s="6"/>
      <c r="U641" s="6"/>
      <c r="V641" s="6"/>
      <c r="W641" s="6"/>
      <c r="X641" s="6"/>
      <c r="Y641" s="6"/>
      <c r="Z641" s="6"/>
      <c r="AA641" s="6"/>
      <c r="AB641" s="6"/>
      <c r="AC641" s="16"/>
    </row>
    <row r="642" spans="4:29">
      <c r="D642" s="16"/>
      <c r="I642" s="3"/>
      <c r="K642" s="15"/>
      <c r="L642" s="15"/>
      <c r="M642" s="15"/>
      <c r="N642" s="6"/>
      <c r="O642" s="6"/>
      <c r="P642" s="6"/>
      <c r="Q642" s="6"/>
      <c r="R642" s="6"/>
      <c r="S642" s="6"/>
      <c r="T642" s="6"/>
      <c r="U642" s="6"/>
      <c r="V642" s="6"/>
      <c r="W642" s="6"/>
      <c r="X642" s="6"/>
      <c r="Y642" s="6"/>
      <c r="Z642" s="6"/>
      <c r="AA642" s="6"/>
      <c r="AB642" s="6"/>
      <c r="AC642" s="16"/>
    </row>
    <row r="643" spans="4:29">
      <c r="D643" s="16"/>
      <c r="I643" s="3"/>
      <c r="K643" s="15"/>
      <c r="L643" s="15"/>
      <c r="M643" s="15"/>
      <c r="N643" s="6"/>
      <c r="O643" s="6"/>
      <c r="P643" s="6"/>
      <c r="Q643" s="6"/>
      <c r="R643" s="6"/>
      <c r="S643" s="6"/>
      <c r="T643" s="6"/>
      <c r="U643" s="6"/>
      <c r="V643" s="6"/>
      <c r="W643" s="6"/>
      <c r="X643" s="6"/>
      <c r="Y643" s="6"/>
      <c r="Z643" s="6"/>
      <c r="AA643" s="6"/>
      <c r="AB643" s="6"/>
      <c r="AC643" s="16"/>
    </row>
    <row r="644" spans="4:29">
      <c r="D644" s="16"/>
      <c r="I644" s="3"/>
      <c r="K644" s="15"/>
      <c r="L644" s="15"/>
      <c r="M644" s="15"/>
      <c r="N644" s="6"/>
      <c r="O644" s="6"/>
      <c r="P644" s="6"/>
      <c r="Q644" s="6"/>
      <c r="R644" s="6"/>
      <c r="S644" s="6"/>
      <c r="T644" s="6"/>
      <c r="U644" s="6"/>
      <c r="V644" s="6"/>
      <c r="W644" s="6"/>
      <c r="X644" s="6"/>
      <c r="Y644" s="6"/>
      <c r="Z644" s="6"/>
      <c r="AA644" s="6"/>
      <c r="AB644" s="6"/>
      <c r="AC644" s="16"/>
    </row>
    <row r="645" spans="4:29">
      <c r="D645" s="16"/>
      <c r="I645" s="3"/>
      <c r="K645" s="15"/>
      <c r="L645" s="15"/>
      <c r="M645" s="15"/>
      <c r="N645" s="6"/>
      <c r="O645" s="6"/>
      <c r="P645" s="6"/>
      <c r="Q645" s="6"/>
      <c r="R645" s="6"/>
      <c r="S645" s="6"/>
      <c r="T645" s="6"/>
      <c r="U645" s="6"/>
      <c r="V645" s="6"/>
      <c r="W645" s="6"/>
      <c r="X645" s="6"/>
      <c r="Y645" s="6"/>
      <c r="Z645" s="6"/>
      <c r="AA645" s="6"/>
      <c r="AB645" s="6"/>
      <c r="AC645" s="16"/>
    </row>
    <row r="646" spans="4:29">
      <c r="D646" s="16"/>
      <c r="I646" s="3"/>
      <c r="K646" s="15"/>
      <c r="L646" s="15"/>
      <c r="M646" s="15"/>
      <c r="N646" s="6"/>
      <c r="O646" s="6"/>
      <c r="P646" s="6"/>
      <c r="Q646" s="6"/>
      <c r="R646" s="6"/>
      <c r="S646" s="6"/>
      <c r="T646" s="6"/>
      <c r="U646" s="6"/>
      <c r="V646" s="6"/>
      <c r="W646" s="6"/>
      <c r="X646" s="6"/>
      <c r="Y646" s="6"/>
      <c r="Z646" s="6"/>
      <c r="AA646" s="6"/>
      <c r="AB646" s="6"/>
      <c r="AC646" s="16"/>
    </row>
    <row r="647" spans="4:29">
      <c r="D647" s="16"/>
      <c r="I647" s="3"/>
      <c r="K647" s="15"/>
      <c r="L647" s="15"/>
      <c r="M647" s="15"/>
      <c r="N647" s="6"/>
      <c r="O647" s="6"/>
      <c r="P647" s="6"/>
      <c r="Q647" s="6"/>
      <c r="R647" s="6"/>
      <c r="S647" s="6"/>
      <c r="T647" s="6"/>
      <c r="U647" s="6"/>
      <c r="V647" s="6"/>
      <c r="W647" s="6"/>
      <c r="X647" s="6"/>
      <c r="Y647" s="6"/>
      <c r="Z647" s="6"/>
      <c r="AA647" s="6"/>
      <c r="AB647" s="6"/>
      <c r="AC647" s="16"/>
    </row>
    <row r="648" spans="4:29">
      <c r="D648" s="16"/>
      <c r="I648" s="3"/>
      <c r="K648" s="15"/>
      <c r="L648" s="15"/>
      <c r="M648" s="15"/>
      <c r="N648" s="6"/>
      <c r="O648" s="6"/>
      <c r="P648" s="6"/>
      <c r="Q648" s="6"/>
      <c r="R648" s="6"/>
      <c r="S648" s="6"/>
      <c r="T648" s="6"/>
      <c r="U648" s="6"/>
      <c r="V648" s="6"/>
      <c r="W648" s="6"/>
      <c r="X648" s="6"/>
      <c r="Y648" s="6"/>
      <c r="Z648" s="6"/>
      <c r="AA648" s="6"/>
      <c r="AB648" s="6"/>
      <c r="AC648" s="16"/>
    </row>
    <row r="649" spans="4:29">
      <c r="D649" s="16"/>
      <c r="I649" s="3"/>
      <c r="K649" s="15"/>
      <c r="L649" s="15"/>
      <c r="M649" s="15"/>
      <c r="N649" s="6"/>
      <c r="O649" s="6"/>
      <c r="P649" s="6"/>
      <c r="Q649" s="6"/>
      <c r="R649" s="6"/>
      <c r="S649" s="6"/>
      <c r="T649" s="6"/>
      <c r="U649" s="6"/>
      <c r="V649" s="6"/>
      <c r="W649" s="6"/>
      <c r="X649" s="6"/>
      <c r="Y649" s="6"/>
      <c r="Z649" s="6"/>
      <c r="AA649" s="6"/>
      <c r="AB649" s="6"/>
      <c r="AC649" s="16"/>
    </row>
    <row r="650" spans="4:29">
      <c r="D650" s="16"/>
      <c r="I650" s="3"/>
      <c r="K650" s="15"/>
      <c r="L650" s="15"/>
      <c r="M650" s="15"/>
      <c r="N650" s="6"/>
      <c r="O650" s="6"/>
      <c r="P650" s="6"/>
      <c r="Q650" s="6"/>
      <c r="R650" s="6"/>
      <c r="S650" s="6"/>
      <c r="T650" s="6"/>
      <c r="U650" s="6"/>
      <c r="V650" s="6"/>
      <c r="W650" s="6"/>
      <c r="X650" s="6"/>
      <c r="Y650" s="6"/>
      <c r="Z650" s="6"/>
      <c r="AA650" s="6"/>
      <c r="AB650" s="6"/>
      <c r="AC650" s="16"/>
    </row>
    <row r="651" spans="4:29">
      <c r="D651" s="16"/>
      <c r="I651" s="3"/>
      <c r="K651" s="15"/>
      <c r="L651" s="15"/>
      <c r="M651" s="15"/>
      <c r="N651" s="6"/>
      <c r="O651" s="6"/>
      <c r="P651" s="6"/>
      <c r="Q651" s="6"/>
      <c r="R651" s="6"/>
      <c r="S651" s="6"/>
      <c r="T651" s="6"/>
      <c r="U651" s="6"/>
      <c r="V651" s="6"/>
      <c r="W651" s="6"/>
      <c r="X651" s="6"/>
      <c r="Y651" s="6"/>
      <c r="Z651" s="6"/>
      <c r="AA651" s="6"/>
      <c r="AB651" s="6"/>
      <c r="AC651" s="16"/>
    </row>
    <row r="652" spans="4:29">
      <c r="D652" s="16"/>
      <c r="I652" s="3"/>
      <c r="K652" s="15"/>
      <c r="L652" s="15"/>
      <c r="M652" s="15"/>
      <c r="N652" s="6"/>
      <c r="O652" s="6"/>
      <c r="P652" s="6"/>
      <c r="Q652" s="6"/>
      <c r="R652" s="6"/>
      <c r="S652" s="6"/>
      <c r="T652" s="6"/>
      <c r="U652" s="6"/>
      <c r="V652" s="6"/>
      <c r="W652" s="6"/>
      <c r="X652" s="6"/>
      <c r="Y652" s="6"/>
      <c r="Z652" s="6"/>
      <c r="AA652" s="6"/>
      <c r="AB652" s="6"/>
      <c r="AC652" s="16"/>
    </row>
    <row r="653" spans="4:29">
      <c r="D653" s="16"/>
      <c r="I653" s="3"/>
      <c r="K653" s="15"/>
      <c r="L653" s="15"/>
      <c r="M653" s="15"/>
      <c r="N653" s="6"/>
      <c r="O653" s="6"/>
      <c r="P653" s="6"/>
      <c r="Q653" s="6"/>
      <c r="R653" s="6"/>
      <c r="S653" s="6"/>
      <c r="T653" s="6"/>
      <c r="U653" s="6"/>
      <c r="V653" s="6"/>
      <c r="W653" s="6"/>
      <c r="X653" s="6"/>
      <c r="Y653" s="6"/>
      <c r="Z653" s="6"/>
      <c r="AA653" s="6"/>
      <c r="AB653" s="6"/>
      <c r="AC653" s="16"/>
    </row>
    <row r="654" spans="4:29">
      <c r="D654" s="16"/>
      <c r="I654" s="3"/>
      <c r="K654" s="15"/>
      <c r="L654" s="15"/>
      <c r="M654" s="15"/>
      <c r="N654" s="6"/>
      <c r="O654" s="6"/>
      <c r="P654" s="6"/>
      <c r="Q654" s="6"/>
      <c r="R654" s="6"/>
      <c r="S654" s="6"/>
      <c r="T654" s="6"/>
      <c r="U654" s="6"/>
      <c r="V654" s="6"/>
      <c r="W654" s="6"/>
      <c r="X654" s="6"/>
      <c r="Y654" s="6"/>
      <c r="Z654" s="6"/>
      <c r="AA654" s="6"/>
      <c r="AB654" s="6"/>
      <c r="AC654" s="16"/>
    </row>
    <row r="655" spans="4:29">
      <c r="D655" s="16"/>
      <c r="I655" s="3"/>
      <c r="K655" s="15"/>
      <c r="L655" s="15"/>
      <c r="M655" s="15"/>
      <c r="N655" s="6"/>
      <c r="O655" s="6"/>
      <c r="P655" s="6"/>
      <c r="Q655" s="6"/>
      <c r="R655" s="6"/>
      <c r="S655" s="6"/>
      <c r="T655" s="6"/>
      <c r="U655" s="6"/>
      <c r="V655" s="6"/>
      <c r="W655" s="6"/>
      <c r="X655" s="6"/>
      <c r="Y655" s="6"/>
      <c r="Z655" s="6"/>
      <c r="AA655" s="6"/>
      <c r="AB655" s="6"/>
      <c r="AC655" s="16"/>
    </row>
    <row r="656" spans="4:29">
      <c r="D656" s="16"/>
      <c r="I656" s="3"/>
      <c r="K656" s="15"/>
      <c r="L656" s="15"/>
      <c r="M656" s="15"/>
      <c r="N656" s="6"/>
      <c r="O656" s="6"/>
      <c r="P656" s="6"/>
      <c r="Q656" s="6"/>
      <c r="R656" s="6"/>
      <c r="S656" s="6"/>
      <c r="T656" s="6"/>
      <c r="U656" s="6"/>
      <c r="V656" s="6"/>
      <c r="W656" s="6"/>
      <c r="X656" s="6"/>
      <c r="Y656" s="6"/>
      <c r="Z656" s="6"/>
      <c r="AA656" s="6"/>
      <c r="AB656" s="6"/>
      <c r="AC656" s="16"/>
    </row>
    <row r="657" spans="4:29">
      <c r="D657" s="16"/>
      <c r="I657" s="3"/>
      <c r="K657" s="15"/>
      <c r="L657" s="15"/>
      <c r="M657" s="15"/>
      <c r="N657" s="6"/>
      <c r="O657" s="6"/>
      <c r="P657" s="6"/>
      <c r="Q657" s="6"/>
      <c r="R657" s="6"/>
      <c r="S657" s="6"/>
      <c r="T657" s="6"/>
      <c r="U657" s="6"/>
      <c r="V657" s="6"/>
      <c r="W657" s="6"/>
      <c r="X657" s="6"/>
      <c r="Y657" s="6"/>
      <c r="Z657" s="6"/>
      <c r="AA657" s="6"/>
      <c r="AB657" s="6"/>
      <c r="AC657" s="16"/>
    </row>
    <row r="658" spans="4:29">
      <c r="D658" s="16"/>
      <c r="I658" s="3"/>
      <c r="K658" s="15"/>
      <c r="L658" s="15"/>
      <c r="M658" s="15"/>
      <c r="N658" s="6"/>
      <c r="O658" s="6"/>
      <c r="P658" s="6"/>
      <c r="Q658" s="6"/>
      <c r="R658" s="6"/>
      <c r="S658" s="6"/>
      <c r="T658" s="6"/>
      <c r="U658" s="6"/>
      <c r="V658" s="6"/>
      <c r="W658" s="6"/>
      <c r="X658" s="6"/>
      <c r="Y658" s="6"/>
      <c r="Z658" s="6"/>
      <c r="AA658" s="6"/>
      <c r="AB658" s="6"/>
      <c r="AC658" s="16"/>
    </row>
    <row r="659" spans="4:29">
      <c r="D659" s="16"/>
      <c r="I659" s="3"/>
      <c r="K659" s="15"/>
      <c r="L659" s="15"/>
      <c r="M659" s="15"/>
      <c r="N659" s="6"/>
      <c r="O659" s="6"/>
      <c r="P659" s="6"/>
      <c r="Q659" s="6"/>
      <c r="R659" s="6"/>
      <c r="S659" s="6"/>
      <c r="T659" s="6"/>
      <c r="U659" s="6"/>
      <c r="V659" s="6"/>
      <c r="W659" s="6"/>
      <c r="X659" s="6"/>
      <c r="Y659" s="6"/>
      <c r="Z659" s="6"/>
      <c r="AA659" s="6"/>
      <c r="AB659" s="6"/>
      <c r="AC659" s="16"/>
    </row>
    <row r="660" spans="4:29">
      <c r="D660" s="16"/>
      <c r="I660" s="3"/>
      <c r="K660" s="15"/>
      <c r="L660" s="15"/>
      <c r="M660" s="15"/>
      <c r="N660" s="6"/>
      <c r="O660" s="6"/>
      <c r="P660" s="6"/>
      <c r="Q660" s="6"/>
      <c r="R660" s="6"/>
      <c r="S660" s="6"/>
      <c r="T660" s="6"/>
      <c r="U660" s="6"/>
      <c r="V660" s="6"/>
      <c r="W660" s="6"/>
      <c r="X660" s="6"/>
      <c r="Y660" s="6"/>
      <c r="Z660" s="6"/>
      <c r="AA660" s="6"/>
      <c r="AB660" s="6"/>
      <c r="AC660" s="16"/>
    </row>
    <row r="661" spans="4:29">
      <c r="D661" s="16"/>
      <c r="I661" s="3"/>
      <c r="K661" s="15"/>
      <c r="L661" s="15"/>
      <c r="M661" s="15"/>
      <c r="N661" s="6"/>
      <c r="O661" s="6"/>
      <c r="P661" s="6"/>
      <c r="Q661" s="6"/>
      <c r="R661" s="6"/>
      <c r="S661" s="6"/>
      <c r="T661" s="6"/>
      <c r="U661" s="6"/>
      <c r="V661" s="6"/>
      <c r="W661" s="6"/>
      <c r="X661" s="6"/>
      <c r="Y661" s="6"/>
      <c r="Z661" s="6"/>
      <c r="AA661" s="6"/>
      <c r="AB661" s="6"/>
      <c r="AC661" s="16"/>
    </row>
    <row r="662" spans="4:29">
      <c r="D662" s="16"/>
      <c r="I662" s="3"/>
      <c r="K662" s="15"/>
      <c r="L662" s="15"/>
      <c r="M662" s="15"/>
      <c r="N662" s="6"/>
      <c r="O662" s="6"/>
      <c r="P662" s="6"/>
      <c r="Q662" s="6"/>
      <c r="R662" s="6"/>
      <c r="S662" s="6"/>
      <c r="T662" s="6"/>
      <c r="U662" s="6"/>
      <c r="V662" s="6"/>
      <c r="W662" s="6"/>
      <c r="X662" s="6"/>
      <c r="Y662" s="6"/>
      <c r="Z662" s="6"/>
      <c r="AA662" s="6"/>
      <c r="AB662" s="6"/>
      <c r="AC662" s="16"/>
    </row>
    <row r="663" spans="4:29">
      <c r="D663" s="16"/>
      <c r="I663" s="3"/>
      <c r="K663" s="15"/>
      <c r="L663" s="15"/>
      <c r="M663" s="15"/>
      <c r="N663" s="6"/>
      <c r="O663" s="6"/>
      <c r="P663" s="6"/>
      <c r="Q663" s="6"/>
      <c r="R663" s="6"/>
      <c r="S663" s="6"/>
      <c r="T663" s="6"/>
      <c r="U663" s="6"/>
      <c r="V663" s="6"/>
      <c r="W663" s="6"/>
      <c r="X663" s="6"/>
      <c r="Y663" s="6"/>
      <c r="Z663" s="6"/>
      <c r="AA663" s="6"/>
      <c r="AB663" s="6"/>
      <c r="AC663" s="16"/>
    </row>
    <row r="664" spans="4:29">
      <c r="D664" s="16"/>
      <c r="I664" s="3"/>
      <c r="K664" s="15"/>
      <c r="L664" s="15"/>
      <c r="M664" s="15"/>
      <c r="N664" s="6"/>
      <c r="O664" s="6"/>
      <c r="P664" s="6"/>
      <c r="Q664" s="6"/>
      <c r="R664" s="6"/>
      <c r="S664" s="6"/>
      <c r="T664" s="6"/>
      <c r="U664" s="6"/>
      <c r="V664" s="6"/>
      <c r="W664" s="6"/>
      <c r="X664" s="6"/>
      <c r="Y664" s="6"/>
      <c r="Z664" s="6"/>
      <c r="AA664" s="6"/>
      <c r="AB664" s="6"/>
      <c r="AC664" s="16"/>
    </row>
    <row r="665" spans="4:29">
      <c r="D665" s="16"/>
      <c r="I665" s="3"/>
      <c r="K665" s="15"/>
      <c r="L665" s="15"/>
      <c r="M665" s="15"/>
      <c r="N665" s="6"/>
      <c r="O665" s="6"/>
      <c r="P665" s="6"/>
      <c r="Q665" s="6"/>
      <c r="R665" s="6"/>
      <c r="S665" s="6"/>
      <c r="T665" s="6"/>
      <c r="U665" s="6"/>
      <c r="V665" s="6"/>
      <c r="W665" s="6"/>
      <c r="X665" s="6"/>
      <c r="Y665" s="6"/>
      <c r="Z665" s="6"/>
      <c r="AA665" s="6"/>
      <c r="AB665" s="6"/>
      <c r="AC665" s="16"/>
    </row>
    <row r="666" spans="4:29">
      <c r="D666" s="16"/>
      <c r="I666" s="3"/>
      <c r="K666" s="15"/>
      <c r="L666" s="15"/>
      <c r="M666" s="15"/>
      <c r="N666" s="6"/>
      <c r="O666" s="6"/>
      <c r="P666" s="6"/>
      <c r="Q666" s="6"/>
      <c r="R666" s="6"/>
      <c r="S666" s="6"/>
      <c r="T666" s="6"/>
      <c r="U666" s="6"/>
      <c r="V666" s="6"/>
      <c r="W666" s="6"/>
      <c r="X666" s="6"/>
      <c r="Y666" s="6"/>
      <c r="Z666" s="6"/>
      <c r="AA666" s="6"/>
      <c r="AB666" s="6"/>
      <c r="AC666" s="16"/>
    </row>
    <row r="667" spans="4:29">
      <c r="D667" s="16"/>
      <c r="I667" s="3"/>
      <c r="K667" s="15"/>
      <c r="L667" s="15"/>
      <c r="M667" s="15"/>
      <c r="N667" s="6"/>
      <c r="O667" s="6"/>
      <c r="P667" s="6"/>
      <c r="Q667" s="6"/>
      <c r="R667" s="6"/>
      <c r="S667" s="6"/>
      <c r="T667" s="6"/>
      <c r="U667" s="6"/>
      <c r="V667" s="6"/>
      <c r="W667" s="6"/>
      <c r="X667" s="6"/>
      <c r="Y667" s="6"/>
      <c r="Z667" s="6"/>
      <c r="AA667" s="6"/>
      <c r="AB667" s="6"/>
      <c r="AC667" s="16"/>
    </row>
    <row r="668" spans="4:29">
      <c r="D668" s="16"/>
      <c r="I668" s="3"/>
      <c r="K668" s="15"/>
      <c r="L668" s="15"/>
      <c r="M668" s="15"/>
      <c r="N668" s="6"/>
      <c r="O668" s="6"/>
      <c r="P668" s="6"/>
      <c r="Q668" s="6"/>
      <c r="R668" s="6"/>
      <c r="S668" s="6"/>
      <c r="T668" s="6"/>
      <c r="U668" s="6"/>
      <c r="V668" s="6"/>
      <c r="W668" s="6"/>
      <c r="X668" s="6"/>
      <c r="Y668" s="6"/>
      <c r="Z668" s="6"/>
      <c r="AA668" s="6"/>
      <c r="AB668" s="6"/>
      <c r="AC668" s="16"/>
    </row>
    <row r="669" spans="4:29">
      <c r="D669" s="16"/>
      <c r="I669" s="3"/>
      <c r="K669" s="15"/>
      <c r="L669" s="15"/>
      <c r="M669" s="15"/>
      <c r="N669" s="6"/>
      <c r="O669" s="6"/>
      <c r="P669" s="6"/>
      <c r="Q669" s="6"/>
      <c r="R669" s="6"/>
      <c r="S669" s="6"/>
      <c r="T669" s="6"/>
      <c r="U669" s="6"/>
      <c r="V669" s="6"/>
      <c r="W669" s="6"/>
      <c r="X669" s="6"/>
      <c r="Y669" s="6"/>
      <c r="Z669" s="6"/>
      <c r="AA669" s="6"/>
      <c r="AB669" s="6"/>
      <c r="AC669" s="16"/>
    </row>
    <row r="670" spans="4:29">
      <c r="D670" s="16"/>
      <c r="I670" s="3"/>
      <c r="K670" s="15"/>
      <c r="L670" s="15"/>
      <c r="M670" s="15"/>
      <c r="N670" s="6"/>
      <c r="O670" s="6"/>
      <c r="P670" s="6"/>
      <c r="Q670" s="6"/>
      <c r="R670" s="6"/>
      <c r="S670" s="6"/>
      <c r="T670" s="6"/>
      <c r="U670" s="6"/>
      <c r="V670" s="6"/>
      <c r="W670" s="6"/>
      <c r="X670" s="6"/>
      <c r="Y670" s="6"/>
      <c r="Z670" s="6"/>
      <c r="AA670" s="6"/>
      <c r="AB670" s="6"/>
      <c r="AC670" s="16"/>
    </row>
    <row r="671" spans="4:29">
      <c r="D671" s="16"/>
      <c r="I671" s="3"/>
      <c r="K671" s="15"/>
      <c r="L671" s="15"/>
      <c r="M671" s="15"/>
      <c r="N671" s="6"/>
      <c r="O671" s="6"/>
      <c r="P671" s="6"/>
      <c r="Q671" s="6"/>
      <c r="R671" s="6"/>
      <c r="S671" s="6"/>
      <c r="T671" s="6"/>
      <c r="U671" s="6"/>
      <c r="V671" s="6"/>
      <c r="W671" s="6"/>
      <c r="X671" s="6"/>
      <c r="Y671" s="6"/>
      <c r="Z671" s="6"/>
      <c r="AA671" s="6"/>
      <c r="AB671" s="6"/>
      <c r="AC671" s="16"/>
    </row>
    <row r="672" spans="4:29">
      <c r="D672" s="16"/>
      <c r="I672" s="3"/>
      <c r="K672" s="15"/>
      <c r="L672" s="15"/>
      <c r="M672" s="15"/>
      <c r="N672" s="6"/>
      <c r="O672" s="6"/>
      <c r="P672" s="6"/>
      <c r="Q672" s="6"/>
      <c r="R672" s="6"/>
      <c r="S672" s="6"/>
      <c r="T672" s="6"/>
      <c r="U672" s="6"/>
      <c r="V672" s="6"/>
      <c r="W672" s="6"/>
      <c r="X672" s="6"/>
      <c r="Y672" s="6"/>
      <c r="Z672" s="6"/>
      <c r="AA672" s="6"/>
      <c r="AB672" s="6"/>
      <c r="AC672" s="16"/>
    </row>
    <row r="673" spans="4:29">
      <c r="D673" s="16"/>
      <c r="I673" s="3"/>
      <c r="K673" s="15"/>
      <c r="L673" s="15"/>
      <c r="M673" s="15"/>
      <c r="N673" s="6"/>
      <c r="O673" s="6"/>
      <c r="P673" s="6"/>
      <c r="Q673" s="6"/>
      <c r="R673" s="6"/>
      <c r="S673" s="6"/>
      <c r="T673" s="6"/>
      <c r="U673" s="6"/>
      <c r="V673" s="6"/>
      <c r="W673" s="6"/>
      <c r="X673" s="6"/>
      <c r="Y673" s="6"/>
      <c r="Z673" s="6"/>
      <c r="AA673" s="6"/>
      <c r="AB673" s="6"/>
      <c r="AC673" s="16"/>
    </row>
    <row r="674" spans="4:29">
      <c r="D674" s="16"/>
      <c r="I674" s="3"/>
      <c r="K674" s="15"/>
      <c r="L674" s="15"/>
      <c r="M674" s="15"/>
      <c r="N674" s="6"/>
      <c r="O674" s="6"/>
      <c r="P674" s="6"/>
      <c r="Q674" s="6"/>
      <c r="R674" s="6"/>
      <c r="S674" s="6"/>
      <c r="T674" s="6"/>
      <c r="U674" s="6"/>
      <c r="V674" s="6"/>
      <c r="W674" s="6"/>
      <c r="X674" s="6"/>
      <c r="Y674" s="6"/>
      <c r="Z674" s="6"/>
      <c r="AA674" s="6"/>
      <c r="AB674" s="6"/>
      <c r="AC674" s="16"/>
    </row>
    <row r="675" spans="4:29">
      <c r="D675" s="16"/>
      <c r="I675" s="3"/>
      <c r="K675" s="15"/>
      <c r="L675" s="15"/>
      <c r="M675" s="15"/>
      <c r="N675" s="6"/>
      <c r="O675" s="6"/>
      <c r="P675" s="6"/>
      <c r="Q675" s="6"/>
      <c r="R675" s="6"/>
      <c r="S675" s="6"/>
      <c r="T675" s="6"/>
      <c r="U675" s="6"/>
      <c r="V675" s="6"/>
      <c r="W675" s="6"/>
      <c r="X675" s="6"/>
      <c r="Y675" s="6"/>
      <c r="Z675" s="6"/>
      <c r="AA675" s="6"/>
      <c r="AB675" s="6"/>
      <c r="AC675" s="16"/>
    </row>
    <row r="676" spans="4:29">
      <c r="D676" s="16"/>
      <c r="I676" s="3"/>
      <c r="K676" s="15"/>
      <c r="L676" s="15"/>
      <c r="M676" s="15"/>
      <c r="N676" s="6"/>
      <c r="O676" s="6"/>
      <c r="P676" s="6"/>
      <c r="Q676" s="6"/>
      <c r="R676" s="6"/>
      <c r="S676" s="6"/>
      <c r="T676" s="6"/>
      <c r="U676" s="6"/>
      <c r="V676" s="6"/>
      <c r="W676" s="6"/>
      <c r="X676" s="6"/>
      <c r="Y676" s="6"/>
      <c r="Z676" s="6"/>
      <c r="AA676" s="6"/>
      <c r="AB676" s="6"/>
      <c r="AC676" s="16"/>
    </row>
    <row r="677" spans="4:29">
      <c r="D677" s="16"/>
      <c r="I677" s="3"/>
      <c r="K677" s="15"/>
      <c r="L677" s="15"/>
      <c r="M677" s="15"/>
      <c r="N677" s="6"/>
      <c r="O677" s="6"/>
      <c r="P677" s="6"/>
      <c r="Q677" s="6"/>
      <c r="R677" s="6"/>
      <c r="S677" s="6"/>
      <c r="T677" s="6"/>
      <c r="U677" s="6"/>
      <c r="V677" s="6"/>
      <c r="W677" s="6"/>
      <c r="X677" s="6"/>
      <c r="Y677" s="6"/>
      <c r="Z677" s="6"/>
      <c r="AA677" s="6"/>
      <c r="AB677" s="6"/>
      <c r="AC677" s="16"/>
    </row>
    <row r="678" spans="4:29">
      <c r="D678" s="16"/>
      <c r="I678" s="3"/>
      <c r="K678" s="15"/>
      <c r="L678" s="15"/>
      <c r="M678" s="15"/>
      <c r="N678" s="6"/>
      <c r="O678" s="6"/>
      <c r="P678" s="6"/>
      <c r="Q678" s="6"/>
      <c r="R678" s="6"/>
      <c r="S678" s="6"/>
      <c r="T678" s="6"/>
      <c r="U678" s="6"/>
      <c r="V678" s="6"/>
      <c r="W678" s="6"/>
      <c r="X678" s="6"/>
      <c r="Y678" s="6"/>
      <c r="Z678" s="6"/>
      <c r="AA678" s="6"/>
      <c r="AB678" s="6"/>
      <c r="AC678" s="16"/>
    </row>
    <row r="679" spans="4:29">
      <c r="D679" s="16"/>
      <c r="I679" s="3"/>
      <c r="K679" s="15"/>
      <c r="L679" s="15"/>
      <c r="M679" s="15"/>
      <c r="N679" s="6"/>
      <c r="O679" s="6"/>
      <c r="P679" s="6"/>
      <c r="Q679" s="6"/>
      <c r="R679" s="6"/>
      <c r="S679" s="6"/>
      <c r="T679" s="6"/>
      <c r="U679" s="6"/>
      <c r="V679" s="6"/>
      <c r="W679" s="6"/>
      <c r="X679" s="6"/>
      <c r="Y679" s="6"/>
      <c r="Z679" s="6"/>
      <c r="AA679" s="6"/>
      <c r="AB679" s="6"/>
      <c r="AC679" s="16"/>
    </row>
    <row r="680" spans="4:29">
      <c r="D680" s="16"/>
      <c r="I680" s="3"/>
      <c r="K680" s="15"/>
      <c r="L680" s="15"/>
      <c r="M680" s="15"/>
      <c r="N680" s="6"/>
      <c r="O680" s="6"/>
      <c r="P680" s="6"/>
      <c r="Q680" s="6"/>
      <c r="R680" s="6"/>
      <c r="S680" s="6"/>
      <c r="T680" s="6"/>
      <c r="U680" s="6"/>
      <c r="V680" s="6"/>
      <c r="W680" s="6"/>
      <c r="X680" s="6"/>
      <c r="Y680" s="6"/>
      <c r="Z680" s="6"/>
      <c r="AA680" s="6"/>
      <c r="AB680" s="6"/>
      <c r="AC680" s="16"/>
    </row>
    <row r="681" spans="4:29">
      <c r="D681" s="16"/>
      <c r="I681" s="3"/>
      <c r="K681" s="15"/>
      <c r="L681" s="15"/>
      <c r="M681" s="15"/>
      <c r="N681" s="6"/>
      <c r="O681" s="6"/>
      <c r="P681" s="6"/>
      <c r="Q681" s="6"/>
      <c r="R681" s="6"/>
      <c r="S681" s="6"/>
      <c r="T681" s="6"/>
      <c r="U681" s="6"/>
      <c r="V681" s="6"/>
      <c r="W681" s="6"/>
      <c r="X681" s="6"/>
      <c r="Y681" s="6"/>
      <c r="Z681" s="6"/>
      <c r="AA681" s="6"/>
      <c r="AB681" s="6"/>
      <c r="AC681" s="16"/>
    </row>
    <row r="682" spans="4:29">
      <c r="D682" s="16"/>
      <c r="I682" s="3"/>
      <c r="K682" s="15"/>
      <c r="L682" s="15"/>
      <c r="M682" s="15"/>
      <c r="N682" s="6"/>
      <c r="O682" s="6"/>
      <c r="P682" s="6"/>
      <c r="Q682" s="6"/>
      <c r="R682" s="6"/>
      <c r="S682" s="6"/>
      <c r="T682" s="6"/>
      <c r="U682" s="6"/>
      <c r="V682" s="6"/>
      <c r="W682" s="6"/>
      <c r="X682" s="6"/>
      <c r="Y682" s="6"/>
      <c r="Z682" s="6"/>
      <c r="AA682" s="6"/>
      <c r="AB682" s="6"/>
      <c r="AC682" s="16"/>
    </row>
    <row r="683" spans="4:29">
      <c r="D683" s="16"/>
      <c r="I683" s="3"/>
      <c r="K683" s="15"/>
      <c r="L683" s="15"/>
      <c r="M683" s="15"/>
      <c r="N683" s="6"/>
      <c r="O683" s="6"/>
      <c r="P683" s="6"/>
      <c r="Q683" s="6"/>
      <c r="R683" s="6"/>
      <c r="S683" s="6"/>
      <c r="T683" s="6"/>
      <c r="U683" s="6"/>
      <c r="V683" s="6"/>
      <c r="W683" s="6"/>
      <c r="X683" s="6"/>
      <c r="Y683" s="6"/>
      <c r="Z683" s="6"/>
      <c r="AA683" s="6"/>
      <c r="AB683" s="6"/>
      <c r="AC683" s="16"/>
    </row>
    <row r="684" spans="4:29">
      <c r="D684" s="16"/>
      <c r="I684" s="3"/>
      <c r="K684" s="15"/>
      <c r="L684" s="15"/>
      <c r="M684" s="15"/>
      <c r="N684" s="6"/>
      <c r="O684" s="6"/>
      <c r="P684" s="6"/>
      <c r="Q684" s="6"/>
      <c r="R684" s="6"/>
      <c r="S684" s="6"/>
      <c r="T684" s="6"/>
      <c r="U684" s="6"/>
      <c r="V684" s="6"/>
      <c r="W684" s="6"/>
      <c r="X684" s="6"/>
      <c r="Y684" s="6"/>
      <c r="Z684" s="6"/>
      <c r="AA684" s="6"/>
      <c r="AB684" s="6"/>
      <c r="AC684" s="16"/>
    </row>
    <row r="685" spans="4:29">
      <c r="D685" s="16"/>
      <c r="I685" s="3"/>
      <c r="K685" s="15"/>
      <c r="L685" s="15"/>
      <c r="M685" s="15"/>
      <c r="N685" s="6"/>
      <c r="O685" s="6"/>
      <c r="P685" s="6"/>
      <c r="Q685" s="6"/>
      <c r="R685" s="6"/>
      <c r="S685" s="6"/>
      <c r="T685" s="6"/>
      <c r="U685" s="6"/>
      <c r="V685" s="6"/>
      <c r="W685" s="6"/>
      <c r="X685" s="6"/>
      <c r="Y685" s="6"/>
      <c r="Z685" s="6"/>
      <c r="AA685" s="6"/>
      <c r="AB685" s="6"/>
      <c r="AC685" s="16"/>
    </row>
    <row r="686" spans="4:29">
      <c r="D686" s="16"/>
      <c r="I686" s="3"/>
      <c r="K686" s="15"/>
      <c r="L686" s="15"/>
      <c r="M686" s="15"/>
      <c r="N686" s="6"/>
      <c r="O686" s="6"/>
      <c r="P686" s="6"/>
      <c r="Q686" s="6"/>
      <c r="R686" s="6"/>
      <c r="S686" s="6"/>
      <c r="T686" s="6"/>
      <c r="U686" s="6"/>
      <c r="V686" s="6"/>
      <c r="W686" s="6"/>
      <c r="X686" s="6"/>
      <c r="Y686" s="6"/>
      <c r="Z686" s="6"/>
      <c r="AA686" s="6"/>
      <c r="AB686" s="6"/>
      <c r="AC686" s="16"/>
    </row>
    <row r="687" spans="4:29">
      <c r="D687" s="16"/>
      <c r="I687" s="3"/>
      <c r="K687" s="15"/>
      <c r="L687" s="15"/>
      <c r="M687" s="15"/>
      <c r="N687" s="6"/>
      <c r="O687" s="6"/>
      <c r="P687" s="6"/>
      <c r="Q687" s="6"/>
      <c r="R687" s="6"/>
      <c r="S687" s="6"/>
      <c r="T687" s="6"/>
      <c r="U687" s="6"/>
      <c r="V687" s="6"/>
      <c r="W687" s="6"/>
      <c r="X687" s="6"/>
      <c r="Y687" s="6"/>
      <c r="Z687" s="6"/>
      <c r="AA687" s="6"/>
      <c r="AB687" s="6"/>
      <c r="AC687" s="16"/>
    </row>
    <row r="688" spans="4:29">
      <c r="D688" s="16"/>
      <c r="I688" s="3"/>
      <c r="K688" s="15"/>
      <c r="L688" s="15"/>
      <c r="M688" s="15"/>
      <c r="AB688" s="6"/>
    </row>
    <row r="689" spans="4:28">
      <c r="D689" s="16"/>
      <c r="I689" s="3"/>
      <c r="K689" s="15"/>
      <c r="L689" s="15"/>
      <c r="M689" s="15"/>
      <c r="AB689" s="6"/>
    </row>
    <row r="690" spans="4:28">
      <c r="D690" s="16"/>
      <c r="I690" s="3"/>
      <c r="K690" s="15"/>
      <c r="L690" s="15"/>
      <c r="M690" s="15"/>
      <c r="AB690" s="6"/>
    </row>
    <row r="691" spans="4:28">
      <c r="D691" s="16"/>
      <c r="I691" s="3"/>
      <c r="K691" s="15"/>
      <c r="L691" s="15"/>
      <c r="M691" s="15"/>
      <c r="AB691" s="6"/>
    </row>
    <row r="692" spans="4:28">
      <c r="D692" s="16"/>
      <c r="I692" s="3"/>
      <c r="K692" s="15"/>
      <c r="L692" s="15"/>
      <c r="M692" s="15"/>
      <c r="AB692" s="6"/>
    </row>
    <row r="693" spans="4:28">
      <c r="D693" s="16"/>
      <c r="I693" s="3"/>
      <c r="K693" s="15"/>
      <c r="L693" s="15"/>
      <c r="M693" s="15"/>
      <c r="AB693" s="6"/>
    </row>
    <row r="694" spans="4:28">
      <c r="D694" s="16"/>
      <c r="I694" s="3"/>
      <c r="K694" s="15"/>
      <c r="L694" s="15"/>
      <c r="M694" s="15"/>
      <c r="AB694" s="6"/>
    </row>
    <row r="695" spans="4:28">
      <c r="D695" s="16"/>
      <c r="I695" s="3"/>
      <c r="K695" s="15"/>
      <c r="L695" s="15"/>
      <c r="M695" s="15"/>
      <c r="AB695" s="6"/>
    </row>
    <row r="696" spans="4:28">
      <c r="D696" s="16"/>
      <c r="I696" s="3"/>
      <c r="K696" s="15"/>
      <c r="L696" s="15"/>
      <c r="M696" s="15"/>
      <c r="AB696" s="6"/>
    </row>
    <row r="697" spans="4:28">
      <c r="D697" s="16"/>
      <c r="I697" s="3"/>
      <c r="K697" s="15"/>
      <c r="L697" s="15"/>
      <c r="M697" s="15"/>
      <c r="AB697" s="6"/>
    </row>
    <row r="698" spans="4:28">
      <c r="D698" s="16"/>
      <c r="I698" s="3"/>
      <c r="K698" s="15"/>
      <c r="L698" s="15"/>
      <c r="M698" s="15"/>
      <c r="AB698" s="6"/>
    </row>
    <row r="699" spans="4:28">
      <c r="D699" s="16"/>
      <c r="I699" s="3"/>
      <c r="K699" s="15"/>
      <c r="L699" s="15"/>
      <c r="M699" s="15"/>
      <c r="AB699" s="6"/>
    </row>
    <row r="700" spans="4:28">
      <c r="D700" s="16"/>
      <c r="I700" s="3"/>
      <c r="K700" s="15"/>
      <c r="L700" s="15"/>
      <c r="M700" s="15"/>
      <c r="AB700" s="6"/>
    </row>
    <row r="701" spans="4:28">
      <c r="D701" s="16"/>
      <c r="I701" s="3"/>
      <c r="K701" s="15"/>
      <c r="L701" s="15"/>
      <c r="M701" s="15"/>
      <c r="AB701" s="6"/>
    </row>
    <row r="702" spans="4:28">
      <c r="D702" s="16"/>
      <c r="I702" s="3"/>
      <c r="K702" s="15"/>
      <c r="L702" s="15"/>
      <c r="M702" s="15"/>
      <c r="AB702" s="6"/>
    </row>
    <row r="703" spans="4:28">
      <c r="D703" s="16"/>
      <c r="I703" s="3"/>
      <c r="K703" s="15"/>
      <c r="L703" s="15"/>
      <c r="M703" s="15"/>
      <c r="AB703" s="6"/>
    </row>
    <row r="704" spans="4:28">
      <c r="D704" s="16"/>
      <c r="I704" s="3"/>
      <c r="K704" s="15"/>
      <c r="L704" s="15"/>
      <c r="M704" s="15"/>
      <c r="AB704" s="6"/>
    </row>
    <row r="705" spans="4:28">
      <c r="D705" s="16"/>
      <c r="I705" s="3"/>
      <c r="K705" s="15"/>
      <c r="L705" s="15"/>
      <c r="M705" s="15"/>
      <c r="AB705" s="6"/>
    </row>
    <row r="706" spans="4:28">
      <c r="D706" s="16"/>
      <c r="I706" s="3"/>
      <c r="K706" s="15"/>
      <c r="L706" s="15"/>
      <c r="M706" s="15"/>
      <c r="AB706" s="6"/>
    </row>
    <row r="707" spans="4:28">
      <c r="D707" s="16"/>
      <c r="I707" s="3"/>
      <c r="K707" s="15"/>
      <c r="L707" s="15"/>
      <c r="M707" s="15"/>
      <c r="AB707" s="6"/>
    </row>
    <row r="708" spans="4:28">
      <c r="D708" s="16"/>
      <c r="I708" s="3"/>
      <c r="K708" s="15"/>
      <c r="L708" s="15"/>
      <c r="M708" s="15"/>
      <c r="AB708" s="6"/>
    </row>
    <row r="709" spans="4:28">
      <c r="D709" s="16"/>
      <c r="I709" s="3"/>
      <c r="K709" s="15"/>
      <c r="L709" s="15"/>
      <c r="M709" s="15"/>
      <c r="AB709" s="6"/>
    </row>
    <row r="710" spans="4:28">
      <c r="D710" s="16"/>
      <c r="I710" s="3"/>
      <c r="K710" s="15"/>
      <c r="L710" s="15"/>
      <c r="M710" s="15"/>
      <c r="AB710" s="6"/>
    </row>
    <row r="711" spans="4:28">
      <c r="D711" s="16"/>
      <c r="I711" s="3"/>
      <c r="K711" s="15"/>
      <c r="L711" s="15"/>
      <c r="M711" s="15"/>
      <c r="AB711" s="6"/>
    </row>
    <row r="712" spans="4:28">
      <c r="D712" s="16"/>
      <c r="I712" s="3"/>
      <c r="K712" s="15"/>
      <c r="L712" s="15"/>
      <c r="M712" s="15"/>
      <c r="AB712" s="6"/>
    </row>
    <row r="713" spans="4:28">
      <c r="D713" s="16"/>
      <c r="I713" s="3"/>
      <c r="K713" s="15"/>
      <c r="L713" s="15"/>
      <c r="M713" s="15"/>
      <c r="AB713" s="6"/>
    </row>
    <row r="714" spans="4:28">
      <c r="D714" s="16"/>
      <c r="I714" s="3"/>
      <c r="K714" s="15"/>
      <c r="L714" s="15"/>
      <c r="M714" s="15"/>
      <c r="AB714" s="6"/>
    </row>
    <row r="715" spans="4:28">
      <c r="D715" s="16"/>
      <c r="I715" s="3"/>
      <c r="K715" s="15"/>
      <c r="L715" s="15"/>
      <c r="M715" s="15"/>
      <c r="AB715" s="6"/>
    </row>
    <row r="716" spans="4:28">
      <c r="D716" s="16"/>
      <c r="I716" s="3"/>
      <c r="K716" s="15"/>
      <c r="L716" s="15"/>
      <c r="M716" s="15"/>
      <c r="AB716" s="6"/>
    </row>
    <row r="717" spans="4:28">
      <c r="D717" s="16"/>
      <c r="I717" s="3"/>
      <c r="K717" s="15"/>
      <c r="L717" s="15"/>
      <c r="M717" s="15"/>
      <c r="AB717" s="6"/>
    </row>
    <row r="718" spans="4:28">
      <c r="D718" s="16"/>
      <c r="I718" s="3"/>
      <c r="K718" s="15"/>
      <c r="L718" s="15"/>
      <c r="M718" s="15"/>
      <c r="AB718" s="6"/>
    </row>
    <row r="719" spans="4:28">
      <c r="D719" s="16"/>
      <c r="I719" s="3"/>
      <c r="K719" s="15"/>
      <c r="L719" s="15"/>
      <c r="M719" s="15"/>
      <c r="AB719" s="6"/>
    </row>
    <row r="720" spans="4:28">
      <c r="D720" s="16"/>
      <c r="I720" s="3"/>
      <c r="K720" s="15"/>
      <c r="L720" s="15"/>
      <c r="M720" s="15"/>
      <c r="AB720" s="6"/>
    </row>
    <row r="721" spans="4:28">
      <c r="D721" s="16"/>
      <c r="I721" s="3"/>
      <c r="K721" s="15"/>
      <c r="L721" s="15"/>
      <c r="M721" s="15"/>
      <c r="AB721" s="6"/>
    </row>
    <row r="722" spans="4:28">
      <c r="D722" s="16"/>
      <c r="I722" s="3"/>
      <c r="K722" s="15"/>
      <c r="L722" s="15"/>
      <c r="M722" s="15"/>
      <c r="AB722" s="6"/>
    </row>
    <row r="723" spans="4:28">
      <c r="D723" s="16"/>
      <c r="I723" s="3"/>
      <c r="K723" s="15"/>
      <c r="L723" s="15"/>
      <c r="M723" s="15"/>
      <c r="AB723" s="6"/>
    </row>
    <row r="724" spans="4:28">
      <c r="D724" s="16"/>
      <c r="I724" s="3"/>
      <c r="K724" s="15"/>
      <c r="L724" s="15"/>
      <c r="M724" s="15"/>
      <c r="AB724" s="6"/>
    </row>
    <row r="725" spans="4:28">
      <c r="D725" s="16"/>
      <c r="I725" s="3"/>
      <c r="K725" s="15"/>
      <c r="L725" s="15"/>
      <c r="M725" s="15"/>
      <c r="AB725" s="6"/>
    </row>
    <row r="726" spans="4:28">
      <c r="D726" s="16"/>
      <c r="I726" s="3"/>
      <c r="K726" s="15"/>
      <c r="L726" s="15"/>
      <c r="M726" s="15"/>
      <c r="AB726" s="6"/>
    </row>
    <row r="727" spans="4:28">
      <c r="D727" s="16"/>
      <c r="I727" s="3"/>
      <c r="K727" s="15"/>
      <c r="L727" s="15"/>
      <c r="M727" s="15"/>
      <c r="AB727" s="6"/>
    </row>
    <row r="728" spans="4:28">
      <c r="D728" s="16"/>
      <c r="I728" s="3"/>
      <c r="K728" s="15"/>
      <c r="L728" s="15"/>
      <c r="M728" s="15"/>
      <c r="AB728" s="6"/>
    </row>
    <row r="729" spans="4:28">
      <c r="D729" s="16"/>
      <c r="I729" s="3"/>
      <c r="K729" s="15"/>
      <c r="L729" s="15"/>
      <c r="M729" s="15"/>
      <c r="AB729" s="6"/>
    </row>
    <row r="730" spans="4:28">
      <c r="D730" s="16"/>
      <c r="I730" s="3"/>
      <c r="K730" s="15"/>
      <c r="L730" s="15"/>
      <c r="M730" s="15"/>
      <c r="AB730" s="6"/>
    </row>
    <row r="731" spans="4:28">
      <c r="D731" s="16"/>
      <c r="I731" s="3"/>
      <c r="K731" s="15"/>
      <c r="L731" s="15"/>
      <c r="M731" s="15"/>
      <c r="AB731" s="6"/>
    </row>
    <row r="732" spans="4:28">
      <c r="D732" s="16"/>
      <c r="I732" s="3"/>
      <c r="K732" s="15"/>
      <c r="L732" s="15"/>
      <c r="M732" s="15"/>
      <c r="AB732" s="6"/>
    </row>
    <row r="733" spans="4:28">
      <c r="D733" s="16"/>
      <c r="I733" s="3"/>
      <c r="K733" s="15"/>
      <c r="L733" s="15"/>
      <c r="M733" s="15"/>
      <c r="AB733" s="6"/>
    </row>
    <row r="734" spans="4:28">
      <c r="D734" s="16"/>
      <c r="I734" s="3"/>
      <c r="K734" s="15"/>
      <c r="L734" s="15"/>
      <c r="M734" s="15"/>
      <c r="AB734" s="6"/>
    </row>
    <row r="735" spans="4:28">
      <c r="D735" s="16"/>
      <c r="I735" s="3"/>
      <c r="K735" s="15"/>
      <c r="L735" s="15"/>
      <c r="M735" s="15"/>
      <c r="AB735" s="6"/>
    </row>
    <row r="736" spans="4:28">
      <c r="D736" s="16"/>
      <c r="I736" s="3"/>
      <c r="K736" s="15"/>
      <c r="L736" s="15"/>
      <c r="M736" s="15"/>
      <c r="AB736" s="6"/>
    </row>
    <row r="737" spans="4:28">
      <c r="D737" s="16"/>
      <c r="I737" s="3"/>
      <c r="K737" s="15"/>
      <c r="L737" s="15"/>
      <c r="M737" s="15"/>
      <c r="AB737" s="6"/>
    </row>
    <row r="738" spans="4:28">
      <c r="D738" s="16"/>
      <c r="I738" s="3"/>
      <c r="K738" s="15"/>
      <c r="L738" s="15"/>
      <c r="M738" s="15"/>
      <c r="AB738" s="6"/>
    </row>
    <row r="739" spans="4:28">
      <c r="D739" s="16"/>
      <c r="I739" s="3"/>
      <c r="K739" s="15"/>
      <c r="L739" s="15"/>
      <c r="M739" s="15"/>
      <c r="AB739" s="6"/>
    </row>
    <row r="740" spans="4:28">
      <c r="D740" s="16"/>
      <c r="I740" s="3"/>
      <c r="K740" s="15"/>
      <c r="L740" s="15"/>
      <c r="M740" s="15"/>
      <c r="AB740" s="6"/>
    </row>
    <row r="741" spans="4:28">
      <c r="D741" s="16"/>
      <c r="I741" s="3"/>
      <c r="K741" s="15"/>
      <c r="L741" s="15"/>
      <c r="M741" s="15"/>
      <c r="AB741" s="6"/>
    </row>
    <row r="742" spans="4:28">
      <c r="D742" s="16"/>
      <c r="I742" s="3"/>
      <c r="K742" s="15"/>
      <c r="L742" s="15"/>
      <c r="M742" s="15"/>
      <c r="AB742" s="6"/>
    </row>
    <row r="743" spans="4:28">
      <c r="D743" s="16"/>
      <c r="I743" s="3"/>
      <c r="K743" s="15"/>
      <c r="L743" s="15"/>
      <c r="M743" s="15"/>
      <c r="AB743" s="6"/>
    </row>
    <row r="744" spans="4:28">
      <c r="D744" s="16"/>
      <c r="I744" s="3"/>
      <c r="K744" s="15"/>
      <c r="L744" s="15"/>
      <c r="M744" s="15"/>
      <c r="AB744" s="6"/>
    </row>
    <row r="745" spans="4:28">
      <c r="D745" s="16"/>
      <c r="I745" s="3"/>
      <c r="K745" s="15"/>
      <c r="L745" s="15"/>
      <c r="M745" s="15"/>
      <c r="AB745" s="6"/>
    </row>
    <row r="746" spans="4:28">
      <c r="D746" s="16"/>
      <c r="I746" s="3"/>
      <c r="K746" s="15"/>
      <c r="L746" s="15"/>
      <c r="M746" s="15"/>
      <c r="AB746" s="6"/>
    </row>
    <row r="747" spans="4:28">
      <c r="D747" s="16"/>
      <c r="I747" s="3"/>
      <c r="K747" s="15"/>
      <c r="L747" s="15"/>
      <c r="M747" s="15"/>
      <c r="AB747" s="6"/>
    </row>
    <row r="748" spans="4:28">
      <c r="D748" s="16"/>
      <c r="I748" s="3"/>
      <c r="K748" s="15"/>
      <c r="L748" s="15"/>
      <c r="M748" s="15"/>
      <c r="AB748" s="6"/>
    </row>
    <row r="749" spans="4:28">
      <c r="D749" s="16"/>
      <c r="I749" s="3"/>
      <c r="K749" s="15"/>
      <c r="L749" s="15"/>
      <c r="M749" s="15"/>
      <c r="AB749" s="6"/>
    </row>
    <row r="750" spans="4:28">
      <c r="D750" s="16"/>
      <c r="I750" s="3"/>
      <c r="K750" s="15"/>
      <c r="L750" s="15"/>
      <c r="M750" s="15"/>
      <c r="AB750" s="6"/>
    </row>
    <row r="751" spans="4:28">
      <c r="D751" s="16"/>
      <c r="I751" s="3"/>
      <c r="K751" s="15"/>
      <c r="L751" s="15"/>
      <c r="M751" s="15"/>
      <c r="AB751" s="6"/>
    </row>
    <row r="752" spans="4:28">
      <c r="D752" s="16"/>
      <c r="I752" s="3"/>
      <c r="K752" s="15"/>
      <c r="L752" s="15"/>
      <c r="M752" s="15"/>
      <c r="AB752" s="6"/>
    </row>
    <row r="753" spans="4:28">
      <c r="D753" s="16"/>
      <c r="I753" s="3"/>
      <c r="K753" s="15"/>
      <c r="L753" s="15"/>
      <c r="M753" s="15"/>
      <c r="AB753" s="6"/>
    </row>
    <row r="754" spans="4:28">
      <c r="D754" s="16"/>
      <c r="I754" s="3"/>
      <c r="K754" s="15"/>
      <c r="L754" s="15"/>
      <c r="M754" s="15"/>
      <c r="AB754" s="6"/>
    </row>
    <row r="755" spans="4:28">
      <c r="D755" s="16"/>
      <c r="I755" s="3"/>
      <c r="K755" s="15"/>
      <c r="L755" s="15"/>
      <c r="M755" s="15"/>
      <c r="AB755" s="6"/>
    </row>
    <row r="756" spans="4:28">
      <c r="D756" s="16"/>
      <c r="I756" s="3"/>
      <c r="K756" s="15"/>
      <c r="L756" s="15"/>
      <c r="M756" s="15"/>
      <c r="AB756" s="6"/>
    </row>
    <row r="757" spans="4:28">
      <c r="D757" s="16"/>
      <c r="I757" s="3"/>
      <c r="K757" s="15"/>
      <c r="L757" s="15"/>
      <c r="M757" s="15"/>
      <c r="AB757" s="6"/>
    </row>
    <row r="758" spans="4:28">
      <c r="D758" s="16"/>
      <c r="I758" s="3"/>
      <c r="K758" s="15"/>
      <c r="L758" s="15"/>
      <c r="M758" s="15"/>
      <c r="AB758" s="6"/>
    </row>
    <row r="759" spans="4:28">
      <c r="D759" s="16"/>
      <c r="I759" s="3"/>
      <c r="K759" s="15"/>
      <c r="L759" s="15"/>
      <c r="M759" s="15"/>
      <c r="AB759" s="6"/>
    </row>
    <row r="760" spans="4:28">
      <c r="D760" s="16"/>
      <c r="I760" s="3"/>
      <c r="K760" s="15"/>
      <c r="L760" s="15"/>
      <c r="M760" s="15"/>
      <c r="AB760" s="6"/>
    </row>
    <row r="761" spans="4:28">
      <c r="D761" s="16"/>
      <c r="I761" s="3"/>
      <c r="K761" s="15"/>
      <c r="L761" s="15"/>
      <c r="M761" s="15"/>
      <c r="AB761" s="6"/>
    </row>
    <row r="762" spans="4:28">
      <c r="D762" s="16"/>
      <c r="I762" s="3"/>
      <c r="K762" s="15"/>
      <c r="L762" s="15"/>
      <c r="M762" s="15"/>
      <c r="AB762" s="6"/>
    </row>
    <row r="763" spans="4:28">
      <c r="D763" s="16"/>
      <c r="I763" s="3"/>
      <c r="K763" s="15"/>
      <c r="L763" s="15"/>
      <c r="M763" s="15"/>
      <c r="AB763" s="6"/>
    </row>
    <row r="764" spans="4:28">
      <c r="D764" s="16"/>
      <c r="I764" s="3"/>
      <c r="K764" s="15"/>
      <c r="L764" s="15"/>
      <c r="M764" s="15"/>
      <c r="AB764" s="6"/>
    </row>
    <row r="765" spans="4:28">
      <c r="D765" s="16"/>
      <c r="I765" s="3"/>
      <c r="K765" s="15"/>
      <c r="L765" s="15"/>
      <c r="M765" s="15"/>
      <c r="AB765" s="6"/>
    </row>
    <row r="766" spans="4:28">
      <c r="D766" s="16"/>
      <c r="I766" s="3"/>
      <c r="K766" s="15"/>
      <c r="L766" s="15"/>
      <c r="M766" s="15"/>
      <c r="AB766" s="6"/>
    </row>
    <row r="767" spans="4:28">
      <c r="D767" s="16"/>
      <c r="I767" s="3"/>
      <c r="K767" s="15"/>
      <c r="L767" s="15"/>
      <c r="M767" s="15"/>
      <c r="AB767" s="6"/>
    </row>
    <row r="768" spans="4:28">
      <c r="D768" s="16"/>
      <c r="I768" s="3"/>
      <c r="K768" s="15"/>
      <c r="L768" s="15"/>
      <c r="M768" s="15"/>
      <c r="AB768" s="6"/>
    </row>
    <row r="769" spans="4:28">
      <c r="D769" s="16"/>
      <c r="I769" s="3"/>
      <c r="K769" s="15"/>
      <c r="L769" s="15"/>
      <c r="M769" s="15"/>
      <c r="AB769" s="6"/>
    </row>
    <row r="770" spans="4:28">
      <c r="D770" s="16"/>
      <c r="I770" s="3"/>
      <c r="K770" s="15"/>
      <c r="L770" s="15"/>
      <c r="M770" s="15"/>
      <c r="AB770" s="6"/>
    </row>
    <row r="771" spans="4:28">
      <c r="D771" s="16"/>
      <c r="I771" s="3"/>
      <c r="K771" s="15"/>
      <c r="L771" s="15"/>
      <c r="M771" s="15"/>
      <c r="AB771" s="6"/>
    </row>
    <row r="772" spans="4:28">
      <c r="D772" s="16"/>
      <c r="I772" s="3"/>
      <c r="K772" s="15"/>
      <c r="L772" s="15"/>
      <c r="M772" s="15"/>
      <c r="AB772" s="6"/>
    </row>
    <row r="773" spans="4:28">
      <c r="D773" s="16"/>
      <c r="I773" s="3"/>
      <c r="K773" s="15"/>
      <c r="L773" s="15"/>
      <c r="M773" s="15"/>
      <c r="AB773" s="6"/>
    </row>
    <row r="774" spans="4:28">
      <c r="D774" s="16"/>
      <c r="I774" s="3"/>
      <c r="K774" s="15"/>
      <c r="L774" s="15"/>
      <c r="M774" s="15"/>
      <c r="AB774" s="6"/>
    </row>
    <row r="775" spans="4:28">
      <c r="D775" s="16"/>
      <c r="I775" s="3"/>
      <c r="K775" s="15"/>
      <c r="L775" s="15"/>
      <c r="M775" s="15"/>
      <c r="AB775" s="6"/>
    </row>
    <row r="776" spans="4:28">
      <c r="D776" s="16"/>
      <c r="I776" s="3"/>
      <c r="K776" s="15"/>
      <c r="L776" s="15"/>
      <c r="M776" s="15"/>
      <c r="AB776" s="6"/>
    </row>
    <row r="777" spans="4:28">
      <c r="D777" s="16"/>
      <c r="I777" s="3"/>
      <c r="K777" s="15"/>
      <c r="L777" s="15"/>
      <c r="M777" s="15"/>
      <c r="AB777" s="6"/>
    </row>
    <row r="778" spans="4:28">
      <c r="D778" s="16"/>
      <c r="I778" s="3"/>
      <c r="K778" s="15"/>
      <c r="L778" s="15"/>
      <c r="M778" s="15"/>
      <c r="AB778" s="6"/>
    </row>
    <row r="779" spans="4:28">
      <c r="D779" s="16"/>
      <c r="I779" s="3"/>
      <c r="K779" s="15"/>
      <c r="L779" s="15"/>
      <c r="M779" s="15"/>
      <c r="AB779" s="6"/>
    </row>
    <row r="780" spans="4:28">
      <c r="D780" s="16"/>
      <c r="I780" s="3"/>
      <c r="K780" s="15"/>
      <c r="L780" s="15"/>
      <c r="M780" s="15"/>
      <c r="AB780" s="6"/>
    </row>
    <row r="781" spans="4:28">
      <c r="D781" s="16"/>
      <c r="I781" s="3"/>
      <c r="K781" s="15"/>
      <c r="L781" s="15"/>
      <c r="M781" s="15"/>
      <c r="AB781" s="6"/>
    </row>
    <row r="782" spans="4:28">
      <c r="D782" s="16"/>
      <c r="I782" s="3"/>
      <c r="K782" s="15"/>
      <c r="L782" s="15"/>
      <c r="M782" s="15"/>
      <c r="AB782" s="6"/>
    </row>
    <row r="783" spans="4:28">
      <c r="D783" s="16"/>
      <c r="I783" s="3"/>
      <c r="K783" s="15"/>
      <c r="L783" s="15"/>
      <c r="M783" s="15"/>
      <c r="AB783" s="6"/>
    </row>
    <row r="784" spans="4:28">
      <c r="D784" s="16"/>
      <c r="I784" s="3"/>
      <c r="K784" s="15"/>
      <c r="L784" s="15"/>
      <c r="M784" s="15"/>
      <c r="AB784" s="6"/>
    </row>
    <row r="785" spans="4:28">
      <c r="D785" s="16"/>
      <c r="I785" s="3"/>
      <c r="K785" s="15"/>
      <c r="L785" s="15"/>
      <c r="M785" s="15"/>
      <c r="AB785" s="6"/>
    </row>
    <row r="786" spans="4:28">
      <c r="D786" s="16"/>
      <c r="I786" s="3"/>
      <c r="K786" s="15"/>
      <c r="L786" s="15"/>
      <c r="M786" s="15"/>
      <c r="AB786" s="6"/>
    </row>
    <row r="787" spans="4:28">
      <c r="D787" s="16"/>
      <c r="I787" s="3"/>
      <c r="K787" s="15"/>
      <c r="L787" s="15"/>
      <c r="M787" s="15"/>
      <c r="AB787" s="6"/>
    </row>
    <row r="788" spans="4:28">
      <c r="D788" s="16"/>
      <c r="I788" s="3"/>
      <c r="K788" s="15"/>
      <c r="L788" s="15"/>
      <c r="M788" s="15"/>
      <c r="AB788" s="6"/>
    </row>
    <row r="789" spans="4:28">
      <c r="D789" s="16"/>
      <c r="I789" s="3"/>
      <c r="K789" s="15"/>
      <c r="L789" s="15"/>
      <c r="M789" s="15"/>
      <c r="AB789" s="6"/>
    </row>
    <row r="790" spans="4:28">
      <c r="D790" s="16"/>
      <c r="I790" s="3"/>
      <c r="K790" s="15"/>
      <c r="L790" s="15"/>
      <c r="M790" s="15"/>
      <c r="AB790" s="6"/>
    </row>
    <row r="791" spans="4:28">
      <c r="D791" s="16"/>
      <c r="I791" s="3"/>
      <c r="K791" s="15"/>
      <c r="L791" s="15"/>
      <c r="M791" s="15"/>
      <c r="AB791" s="6"/>
    </row>
    <row r="792" spans="4:28">
      <c r="D792" s="16"/>
      <c r="I792" s="3"/>
      <c r="K792" s="15"/>
      <c r="L792" s="15"/>
      <c r="M792" s="15"/>
      <c r="AB792" s="6"/>
    </row>
    <row r="793" spans="4:28">
      <c r="D793" s="16"/>
      <c r="I793" s="3"/>
      <c r="K793" s="15"/>
      <c r="L793" s="15"/>
      <c r="M793" s="15"/>
      <c r="AB793" s="6"/>
    </row>
    <row r="794" spans="4:28">
      <c r="D794" s="16"/>
      <c r="I794" s="3"/>
      <c r="K794" s="15"/>
      <c r="L794" s="15"/>
      <c r="M794" s="15"/>
      <c r="AB794" s="6"/>
    </row>
    <row r="795" spans="4:28">
      <c r="D795" s="16"/>
      <c r="I795" s="3"/>
      <c r="K795" s="15"/>
      <c r="L795" s="15"/>
      <c r="M795" s="15"/>
      <c r="AB795" s="6"/>
    </row>
    <row r="796" spans="4:28">
      <c r="D796" s="16"/>
      <c r="I796" s="3"/>
      <c r="K796" s="15"/>
      <c r="L796" s="15"/>
      <c r="M796" s="15"/>
      <c r="AB796" s="6"/>
    </row>
    <row r="797" spans="4:28">
      <c r="D797" s="16"/>
      <c r="I797" s="3"/>
      <c r="K797" s="15"/>
      <c r="L797" s="15"/>
      <c r="M797" s="15"/>
      <c r="AB797" s="6"/>
    </row>
    <row r="798" spans="4:28">
      <c r="D798" s="16"/>
      <c r="I798" s="3"/>
      <c r="K798" s="15"/>
      <c r="L798" s="15"/>
      <c r="M798" s="15"/>
      <c r="AB798" s="6"/>
    </row>
    <row r="799" spans="4:28">
      <c r="D799" s="16"/>
      <c r="I799" s="3"/>
      <c r="K799" s="15"/>
      <c r="L799" s="15"/>
      <c r="M799" s="15"/>
      <c r="AB799" s="6"/>
    </row>
    <row r="800" spans="4:28">
      <c r="D800" s="16"/>
      <c r="I800" s="3"/>
      <c r="K800" s="15"/>
      <c r="L800" s="15"/>
      <c r="M800" s="15"/>
      <c r="AB800" s="6"/>
    </row>
    <row r="801" spans="4:28">
      <c r="D801" s="16"/>
      <c r="I801" s="3"/>
      <c r="K801" s="15"/>
      <c r="L801" s="15"/>
      <c r="M801" s="15"/>
      <c r="AB801" s="6"/>
    </row>
    <row r="802" spans="4:28">
      <c r="D802" s="16"/>
      <c r="I802" s="3"/>
      <c r="K802" s="15"/>
      <c r="L802" s="15"/>
      <c r="M802" s="15"/>
      <c r="AB802" s="6"/>
    </row>
    <row r="803" spans="4:28">
      <c r="D803" s="16"/>
      <c r="I803" s="3"/>
      <c r="K803" s="15"/>
      <c r="L803" s="15"/>
      <c r="M803" s="15"/>
      <c r="AB803" s="6"/>
    </row>
    <row r="804" spans="4:28">
      <c r="D804" s="16"/>
      <c r="I804" s="3"/>
      <c r="K804" s="15"/>
      <c r="L804" s="15"/>
      <c r="M804" s="15"/>
      <c r="AB804" s="6"/>
    </row>
    <row r="805" spans="4:28">
      <c r="D805" s="16"/>
      <c r="I805" s="3"/>
      <c r="K805" s="15"/>
      <c r="L805" s="15"/>
      <c r="M805" s="15"/>
      <c r="AB805" s="6"/>
    </row>
    <row r="806" spans="4:28">
      <c r="D806" s="16"/>
      <c r="I806" s="3"/>
      <c r="K806" s="15"/>
      <c r="L806" s="15"/>
      <c r="M806" s="15"/>
      <c r="AB806" s="6"/>
    </row>
    <row r="807" spans="4:28">
      <c r="D807" s="16"/>
      <c r="I807" s="3"/>
      <c r="K807" s="15"/>
      <c r="L807" s="15"/>
      <c r="M807" s="15"/>
      <c r="AB807" s="6"/>
    </row>
    <row r="808" spans="4:28">
      <c r="D808" s="16"/>
      <c r="I808" s="3"/>
      <c r="K808" s="15"/>
      <c r="L808" s="15"/>
      <c r="M808" s="15"/>
      <c r="AB808" s="6"/>
    </row>
    <row r="809" spans="4:28">
      <c r="D809" s="16"/>
      <c r="I809" s="3"/>
      <c r="K809" s="15"/>
      <c r="L809" s="15"/>
      <c r="M809" s="15"/>
      <c r="AB809" s="6"/>
    </row>
    <row r="810" spans="4:28">
      <c r="D810" s="16"/>
      <c r="I810" s="3"/>
      <c r="K810" s="15"/>
      <c r="L810" s="15"/>
      <c r="M810" s="15"/>
      <c r="AB810" s="6"/>
    </row>
    <row r="811" spans="4:28">
      <c r="D811" s="16"/>
      <c r="I811" s="3"/>
      <c r="K811" s="15"/>
      <c r="L811" s="15"/>
      <c r="M811" s="15"/>
      <c r="AB811" s="6"/>
    </row>
    <row r="812" spans="4:28">
      <c r="D812" s="16"/>
      <c r="I812" s="3"/>
      <c r="K812" s="15"/>
      <c r="L812" s="15"/>
      <c r="M812" s="15"/>
      <c r="AB812" s="6"/>
    </row>
    <row r="813" spans="4:28">
      <c r="D813" s="16"/>
      <c r="I813" s="3"/>
      <c r="K813" s="15"/>
      <c r="L813" s="15"/>
      <c r="M813" s="15"/>
      <c r="AB813" s="6"/>
    </row>
    <row r="814" spans="4:28">
      <c r="D814" s="16"/>
      <c r="I814" s="3"/>
      <c r="K814" s="15"/>
      <c r="L814" s="15"/>
      <c r="M814" s="15"/>
      <c r="AB814" s="6"/>
    </row>
    <row r="815" spans="4:28">
      <c r="D815" s="16"/>
      <c r="I815" s="3"/>
      <c r="K815" s="15"/>
      <c r="L815" s="15"/>
      <c r="M815" s="15"/>
      <c r="AB815" s="6"/>
    </row>
    <row r="816" spans="4:28">
      <c r="D816" s="16"/>
      <c r="I816" s="3"/>
      <c r="K816" s="15"/>
      <c r="L816" s="15"/>
      <c r="M816" s="15"/>
      <c r="AB816" s="6"/>
    </row>
    <row r="817" spans="4:28">
      <c r="D817" s="16"/>
      <c r="I817" s="3"/>
      <c r="K817" s="15"/>
      <c r="L817" s="15"/>
      <c r="M817" s="15"/>
      <c r="AB817" s="6"/>
    </row>
    <row r="818" spans="4:28">
      <c r="D818" s="16"/>
      <c r="I818" s="3"/>
      <c r="K818" s="15"/>
      <c r="L818" s="15"/>
      <c r="M818" s="15"/>
      <c r="AB818" s="6"/>
    </row>
    <row r="819" spans="4:28">
      <c r="D819" s="16"/>
      <c r="I819" s="3"/>
      <c r="K819" s="15"/>
      <c r="L819" s="15"/>
      <c r="M819" s="15"/>
      <c r="AB819" s="6"/>
    </row>
    <row r="820" spans="4:28">
      <c r="D820" s="16"/>
      <c r="I820" s="3"/>
      <c r="K820" s="15"/>
      <c r="L820" s="15"/>
      <c r="M820" s="15"/>
      <c r="AB820" s="6"/>
    </row>
    <row r="821" spans="4:28">
      <c r="D821" s="16"/>
      <c r="I821" s="3"/>
      <c r="K821" s="15"/>
      <c r="L821" s="15"/>
      <c r="M821" s="15"/>
      <c r="AB821" s="6"/>
    </row>
    <row r="822" spans="4:28">
      <c r="D822" s="16"/>
      <c r="I822" s="3"/>
      <c r="K822" s="15"/>
      <c r="L822" s="15"/>
      <c r="M822" s="15"/>
      <c r="AB822" s="6"/>
    </row>
    <row r="823" spans="4:28">
      <c r="D823" s="16"/>
      <c r="I823" s="3"/>
      <c r="K823" s="15"/>
      <c r="L823" s="15"/>
      <c r="M823" s="15"/>
      <c r="AB823" s="6"/>
    </row>
    <row r="824" spans="4:28">
      <c r="D824" s="16"/>
      <c r="I824" s="3"/>
      <c r="K824" s="15"/>
      <c r="L824" s="15"/>
      <c r="M824" s="15"/>
      <c r="AB824" s="6"/>
    </row>
    <row r="825" spans="4:28">
      <c r="D825" s="16"/>
      <c r="I825" s="3"/>
      <c r="K825" s="15"/>
      <c r="L825" s="15"/>
      <c r="M825" s="15"/>
      <c r="AB825" s="6"/>
    </row>
    <row r="826" spans="4:28">
      <c r="D826" s="16"/>
      <c r="I826" s="3"/>
      <c r="K826" s="15"/>
      <c r="L826" s="15"/>
      <c r="M826" s="15"/>
      <c r="AB826" s="6"/>
    </row>
    <row r="827" spans="4:28">
      <c r="D827" s="16"/>
      <c r="I827" s="3"/>
      <c r="K827" s="15"/>
      <c r="L827" s="15"/>
      <c r="M827" s="15"/>
      <c r="AB827" s="6"/>
    </row>
    <row r="828" spans="4:28">
      <c r="D828" s="16"/>
      <c r="I828" s="3"/>
      <c r="K828" s="15"/>
      <c r="L828" s="15"/>
      <c r="M828" s="15"/>
      <c r="AB828" s="6"/>
    </row>
    <row r="829" spans="4:28">
      <c r="D829" s="16"/>
      <c r="I829" s="3"/>
      <c r="K829" s="15"/>
      <c r="L829" s="15"/>
      <c r="M829" s="15"/>
      <c r="AB829" s="6"/>
    </row>
    <row r="830" spans="4:28">
      <c r="D830" s="16"/>
      <c r="I830" s="3"/>
      <c r="K830" s="15"/>
      <c r="L830" s="15"/>
      <c r="M830" s="15"/>
      <c r="AB830" s="6"/>
    </row>
    <row r="831" spans="4:28">
      <c r="D831" s="16"/>
      <c r="I831" s="3"/>
      <c r="K831" s="15"/>
      <c r="L831" s="15"/>
      <c r="M831" s="15"/>
      <c r="AB831" s="6"/>
    </row>
    <row r="832" spans="4:28">
      <c r="D832" s="16"/>
      <c r="I832" s="3"/>
      <c r="K832" s="15"/>
      <c r="L832" s="15"/>
      <c r="M832" s="15"/>
      <c r="AB832" s="6"/>
    </row>
    <row r="833" spans="4:28">
      <c r="D833" s="16"/>
      <c r="I833" s="3"/>
      <c r="K833" s="15"/>
      <c r="L833" s="15"/>
      <c r="M833" s="15"/>
      <c r="AB833" s="6"/>
    </row>
    <row r="834" spans="4:28">
      <c r="D834" s="16"/>
      <c r="I834" s="3"/>
      <c r="K834" s="15"/>
      <c r="L834" s="15"/>
      <c r="M834" s="15"/>
      <c r="AB834" s="6"/>
    </row>
    <row r="835" spans="4:28">
      <c r="D835" s="16"/>
      <c r="I835" s="3"/>
      <c r="K835" s="15"/>
      <c r="L835" s="15"/>
      <c r="M835" s="15"/>
      <c r="AB835" s="6"/>
    </row>
    <row r="836" spans="4:28">
      <c r="D836" s="16"/>
      <c r="I836" s="3"/>
      <c r="K836" s="15"/>
      <c r="L836" s="15"/>
      <c r="M836" s="15"/>
      <c r="AB836" s="6"/>
    </row>
    <row r="837" spans="4:28">
      <c r="D837" s="16"/>
      <c r="I837" s="3"/>
      <c r="K837" s="15"/>
      <c r="L837" s="15"/>
      <c r="M837" s="15"/>
      <c r="AB837" s="6"/>
    </row>
    <row r="838" spans="4:28">
      <c r="D838" s="16"/>
      <c r="I838" s="3"/>
      <c r="K838" s="15"/>
      <c r="L838" s="15"/>
      <c r="M838" s="15"/>
      <c r="AB838" s="6"/>
    </row>
    <row r="839" spans="4:28">
      <c r="D839" s="16"/>
      <c r="I839" s="3"/>
      <c r="K839" s="15"/>
      <c r="L839" s="15"/>
      <c r="M839" s="15"/>
      <c r="AB839" s="6"/>
    </row>
    <row r="840" spans="4:28">
      <c r="D840" s="16"/>
      <c r="I840" s="3"/>
      <c r="K840" s="15"/>
      <c r="L840" s="15"/>
      <c r="M840" s="15"/>
      <c r="AB840" s="6"/>
    </row>
    <row r="841" spans="4:28">
      <c r="D841" s="16"/>
      <c r="I841" s="3"/>
      <c r="K841" s="15"/>
      <c r="L841" s="15"/>
      <c r="M841" s="15"/>
      <c r="AB841" s="6"/>
    </row>
    <row r="842" spans="4:28">
      <c r="D842" s="16"/>
      <c r="I842" s="3"/>
      <c r="K842" s="15"/>
      <c r="L842" s="15"/>
      <c r="M842" s="15"/>
      <c r="AB842" s="6"/>
    </row>
    <row r="843" spans="4:28">
      <c r="D843" s="16"/>
      <c r="I843" s="3"/>
      <c r="K843" s="15"/>
      <c r="L843" s="15"/>
      <c r="M843" s="15"/>
      <c r="AB843" s="6"/>
    </row>
    <row r="844" spans="4:28">
      <c r="D844" s="16"/>
      <c r="I844" s="3"/>
      <c r="K844" s="15"/>
      <c r="L844" s="15"/>
      <c r="M844" s="15"/>
      <c r="AB844" s="6"/>
    </row>
    <row r="845" spans="4:28">
      <c r="D845" s="16"/>
      <c r="I845" s="3"/>
      <c r="K845" s="15"/>
      <c r="L845" s="15"/>
      <c r="M845" s="15"/>
      <c r="AB845" s="6"/>
    </row>
    <row r="846" spans="4:28">
      <c r="D846" s="16"/>
      <c r="I846" s="3"/>
      <c r="K846" s="15"/>
      <c r="L846" s="15"/>
      <c r="M846" s="15"/>
      <c r="AB846" s="6"/>
    </row>
    <row r="847" spans="4:28">
      <c r="D847" s="16"/>
      <c r="I847" s="3"/>
      <c r="K847" s="15"/>
      <c r="L847" s="15"/>
      <c r="M847" s="15"/>
      <c r="AB847" s="6"/>
    </row>
    <row r="848" spans="4:28">
      <c r="D848" s="16"/>
      <c r="I848" s="3"/>
      <c r="K848" s="15"/>
      <c r="L848" s="15"/>
      <c r="M848" s="15"/>
      <c r="AB848" s="6"/>
    </row>
    <row r="849" spans="4:28">
      <c r="D849" s="16"/>
      <c r="I849" s="3"/>
      <c r="K849" s="15"/>
      <c r="L849" s="15"/>
      <c r="M849" s="15"/>
      <c r="AB849" s="6"/>
    </row>
    <row r="850" spans="4:28">
      <c r="D850" s="16"/>
      <c r="I850" s="3"/>
      <c r="K850" s="15"/>
      <c r="L850" s="15"/>
      <c r="M850" s="15"/>
      <c r="AB850" s="6"/>
    </row>
    <row r="851" spans="4:28">
      <c r="D851" s="16"/>
      <c r="I851" s="3"/>
      <c r="K851" s="15"/>
      <c r="L851" s="15"/>
      <c r="M851" s="15"/>
      <c r="AB851" s="6"/>
    </row>
    <row r="852" spans="4:28">
      <c r="D852" s="16"/>
      <c r="I852" s="3"/>
      <c r="K852" s="15"/>
      <c r="L852" s="15"/>
      <c r="M852" s="15"/>
      <c r="AB852" s="6"/>
    </row>
    <row r="853" spans="4:28">
      <c r="D853" s="16"/>
      <c r="I853" s="3"/>
      <c r="K853" s="15"/>
      <c r="L853" s="15"/>
      <c r="M853" s="15"/>
      <c r="AB853" s="6"/>
    </row>
    <row r="854" spans="4:28">
      <c r="D854" s="16"/>
      <c r="I854" s="3"/>
      <c r="K854" s="15"/>
      <c r="L854" s="15"/>
      <c r="M854" s="15"/>
      <c r="AB854" s="6"/>
    </row>
    <row r="855" spans="4:28">
      <c r="D855" s="16"/>
      <c r="I855" s="3"/>
      <c r="K855" s="15"/>
      <c r="L855" s="15"/>
      <c r="M855" s="15"/>
      <c r="AB855" s="6"/>
    </row>
    <row r="856" spans="4:28">
      <c r="D856" s="16"/>
      <c r="I856" s="3"/>
      <c r="K856" s="15"/>
      <c r="L856" s="15"/>
      <c r="M856" s="15"/>
      <c r="AB856" s="6"/>
    </row>
    <row r="857" spans="4:28">
      <c r="D857" s="16"/>
      <c r="I857" s="3"/>
      <c r="K857" s="15"/>
      <c r="L857" s="15"/>
      <c r="M857" s="15"/>
      <c r="AB857" s="6"/>
    </row>
    <row r="858" spans="4:28">
      <c r="D858" s="16"/>
      <c r="I858" s="3"/>
      <c r="K858" s="15"/>
      <c r="L858" s="15"/>
      <c r="M858" s="15"/>
      <c r="AB858" s="6"/>
    </row>
    <row r="859" spans="4:28">
      <c r="D859" s="16"/>
      <c r="I859" s="3"/>
      <c r="K859" s="15"/>
      <c r="L859" s="15"/>
      <c r="M859" s="15"/>
      <c r="AB859" s="6"/>
    </row>
    <row r="860" spans="4:28">
      <c r="D860" s="16"/>
      <c r="I860" s="3"/>
      <c r="K860" s="15"/>
      <c r="L860" s="15"/>
      <c r="M860" s="15"/>
      <c r="AB860" s="6"/>
    </row>
    <row r="861" spans="4:28">
      <c r="D861" s="16"/>
      <c r="I861" s="3"/>
      <c r="K861" s="15"/>
      <c r="L861" s="15"/>
      <c r="M861" s="15"/>
      <c r="AB861" s="6"/>
    </row>
    <row r="862" spans="4:28">
      <c r="D862" s="16"/>
      <c r="I862" s="3"/>
      <c r="K862" s="15"/>
      <c r="L862" s="15"/>
      <c r="M862" s="15"/>
      <c r="AB862" s="6"/>
    </row>
    <row r="863" spans="4:28">
      <c r="D863" s="16"/>
      <c r="I863" s="3"/>
      <c r="K863" s="15"/>
      <c r="L863" s="15"/>
      <c r="M863" s="15"/>
      <c r="AB863" s="6"/>
    </row>
    <row r="864" spans="4:28">
      <c r="D864" s="16"/>
      <c r="I864" s="3"/>
      <c r="K864" s="15"/>
      <c r="L864" s="15"/>
      <c r="M864" s="15"/>
      <c r="AB864" s="6"/>
    </row>
    <row r="865" spans="4:28">
      <c r="D865" s="16"/>
      <c r="I865" s="3"/>
      <c r="K865" s="15"/>
      <c r="L865" s="15"/>
      <c r="M865" s="15"/>
      <c r="AB865" s="6"/>
    </row>
    <row r="866" spans="4:28">
      <c r="D866" s="16"/>
      <c r="I866" s="3"/>
      <c r="K866" s="15"/>
      <c r="L866" s="15"/>
      <c r="M866" s="15"/>
      <c r="AB866" s="6"/>
    </row>
    <row r="867" spans="4:28">
      <c r="D867" s="16"/>
      <c r="I867" s="3"/>
      <c r="K867" s="15"/>
      <c r="L867" s="15"/>
      <c r="M867" s="15"/>
      <c r="AB867" s="6"/>
    </row>
    <row r="868" spans="4:28">
      <c r="D868" s="16"/>
      <c r="I868" s="3"/>
      <c r="K868" s="15"/>
      <c r="L868" s="15"/>
      <c r="M868" s="15"/>
      <c r="AB868" s="6"/>
    </row>
    <row r="869" spans="4:28">
      <c r="D869" s="16"/>
      <c r="I869" s="3"/>
      <c r="K869" s="15"/>
      <c r="L869" s="15"/>
      <c r="M869" s="15"/>
      <c r="AB869" s="6"/>
    </row>
    <row r="870" spans="4:28">
      <c r="D870" s="16"/>
      <c r="I870" s="3"/>
      <c r="K870" s="15"/>
      <c r="L870" s="15"/>
      <c r="M870" s="15"/>
      <c r="AB870" s="6"/>
    </row>
    <row r="871" spans="4:28">
      <c r="D871" s="16"/>
      <c r="I871" s="3"/>
      <c r="K871" s="15"/>
      <c r="L871" s="15"/>
      <c r="M871" s="15"/>
      <c r="AB871" s="6"/>
    </row>
    <row r="872" spans="4:28">
      <c r="D872" s="16"/>
      <c r="I872" s="3"/>
      <c r="K872" s="15"/>
      <c r="L872" s="15"/>
      <c r="M872" s="15"/>
      <c r="AB872" s="6"/>
    </row>
    <row r="873" spans="4:28">
      <c r="D873" s="16"/>
      <c r="I873" s="3"/>
      <c r="K873" s="15"/>
      <c r="L873" s="15"/>
      <c r="M873" s="15"/>
      <c r="AB873" s="6"/>
    </row>
    <row r="874" spans="4:28">
      <c r="D874" s="16"/>
      <c r="I874" s="3"/>
      <c r="K874" s="15"/>
      <c r="L874" s="15"/>
      <c r="M874" s="15"/>
      <c r="AB874" s="6"/>
    </row>
    <row r="875" spans="4:28">
      <c r="D875" s="16"/>
      <c r="I875" s="3"/>
      <c r="K875" s="15"/>
      <c r="L875" s="15"/>
      <c r="M875" s="15"/>
      <c r="AB875" s="6"/>
    </row>
    <row r="876" spans="4:28">
      <c r="D876" s="16"/>
      <c r="I876" s="3"/>
      <c r="K876" s="15"/>
      <c r="L876" s="15"/>
      <c r="M876" s="15"/>
      <c r="AB876" s="6"/>
    </row>
    <row r="877" spans="4:28">
      <c r="D877" s="16"/>
      <c r="I877" s="3"/>
      <c r="K877" s="15"/>
      <c r="L877" s="15"/>
      <c r="M877" s="15"/>
      <c r="AB877" s="6"/>
    </row>
    <row r="878" spans="4:28">
      <c r="D878" s="16"/>
      <c r="I878" s="3"/>
      <c r="K878" s="15"/>
      <c r="L878" s="15"/>
      <c r="M878" s="15"/>
      <c r="AB878" s="6"/>
    </row>
    <row r="879" spans="4:28">
      <c r="D879" s="16"/>
      <c r="I879" s="3"/>
      <c r="K879" s="15"/>
      <c r="L879" s="15"/>
      <c r="M879" s="15"/>
      <c r="AB879" s="6"/>
    </row>
    <row r="880" spans="4:28">
      <c r="D880" s="16"/>
      <c r="I880" s="3"/>
      <c r="K880" s="15"/>
      <c r="L880" s="15"/>
      <c r="M880" s="15"/>
      <c r="AB880" s="6"/>
    </row>
    <row r="881" spans="4:28">
      <c r="D881" s="16"/>
      <c r="I881" s="3"/>
      <c r="K881" s="15"/>
      <c r="L881" s="15"/>
      <c r="M881" s="15"/>
      <c r="AB881" s="6"/>
    </row>
    <row r="882" spans="4:28">
      <c r="D882" s="16"/>
      <c r="I882" s="3"/>
      <c r="K882" s="15"/>
      <c r="L882" s="15"/>
      <c r="M882" s="15"/>
      <c r="AB882" s="6"/>
    </row>
    <row r="883" spans="4:28">
      <c r="D883" s="16"/>
      <c r="I883" s="3"/>
      <c r="K883" s="15"/>
      <c r="L883" s="15"/>
      <c r="M883" s="15"/>
      <c r="AB883" s="6"/>
    </row>
    <row r="884" spans="4:28">
      <c r="D884" s="16"/>
      <c r="I884" s="3"/>
      <c r="K884" s="15"/>
      <c r="L884" s="15"/>
      <c r="M884" s="15"/>
      <c r="AB884" s="6"/>
    </row>
    <row r="885" spans="4:28">
      <c r="D885" s="16"/>
      <c r="I885" s="3"/>
      <c r="K885" s="15"/>
      <c r="L885" s="15"/>
      <c r="M885" s="15"/>
      <c r="AB885" s="6"/>
    </row>
    <row r="886" spans="4:28">
      <c r="D886" s="16"/>
      <c r="I886" s="3"/>
      <c r="K886" s="15"/>
      <c r="L886" s="15"/>
      <c r="M886" s="15"/>
      <c r="AB886" s="6"/>
    </row>
    <row r="887" spans="4:28">
      <c r="D887" s="16"/>
      <c r="I887" s="3"/>
      <c r="K887" s="15"/>
      <c r="L887" s="15"/>
      <c r="M887" s="15"/>
      <c r="AB887" s="6"/>
    </row>
    <row r="888" spans="4:28">
      <c r="D888" s="16"/>
      <c r="I888" s="3"/>
      <c r="K888" s="15"/>
      <c r="L888" s="15"/>
      <c r="M888" s="15"/>
      <c r="AB888" s="6"/>
    </row>
    <row r="889" spans="4:28">
      <c r="D889" s="16"/>
      <c r="I889" s="3"/>
      <c r="K889" s="15"/>
      <c r="L889" s="15"/>
      <c r="M889" s="15"/>
      <c r="AB889" s="6"/>
    </row>
    <row r="890" spans="4:28">
      <c r="D890" s="16"/>
      <c r="I890" s="3"/>
      <c r="K890" s="15"/>
      <c r="L890" s="15"/>
      <c r="M890" s="15"/>
      <c r="AB890" s="6"/>
    </row>
    <row r="891" spans="4:28">
      <c r="D891" s="16"/>
      <c r="I891" s="3"/>
      <c r="K891" s="15"/>
      <c r="L891" s="15"/>
      <c r="M891" s="15"/>
      <c r="AB891" s="6"/>
    </row>
    <row r="892" spans="4:28">
      <c r="D892" s="16"/>
      <c r="I892" s="3"/>
      <c r="K892" s="15"/>
      <c r="L892" s="15"/>
      <c r="M892" s="15"/>
      <c r="AB892" s="6"/>
    </row>
    <row r="893" spans="4:28">
      <c r="D893" s="16"/>
      <c r="I893" s="3"/>
      <c r="K893" s="15"/>
      <c r="L893" s="15"/>
      <c r="M893" s="15"/>
      <c r="AB893" s="6"/>
    </row>
    <row r="894" spans="4:28">
      <c r="D894" s="16"/>
      <c r="I894" s="3"/>
      <c r="K894" s="15"/>
      <c r="L894" s="15"/>
      <c r="M894" s="15"/>
      <c r="AB894" s="6"/>
    </row>
    <row r="895" spans="4:28">
      <c r="D895" s="16"/>
      <c r="I895" s="3"/>
      <c r="K895" s="15"/>
      <c r="L895" s="15"/>
      <c r="M895" s="15"/>
      <c r="AB895" s="6"/>
    </row>
    <row r="896" spans="4:28">
      <c r="D896" s="16"/>
      <c r="I896" s="3"/>
      <c r="K896" s="15"/>
      <c r="L896" s="15"/>
      <c r="M896" s="15"/>
      <c r="AB896" s="6"/>
    </row>
    <row r="897" spans="4:28">
      <c r="D897" s="16"/>
      <c r="I897" s="3"/>
      <c r="K897" s="15"/>
      <c r="L897" s="15"/>
      <c r="M897" s="15"/>
      <c r="AB897" s="6"/>
    </row>
    <row r="898" spans="4:28">
      <c r="D898" s="16"/>
      <c r="I898" s="3"/>
      <c r="K898" s="15"/>
      <c r="L898" s="15"/>
      <c r="M898" s="15"/>
      <c r="AB898" s="6"/>
    </row>
    <row r="899" spans="4:28">
      <c r="D899" s="16"/>
      <c r="I899" s="3"/>
      <c r="K899" s="15"/>
      <c r="L899" s="15"/>
      <c r="M899" s="15"/>
      <c r="AB899" s="6"/>
    </row>
    <row r="900" spans="4:28">
      <c r="D900" s="16"/>
      <c r="I900" s="3"/>
      <c r="K900" s="15"/>
      <c r="L900" s="15"/>
      <c r="M900" s="15"/>
      <c r="AB900" s="6"/>
    </row>
    <row r="901" spans="4:28">
      <c r="D901" s="16"/>
      <c r="I901" s="3"/>
      <c r="K901" s="15"/>
      <c r="L901" s="15"/>
      <c r="M901" s="15"/>
      <c r="AB901" s="6"/>
    </row>
    <row r="902" spans="4:28">
      <c r="D902" s="16"/>
      <c r="I902" s="3"/>
      <c r="K902" s="15"/>
      <c r="L902" s="15"/>
      <c r="M902" s="15"/>
      <c r="AB902" s="6"/>
    </row>
    <row r="903" spans="4:28">
      <c r="D903" s="16"/>
      <c r="I903" s="3"/>
      <c r="K903" s="15"/>
      <c r="L903" s="15"/>
      <c r="M903" s="15"/>
      <c r="AB903" s="6"/>
    </row>
    <row r="904" spans="4:28">
      <c r="D904" s="16"/>
      <c r="I904" s="3"/>
      <c r="K904" s="15"/>
      <c r="L904" s="15"/>
      <c r="M904" s="15"/>
      <c r="AB904" s="6"/>
    </row>
    <row r="905" spans="4:28">
      <c r="D905" s="16"/>
      <c r="I905" s="3"/>
      <c r="K905" s="15"/>
      <c r="L905" s="15"/>
      <c r="M905" s="15"/>
      <c r="AB905" s="6"/>
    </row>
    <row r="906" spans="4:28">
      <c r="D906" s="16"/>
      <c r="I906" s="3"/>
      <c r="K906" s="15"/>
      <c r="L906" s="15"/>
      <c r="M906" s="15"/>
      <c r="AB906" s="6"/>
    </row>
    <row r="907" spans="4:28">
      <c r="D907" s="16"/>
      <c r="I907" s="3"/>
      <c r="K907" s="15"/>
      <c r="L907" s="15"/>
      <c r="M907" s="15"/>
      <c r="AB907" s="6"/>
    </row>
    <row r="908" spans="4:28">
      <c r="D908" s="16"/>
      <c r="I908" s="3"/>
      <c r="K908" s="15"/>
      <c r="L908" s="15"/>
      <c r="M908" s="15"/>
      <c r="AB908" s="6"/>
    </row>
    <row r="909" spans="4:28">
      <c r="D909" s="16"/>
      <c r="I909" s="3"/>
      <c r="K909" s="15"/>
      <c r="L909" s="15"/>
      <c r="M909" s="15"/>
      <c r="AB909" s="6"/>
    </row>
    <row r="910" spans="4:28">
      <c r="D910" s="16"/>
      <c r="I910" s="3"/>
      <c r="K910" s="15"/>
      <c r="L910" s="15"/>
      <c r="M910" s="15"/>
      <c r="AB910" s="6"/>
    </row>
    <row r="911" spans="4:28">
      <c r="D911" s="16"/>
      <c r="I911" s="3"/>
      <c r="K911" s="15"/>
      <c r="L911" s="15"/>
      <c r="M911" s="15"/>
      <c r="AB911" s="6"/>
    </row>
    <row r="912" spans="4:28">
      <c r="D912" s="16"/>
      <c r="I912" s="3"/>
      <c r="K912" s="15"/>
      <c r="L912" s="15"/>
      <c r="M912" s="15"/>
      <c r="AB912" s="6"/>
    </row>
    <row r="913" spans="4:28">
      <c r="D913" s="16"/>
      <c r="I913" s="3"/>
      <c r="K913" s="15"/>
      <c r="L913" s="15"/>
      <c r="M913" s="15"/>
      <c r="AB913" s="6"/>
    </row>
    <row r="914" spans="4:28">
      <c r="D914" s="16"/>
      <c r="I914" s="3"/>
      <c r="K914" s="15"/>
      <c r="L914" s="15"/>
      <c r="M914" s="15"/>
      <c r="AB914" s="6"/>
    </row>
    <row r="915" spans="4:28">
      <c r="D915" s="16"/>
      <c r="I915" s="3"/>
      <c r="K915" s="15"/>
      <c r="L915" s="15"/>
      <c r="M915" s="15"/>
      <c r="AB915" s="6"/>
    </row>
    <row r="916" spans="4:28">
      <c r="D916" s="16"/>
      <c r="I916" s="3"/>
      <c r="K916" s="15"/>
      <c r="L916" s="15"/>
      <c r="M916" s="15"/>
      <c r="AB916" s="6"/>
    </row>
    <row r="917" spans="4:28">
      <c r="D917" s="16"/>
      <c r="I917" s="3"/>
      <c r="K917" s="15"/>
      <c r="L917" s="15"/>
      <c r="M917" s="15"/>
      <c r="AB917" s="6"/>
    </row>
    <row r="918" spans="4:28">
      <c r="D918" s="16"/>
      <c r="I918" s="3"/>
      <c r="K918" s="15"/>
      <c r="L918" s="15"/>
      <c r="M918" s="15"/>
      <c r="AB918" s="6"/>
    </row>
    <row r="919" spans="4:28">
      <c r="D919" s="16"/>
      <c r="I919" s="3"/>
      <c r="K919" s="15"/>
      <c r="L919" s="15"/>
      <c r="M919" s="15"/>
      <c r="AB919" s="6"/>
    </row>
    <row r="920" spans="4:28">
      <c r="D920" s="16"/>
      <c r="I920" s="3"/>
      <c r="K920" s="15"/>
      <c r="L920" s="15"/>
      <c r="M920" s="15"/>
      <c r="AB920" s="6"/>
    </row>
    <row r="921" spans="4:28">
      <c r="D921" s="16"/>
      <c r="I921" s="3"/>
      <c r="K921" s="15"/>
      <c r="L921" s="15"/>
      <c r="M921" s="15"/>
      <c r="AB921" s="6"/>
    </row>
    <row r="922" spans="4:28">
      <c r="D922" s="16"/>
      <c r="I922" s="3"/>
      <c r="K922" s="15"/>
      <c r="L922" s="15"/>
      <c r="M922" s="15"/>
      <c r="AB922" s="6"/>
    </row>
    <row r="923" spans="4:28">
      <c r="D923" s="16"/>
      <c r="I923" s="3"/>
      <c r="K923" s="15"/>
      <c r="L923" s="15"/>
      <c r="M923" s="15"/>
      <c r="AB923" s="6"/>
    </row>
    <row r="924" spans="4:28">
      <c r="D924" s="16"/>
      <c r="I924" s="3"/>
      <c r="K924" s="15"/>
      <c r="L924" s="15"/>
      <c r="M924" s="15"/>
      <c r="AB924" s="6"/>
    </row>
    <row r="925" spans="4:28">
      <c r="D925" s="16"/>
      <c r="I925" s="3"/>
      <c r="K925" s="15"/>
      <c r="L925" s="15"/>
      <c r="M925" s="15"/>
      <c r="AB925" s="6"/>
    </row>
    <row r="926" spans="4:28">
      <c r="D926" s="16"/>
      <c r="I926" s="3"/>
      <c r="K926" s="15"/>
      <c r="L926" s="15"/>
      <c r="M926" s="15"/>
      <c r="AB926" s="6"/>
    </row>
    <row r="927" spans="4:28">
      <c r="D927" s="16"/>
      <c r="I927" s="3"/>
      <c r="K927" s="15"/>
      <c r="L927" s="15"/>
      <c r="M927" s="15"/>
      <c r="AB927" s="6"/>
    </row>
    <row r="928" spans="4:28">
      <c r="D928" s="16"/>
      <c r="I928" s="3"/>
      <c r="K928" s="15"/>
      <c r="L928" s="15"/>
      <c r="M928" s="15"/>
      <c r="AB928" s="6"/>
    </row>
    <row r="929" spans="4:28">
      <c r="D929" s="16"/>
      <c r="I929" s="3"/>
      <c r="K929" s="15"/>
      <c r="L929" s="15"/>
      <c r="M929" s="15"/>
      <c r="AB929" s="6"/>
    </row>
    <row r="930" spans="4:28">
      <c r="D930" s="16"/>
      <c r="I930" s="3"/>
      <c r="K930" s="15"/>
      <c r="L930" s="15"/>
      <c r="M930" s="15"/>
      <c r="AB930" s="6"/>
    </row>
    <row r="931" spans="4:28">
      <c r="D931" s="16"/>
      <c r="I931" s="3"/>
      <c r="K931" s="15"/>
      <c r="L931" s="15"/>
      <c r="M931" s="15"/>
      <c r="AB931" s="6"/>
    </row>
    <row r="932" spans="4:28">
      <c r="D932" s="16"/>
      <c r="I932" s="3"/>
      <c r="K932" s="15"/>
      <c r="L932" s="15"/>
      <c r="M932" s="15"/>
      <c r="AB932" s="6"/>
    </row>
    <row r="933" spans="4:28">
      <c r="D933" s="16"/>
      <c r="I933" s="3"/>
      <c r="K933" s="15"/>
      <c r="L933" s="15"/>
      <c r="M933" s="15"/>
      <c r="AB933" s="6"/>
    </row>
    <row r="934" spans="4:28">
      <c r="D934" s="16"/>
      <c r="I934" s="3"/>
      <c r="K934" s="15"/>
      <c r="L934" s="15"/>
      <c r="M934" s="15"/>
      <c r="AB934" s="6"/>
    </row>
    <row r="935" spans="4:28">
      <c r="D935" s="16"/>
      <c r="I935" s="3"/>
      <c r="K935" s="15"/>
      <c r="L935" s="15"/>
      <c r="M935" s="15"/>
      <c r="AB935" s="6"/>
    </row>
    <row r="936" spans="4:28">
      <c r="D936" s="16"/>
      <c r="I936" s="3"/>
      <c r="K936" s="15"/>
      <c r="L936" s="15"/>
      <c r="M936" s="15"/>
      <c r="AB936" s="6"/>
    </row>
    <row r="937" spans="4:28">
      <c r="D937" s="16"/>
      <c r="I937" s="3"/>
      <c r="K937" s="15"/>
      <c r="L937" s="15"/>
      <c r="M937" s="15"/>
      <c r="AB937" s="6"/>
    </row>
    <row r="938" spans="4:28">
      <c r="D938" s="16"/>
      <c r="I938" s="3"/>
      <c r="K938" s="15"/>
      <c r="L938" s="15"/>
      <c r="M938" s="15"/>
      <c r="AB938" s="6"/>
    </row>
    <row r="939" spans="4:28">
      <c r="D939" s="16"/>
      <c r="I939" s="3"/>
      <c r="K939" s="15"/>
      <c r="L939" s="15"/>
      <c r="M939" s="15"/>
      <c r="AB939" s="6"/>
    </row>
    <row r="940" spans="4:28">
      <c r="D940" s="16"/>
      <c r="I940" s="3"/>
      <c r="K940" s="15"/>
      <c r="L940" s="15"/>
      <c r="M940" s="15"/>
      <c r="AB940" s="6"/>
    </row>
    <row r="941" spans="4:28">
      <c r="D941" s="16"/>
      <c r="I941" s="3"/>
      <c r="K941" s="15"/>
      <c r="L941" s="15"/>
      <c r="M941" s="15"/>
      <c r="AB941" s="6"/>
    </row>
    <row r="942" spans="4:28">
      <c r="D942" s="16"/>
      <c r="I942" s="3"/>
      <c r="K942" s="15"/>
      <c r="L942" s="15"/>
      <c r="M942" s="15"/>
      <c r="AB942" s="6"/>
    </row>
    <row r="943" spans="4:28">
      <c r="D943" s="16"/>
      <c r="I943" s="3"/>
      <c r="K943" s="15"/>
      <c r="L943" s="15"/>
      <c r="M943" s="15"/>
      <c r="AB943" s="6"/>
    </row>
    <row r="944" spans="4:28">
      <c r="D944" s="16"/>
      <c r="I944" s="3"/>
      <c r="K944" s="15"/>
      <c r="L944" s="15"/>
      <c r="M944" s="15"/>
      <c r="AB944" s="6"/>
    </row>
    <row r="945" spans="4:28">
      <c r="D945" s="16"/>
      <c r="I945" s="3"/>
      <c r="K945" s="15"/>
      <c r="L945" s="15"/>
      <c r="M945" s="15"/>
      <c r="AB945" s="6"/>
    </row>
    <row r="946" spans="4:28">
      <c r="D946" s="16"/>
      <c r="I946" s="3"/>
      <c r="K946" s="15"/>
      <c r="L946" s="15"/>
      <c r="M946" s="15"/>
      <c r="AB946" s="6"/>
    </row>
    <row r="947" spans="4:28">
      <c r="D947" s="16"/>
      <c r="I947" s="3"/>
      <c r="K947" s="15"/>
      <c r="L947" s="15"/>
      <c r="M947" s="15"/>
      <c r="AB947" s="6"/>
    </row>
    <row r="948" spans="4:28">
      <c r="D948" s="16"/>
      <c r="I948" s="3"/>
      <c r="K948" s="15"/>
      <c r="L948" s="15"/>
      <c r="M948" s="15"/>
      <c r="AB948" s="6"/>
    </row>
    <row r="949" spans="4:28">
      <c r="D949" s="16"/>
      <c r="I949" s="3"/>
      <c r="K949" s="15"/>
      <c r="L949" s="15"/>
      <c r="M949" s="15"/>
      <c r="AB949" s="6"/>
    </row>
    <row r="950" spans="4:28">
      <c r="D950" s="16"/>
      <c r="I950" s="3"/>
      <c r="K950" s="15"/>
      <c r="L950" s="15"/>
      <c r="M950" s="15"/>
      <c r="AB950" s="6"/>
    </row>
    <row r="951" spans="4:28">
      <c r="D951" s="16"/>
      <c r="I951" s="3"/>
      <c r="K951" s="15"/>
      <c r="L951" s="15"/>
      <c r="M951" s="15"/>
      <c r="AB951" s="6"/>
    </row>
    <row r="952" spans="4:28">
      <c r="D952" s="16"/>
      <c r="I952" s="3"/>
      <c r="K952" s="15"/>
      <c r="L952" s="15"/>
      <c r="M952" s="15"/>
      <c r="AB952" s="6"/>
    </row>
    <row r="953" spans="4:28">
      <c r="D953" s="16"/>
      <c r="I953" s="3"/>
      <c r="K953" s="15"/>
      <c r="L953" s="15"/>
      <c r="M953" s="15"/>
      <c r="AB953" s="6"/>
    </row>
    <row r="954" spans="4:28">
      <c r="D954" s="16"/>
      <c r="I954" s="3"/>
      <c r="K954" s="15"/>
      <c r="L954" s="15"/>
      <c r="M954" s="15"/>
      <c r="AB954" s="6"/>
    </row>
    <row r="955" spans="4:28">
      <c r="D955" s="16"/>
      <c r="I955" s="3"/>
      <c r="K955" s="15"/>
      <c r="L955" s="15"/>
      <c r="M955" s="15"/>
      <c r="AB955" s="6"/>
    </row>
    <row r="956" spans="4:28">
      <c r="D956" s="16"/>
      <c r="I956" s="3"/>
      <c r="K956" s="15"/>
      <c r="L956" s="15"/>
      <c r="M956" s="15"/>
      <c r="AB956" s="6"/>
    </row>
    <row r="957" spans="4:28">
      <c r="D957" s="16"/>
      <c r="I957" s="3"/>
      <c r="K957" s="15"/>
      <c r="L957" s="15"/>
      <c r="M957" s="15"/>
      <c r="AB957" s="6"/>
    </row>
    <row r="958" spans="4:28">
      <c r="D958" s="16"/>
      <c r="I958" s="3"/>
      <c r="K958" s="15"/>
      <c r="L958" s="15"/>
      <c r="M958" s="15"/>
      <c r="AB958" s="6"/>
    </row>
    <row r="959" spans="4:28">
      <c r="D959" s="16"/>
      <c r="I959" s="3"/>
      <c r="K959" s="15"/>
      <c r="L959" s="15"/>
      <c r="M959" s="15"/>
      <c r="AB959" s="6"/>
    </row>
    <row r="960" spans="4:28">
      <c r="D960" s="16"/>
      <c r="I960" s="3"/>
      <c r="K960" s="15"/>
      <c r="L960" s="15"/>
      <c r="M960" s="15"/>
      <c r="AB960" s="6"/>
    </row>
    <row r="961" spans="4:28">
      <c r="D961" s="16"/>
      <c r="I961" s="3"/>
      <c r="K961" s="15"/>
      <c r="L961" s="15"/>
      <c r="M961" s="15"/>
      <c r="AB961" s="6"/>
    </row>
    <row r="962" spans="4:28">
      <c r="D962" s="16"/>
      <c r="I962" s="3"/>
      <c r="K962" s="15"/>
      <c r="L962" s="15"/>
      <c r="M962" s="15"/>
      <c r="AB962" s="6"/>
    </row>
    <row r="963" spans="4:28">
      <c r="D963" s="16"/>
      <c r="I963" s="3"/>
      <c r="K963" s="15"/>
      <c r="L963" s="15"/>
      <c r="M963" s="15"/>
      <c r="AB963" s="6"/>
    </row>
    <row r="964" spans="4:28">
      <c r="D964" s="16"/>
      <c r="I964" s="3"/>
      <c r="K964" s="15"/>
      <c r="L964" s="15"/>
      <c r="M964" s="15"/>
      <c r="AB964" s="6"/>
    </row>
    <row r="965" spans="4:28">
      <c r="D965" s="16"/>
      <c r="I965" s="3"/>
      <c r="K965" s="15"/>
      <c r="L965" s="15"/>
      <c r="M965" s="15"/>
      <c r="AB965" s="6"/>
    </row>
    <row r="966" spans="4:28">
      <c r="D966" s="16"/>
      <c r="I966" s="3"/>
      <c r="K966" s="15"/>
      <c r="L966" s="15"/>
      <c r="M966" s="15"/>
      <c r="AB966" s="6"/>
    </row>
    <row r="967" spans="4:28">
      <c r="D967" s="16"/>
      <c r="I967" s="3"/>
      <c r="K967" s="15"/>
      <c r="L967" s="15"/>
      <c r="M967" s="15"/>
      <c r="AB967" s="6"/>
    </row>
    <row r="968" spans="4:28">
      <c r="D968" s="16"/>
      <c r="I968" s="3"/>
      <c r="K968" s="15"/>
      <c r="L968" s="15"/>
      <c r="M968" s="15"/>
      <c r="AB968" s="6"/>
    </row>
    <row r="969" spans="4:28">
      <c r="D969" s="16"/>
      <c r="I969" s="3"/>
      <c r="K969" s="15"/>
      <c r="L969" s="15"/>
      <c r="M969" s="15"/>
      <c r="AB969" s="6"/>
    </row>
    <row r="970" spans="4:28">
      <c r="D970" s="16"/>
      <c r="I970" s="3"/>
      <c r="K970" s="15"/>
      <c r="L970" s="15"/>
      <c r="M970" s="15"/>
      <c r="AB970" s="6"/>
    </row>
    <row r="971" spans="4:28">
      <c r="D971" s="16"/>
      <c r="I971" s="3"/>
      <c r="K971" s="15"/>
      <c r="L971" s="15"/>
      <c r="M971" s="15"/>
      <c r="AB971" s="6"/>
    </row>
    <row r="972" spans="4:28">
      <c r="D972" s="16"/>
      <c r="I972" s="3"/>
      <c r="K972" s="15"/>
      <c r="L972" s="15"/>
      <c r="M972" s="15"/>
      <c r="AB972" s="6"/>
    </row>
    <row r="973" spans="4:28">
      <c r="D973" s="16"/>
      <c r="I973" s="3"/>
      <c r="K973" s="15"/>
      <c r="L973" s="15"/>
      <c r="M973" s="15"/>
      <c r="AB973" s="6"/>
    </row>
    <row r="974" spans="4:28">
      <c r="D974" s="16"/>
      <c r="I974" s="3"/>
      <c r="K974" s="15"/>
      <c r="L974" s="15"/>
      <c r="M974" s="15"/>
      <c r="AB974" s="6"/>
    </row>
    <row r="975" spans="4:28">
      <c r="D975" s="16"/>
      <c r="I975" s="3"/>
      <c r="K975" s="15"/>
      <c r="L975" s="15"/>
      <c r="M975" s="15"/>
      <c r="AB975" s="6"/>
    </row>
    <row r="976" spans="4:28">
      <c r="D976" s="16"/>
      <c r="I976" s="3"/>
      <c r="K976" s="15"/>
      <c r="L976" s="15"/>
      <c r="M976" s="15"/>
      <c r="AB976" s="6"/>
    </row>
    <row r="977" spans="4:28">
      <c r="D977" s="16"/>
      <c r="I977" s="3"/>
      <c r="K977" s="15"/>
      <c r="L977" s="15"/>
      <c r="M977" s="15"/>
      <c r="AB977" s="6"/>
    </row>
    <row r="978" spans="4:28">
      <c r="D978" s="16"/>
      <c r="I978" s="3"/>
      <c r="K978" s="15"/>
      <c r="L978" s="15"/>
      <c r="M978" s="15"/>
      <c r="AB978" s="6"/>
    </row>
    <row r="979" spans="4:28">
      <c r="D979" s="16"/>
      <c r="I979" s="3"/>
      <c r="K979" s="15"/>
      <c r="L979" s="15"/>
      <c r="M979" s="15"/>
      <c r="AB979" s="6"/>
    </row>
    <row r="980" spans="4:28">
      <c r="D980" s="16"/>
      <c r="I980" s="3"/>
      <c r="K980" s="15"/>
      <c r="L980" s="15"/>
      <c r="M980" s="15"/>
      <c r="AB980" s="6"/>
    </row>
    <row r="981" spans="4:28">
      <c r="D981" s="16"/>
      <c r="I981" s="3"/>
      <c r="K981" s="15"/>
      <c r="L981" s="15"/>
      <c r="M981" s="15"/>
      <c r="AB981" s="6"/>
    </row>
    <row r="982" spans="4:28">
      <c r="D982" s="16"/>
      <c r="I982" s="3"/>
      <c r="K982" s="15"/>
      <c r="L982" s="15"/>
      <c r="M982" s="15"/>
      <c r="AB982" s="6"/>
    </row>
    <row r="983" spans="4:28">
      <c r="D983" s="16"/>
      <c r="I983" s="3"/>
      <c r="K983" s="15"/>
      <c r="L983" s="15"/>
      <c r="M983" s="15"/>
      <c r="AB983" s="6"/>
    </row>
    <row r="984" spans="4:28">
      <c r="D984" s="16"/>
      <c r="I984" s="3"/>
      <c r="K984" s="15"/>
      <c r="L984" s="15"/>
      <c r="M984" s="15"/>
      <c r="AB984" s="6"/>
    </row>
    <row r="985" spans="4:28">
      <c r="D985" s="16"/>
      <c r="I985" s="3"/>
      <c r="K985" s="15"/>
      <c r="L985" s="15"/>
      <c r="M985" s="15"/>
      <c r="AB985" s="6"/>
    </row>
    <row r="986" spans="4:28">
      <c r="D986" s="16"/>
      <c r="I986" s="3"/>
      <c r="K986" s="15"/>
      <c r="L986" s="15"/>
      <c r="M986" s="15"/>
      <c r="AB986" s="6"/>
    </row>
    <row r="987" spans="4:28">
      <c r="D987" s="16"/>
      <c r="I987" s="3"/>
      <c r="K987" s="15"/>
      <c r="L987" s="15"/>
      <c r="M987" s="15"/>
      <c r="AB987" s="6"/>
    </row>
    <row r="988" spans="4:28">
      <c r="D988" s="16"/>
      <c r="I988" s="3"/>
      <c r="K988" s="15"/>
      <c r="L988" s="15"/>
      <c r="M988" s="15"/>
      <c r="AB988" s="6"/>
    </row>
    <row r="989" spans="4:28">
      <c r="D989" s="16"/>
      <c r="I989" s="3"/>
      <c r="K989" s="15"/>
      <c r="L989" s="15"/>
      <c r="M989" s="15"/>
      <c r="AB989" s="6"/>
    </row>
    <row r="990" spans="4:28">
      <c r="D990" s="16"/>
      <c r="I990" s="3"/>
      <c r="K990" s="15"/>
      <c r="L990" s="15"/>
      <c r="M990" s="15"/>
      <c r="AB990" s="6"/>
    </row>
    <row r="991" spans="4:28">
      <c r="D991" s="16"/>
      <c r="I991" s="3"/>
      <c r="K991" s="15"/>
      <c r="L991" s="15"/>
      <c r="M991" s="15"/>
      <c r="AB991" s="6"/>
    </row>
    <row r="992" spans="4:28">
      <c r="D992" s="16"/>
      <c r="I992" s="3"/>
      <c r="K992" s="15"/>
      <c r="L992" s="15"/>
      <c r="M992" s="15"/>
      <c r="AB992" s="6"/>
    </row>
    <row r="993" spans="4:28">
      <c r="D993" s="16"/>
      <c r="I993" s="3"/>
      <c r="K993" s="15"/>
      <c r="L993" s="15"/>
      <c r="M993" s="15"/>
      <c r="AB993" s="6"/>
    </row>
    <row r="994" spans="4:28">
      <c r="D994" s="16"/>
      <c r="I994" s="3"/>
      <c r="K994" s="15"/>
      <c r="L994" s="15"/>
      <c r="M994" s="15"/>
      <c r="AB994" s="6"/>
    </row>
    <row r="995" spans="4:28">
      <c r="D995" s="16"/>
      <c r="I995" s="3"/>
      <c r="K995" s="15"/>
      <c r="L995" s="15"/>
      <c r="M995" s="15"/>
      <c r="AB995" s="6"/>
    </row>
    <row r="996" spans="4:28">
      <c r="D996" s="16"/>
      <c r="I996" s="3"/>
      <c r="K996" s="15"/>
      <c r="L996" s="15"/>
      <c r="M996" s="15"/>
      <c r="AB996" s="6"/>
    </row>
    <row r="997" spans="4:28">
      <c r="D997" s="16"/>
      <c r="I997" s="3"/>
      <c r="K997" s="15"/>
      <c r="L997" s="15"/>
      <c r="M997" s="15"/>
      <c r="AB997" s="6"/>
    </row>
    <row r="998" spans="4:28">
      <c r="D998" s="16"/>
      <c r="I998" s="3"/>
      <c r="K998" s="15"/>
      <c r="L998" s="15"/>
      <c r="M998" s="15"/>
      <c r="AB998" s="6"/>
    </row>
    <row r="999" spans="4:28">
      <c r="D999" s="16"/>
      <c r="I999" s="3"/>
      <c r="K999" s="15"/>
      <c r="L999" s="15"/>
      <c r="M999" s="15"/>
      <c r="AB999" s="6"/>
    </row>
    <row r="1000" spans="4:28">
      <c r="D1000" s="16"/>
      <c r="I1000" s="3"/>
      <c r="K1000" s="15"/>
      <c r="L1000" s="15"/>
      <c r="M1000" s="15"/>
      <c r="AB1000" s="6"/>
    </row>
    <row r="1001" spans="4:28">
      <c r="D1001" s="16"/>
      <c r="I1001" s="3"/>
      <c r="K1001" s="15"/>
      <c r="L1001" s="15"/>
      <c r="M1001" s="15"/>
      <c r="AB1001" s="6"/>
    </row>
    <row r="1002" spans="4:28">
      <c r="D1002" s="16"/>
      <c r="I1002" s="3"/>
      <c r="K1002" s="15"/>
      <c r="L1002" s="15"/>
      <c r="M1002" s="15"/>
      <c r="AB1002" s="6"/>
    </row>
    <row r="1003" spans="4:28">
      <c r="D1003" s="16"/>
      <c r="I1003" s="3"/>
      <c r="K1003" s="15"/>
      <c r="L1003" s="15"/>
      <c r="M1003" s="15"/>
      <c r="AB1003" s="6"/>
    </row>
    <row r="1004" spans="4:28">
      <c r="D1004" s="16"/>
      <c r="I1004" s="3"/>
      <c r="K1004" s="15"/>
      <c r="L1004" s="15"/>
      <c r="M1004" s="15"/>
      <c r="AB1004" s="6"/>
    </row>
    <row r="1005" spans="4:28">
      <c r="D1005" s="16"/>
      <c r="I1005" s="3"/>
      <c r="K1005" s="15"/>
      <c r="L1005" s="15"/>
      <c r="M1005" s="15"/>
      <c r="AB1005" s="6"/>
    </row>
    <row r="1006" spans="4:28">
      <c r="D1006" s="16"/>
      <c r="I1006" s="3"/>
      <c r="K1006" s="15"/>
      <c r="L1006" s="15"/>
      <c r="M1006" s="15"/>
      <c r="AB1006" s="6"/>
    </row>
    <row r="1007" spans="4:28">
      <c r="D1007" s="16"/>
      <c r="I1007" s="3"/>
      <c r="K1007" s="15"/>
      <c r="L1007" s="15"/>
      <c r="M1007" s="15"/>
      <c r="AB1007" s="6"/>
    </row>
    <row r="1008" spans="4:28">
      <c r="D1008" s="16"/>
      <c r="I1008" s="3"/>
      <c r="K1008" s="15"/>
      <c r="L1008" s="15"/>
      <c r="M1008" s="15"/>
      <c r="AB1008" s="6"/>
    </row>
    <row r="1009" spans="4:28">
      <c r="D1009" s="16"/>
      <c r="I1009" s="3"/>
      <c r="K1009" s="15"/>
      <c r="L1009" s="15"/>
      <c r="M1009" s="15"/>
      <c r="AB1009" s="6"/>
    </row>
    <row r="1010" spans="4:28">
      <c r="D1010" s="16"/>
      <c r="I1010" s="3"/>
      <c r="K1010" s="15"/>
      <c r="L1010" s="15"/>
      <c r="M1010" s="15"/>
      <c r="AB1010" s="6"/>
    </row>
    <row r="1011" spans="4:28">
      <c r="D1011" s="16"/>
      <c r="I1011" s="3"/>
      <c r="K1011" s="15"/>
      <c r="L1011" s="15"/>
      <c r="M1011" s="15"/>
      <c r="AB1011" s="6"/>
    </row>
    <row r="1012" spans="4:28">
      <c r="D1012" s="16"/>
      <c r="I1012" s="3"/>
      <c r="K1012" s="15"/>
      <c r="L1012" s="15"/>
      <c r="M1012" s="15"/>
      <c r="AB1012" s="6"/>
    </row>
    <row r="1013" spans="4:28">
      <c r="D1013" s="16"/>
      <c r="I1013" s="3"/>
      <c r="K1013" s="15"/>
      <c r="L1013" s="15"/>
      <c r="M1013" s="15"/>
      <c r="AB1013" s="6"/>
    </row>
    <row r="1014" spans="4:28">
      <c r="D1014" s="16"/>
      <c r="I1014" s="3"/>
      <c r="K1014" s="15"/>
      <c r="L1014" s="15"/>
      <c r="M1014" s="15"/>
      <c r="AB1014" s="6"/>
    </row>
    <row r="1015" spans="4:28">
      <c r="D1015" s="16"/>
      <c r="I1015" s="3"/>
      <c r="K1015" s="15"/>
      <c r="L1015" s="15"/>
      <c r="M1015" s="15"/>
      <c r="AB1015" s="6"/>
    </row>
    <row r="1016" spans="4:28">
      <c r="D1016" s="16"/>
      <c r="I1016" s="3"/>
      <c r="K1016" s="15"/>
      <c r="L1016" s="15"/>
      <c r="M1016" s="15"/>
      <c r="AB1016" s="6"/>
    </row>
    <row r="1017" spans="4:28">
      <c r="D1017" s="16"/>
      <c r="I1017" s="3"/>
      <c r="K1017" s="15"/>
      <c r="L1017" s="15"/>
      <c r="M1017" s="15"/>
      <c r="AB1017" s="6"/>
    </row>
    <row r="1018" spans="4:28">
      <c r="D1018" s="16"/>
      <c r="I1018" s="3"/>
      <c r="K1018" s="15"/>
      <c r="L1018" s="15"/>
      <c r="M1018" s="15"/>
      <c r="AB1018" s="6"/>
    </row>
    <row r="1019" spans="4:28">
      <c r="D1019" s="16"/>
      <c r="I1019" s="3"/>
      <c r="K1019" s="15"/>
      <c r="L1019" s="15"/>
      <c r="M1019" s="15"/>
      <c r="AB1019" s="6"/>
    </row>
    <row r="1020" spans="4:28">
      <c r="D1020" s="16"/>
      <c r="I1020" s="3"/>
      <c r="K1020" s="15"/>
      <c r="L1020" s="15"/>
      <c r="M1020" s="15"/>
      <c r="AB1020" s="6"/>
    </row>
    <row r="1021" spans="4:28">
      <c r="D1021" s="16"/>
      <c r="I1021" s="3"/>
      <c r="K1021" s="15"/>
      <c r="L1021" s="15"/>
      <c r="M1021" s="15"/>
      <c r="AB1021" s="6"/>
    </row>
    <row r="1022" spans="4:28">
      <c r="D1022" s="16"/>
      <c r="I1022" s="3"/>
      <c r="K1022" s="15"/>
      <c r="L1022" s="15"/>
      <c r="M1022" s="15"/>
      <c r="AB1022" s="6"/>
    </row>
    <row r="1023" spans="4:28">
      <c r="D1023" s="16"/>
      <c r="I1023" s="3"/>
      <c r="K1023" s="15"/>
      <c r="L1023" s="15"/>
      <c r="M1023" s="15"/>
      <c r="AB1023" s="6"/>
    </row>
    <row r="1024" spans="4:28">
      <c r="D1024" s="16"/>
      <c r="I1024" s="3"/>
      <c r="K1024" s="15"/>
      <c r="L1024" s="15"/>
      <c r="M1024" s="15"/>
      <c r="AB1024" s="6"/>
    </row>
    <row r="1025" spans="4:28">
      <c r="D1025" s="16"/>
      <c r="I1025" s="3"/>
      <c r="K1025" s="15"/>
      <c r="L1025" s="15"/>
      <c r="M1025" s="15"/>
      <c r="AB1025" s="6"/>
    </row>
    <row r="1026" spans="4:28">
      <c r="D1026" s="16"/>
      <c r="I1026" s="3"/>
      <c r="K1026" s="15"/>
      <c r="L1026" s="15"/>
      <c r="M1026" s="15"/>
      <c r="AB1026" s="6"/>
    </row>
    <row r="1027" spans="4:28">
      <c r="D1027" s="16"/>
      <c r="I1027" s="3"/>
      <c r="K1027" s="15"/>
      <c r="L1027" s="15"/>
      <c r="M1027" s="15"/>
      <c r="AB1027" s="6"/>
    </row>
    <row r="1028" spans="4:28">
      <c r="D1028" s="16"/>
      <c r="I1028" s="3"/>
      <c r="K1028" s="15"/>
      <c r="L1028" s="15"/>
      <c r="M1028" s="15"/>
      <c r="AB1028" s="6"/>
    </row>
    <row r="1029" spans="4:28">
      <c r="D1029" s="16"/>
      <c r="I1029" s="3"/>
      <c r="K1029" s="15"/>
      <c r="L1029" s="15"/>
      <c r="M1029" s="15"/>
      <c r="AB1029" s="6"/>
    </row>
    <row r="1030" spans="4:28">
      <c r="D1030" s="16"/>
      <c r="I1030" s="3"/>
      <c r="K1030" s="15"/>
      <c r="L1030" s="15"/>
      <c r="M1030" s="15"/>
      <c r="AB1030" s="6"/>
    </row>
    <row r="1031" spans="4:28">
      <c r="D1031" s="16"/>
      <c r="I1031" s="3"/>
      <c r="K1031" s="15"/>
      <c r="L1031" s="15"/>
      <c r="M1031" s="15"/>
      <c r="AB1031" s="6"/>
    </row>
    <row r="1032" spans="4:28">
      <c r="D1032" s="16"/>
      <c r="I1032" s="3"/>
      <c r="K1032" s="15"/>
      <c r="L1032" s="15"/>
      <c r="M1032" s="15"/>
      <c r="AB1032" s="6"/>
    </row>
    <row r="1033" spans="4:28">
      <c r="D1033" s="16"/>
      <c r="I1033" s="3"/>
      <c r="K1033" s="15"/>
      <c r="L1033" s="15"/>
      <c r="M1033" s="15"/>
      <c r="AB1033" s="6"/>
    </row>
    <row r="1034" spans="4:28">
      <c r="D1034" s="16"/>
      <c r="I1034" s="3"/>
      <c r="K1034" s="15"/>
      <c r="L1034" s="15"/>
      <c r="M1034" s="15"/>
      <c r="AB1034" s="6"/>
    </row>
    <row r="1035" spans="4:28">
      <c r="D1035" s="16"/>
      <c r="I1035" s="3"/>
      <c r="K1035" s="15"/>
      <c r="L1035" s="15"/>
      <c r="M1035" s="15"/>
      <c r="AB1035" s="6"/>
    </row>
    <row r="1036" spans="4:28">
      <c r="D1036" s="16"/>
      <c r="I1036" s="3"/>
      <c r="K1036" s="15"/>
      <c r="L1036" s="15"/>
      <c r="M1036" s="15"/>
      <c r="AB1036" s="6"/>
    </row>
    <row r="1037" spans="4:28">
      <c r="D1037" s="16"/>
      <c r="I1037" s="3"/>
      <c r="K1037" s="15"/>
      <c r="L1037" s="15"/>
      <c r="M1037" s="15"/>
      <c r="AB1037" s="6"/>
    </row>
    <row r="1038" spans="4:28">
      <c r="D1038" s="16"/>
      <c r="I1038" s="3"/>
      <c r="K1038" s="15"/>
      <c r="L1038" s="15"/>
      <c r="M1038" s="15"/>
      <c r="AB1038" s="6"/>
    </row>
    <row r="1039" spans="4:28">
      <c r="D1039" s="16"/>
      <c r="I1039" s="3"/>
      <c r="K1039" s="15"/>
      <c r="L1039" s="15"/>
      <c r="M1039" s="15"/>
      <c r="AB1039" s="6"/>
    </row>
    <row r="1040" spans="4:28">
      <c r="D1040" s="16"/>
      <c r="I1040" s="3"/>
      <c r="K1040" s="15"/>
      <c r="L1040" s="15"/>
      <c r="M1040" s="15"/>
      <c r="AB1040" s="6"/>
    </row>
    <row r="1041" spans="4:28">
      <c r="D1041" s="16"/>
      <c r="I1041" s="3"/>
      <c r="K1041" s="15"/>
      <c r="L1041" s="15"/>
      <c r="M1041" s="15"/>
      <c r="AB1041" s="6"/>
    </row>
    <row r="1042" spans="4:28">
      <c r="D1042" s="16"/>
      <c r="I1042" s="3"/>
      <c r="K1042" s="15"/>
      <c r="L1042" s="15"/>
      <c r="M1042" s="15"/>
      <c r="AB1042" s="6"/>
    </row>
    <row r="1043" spans="4:28">
      <c r="D1043" s="16"/>
      <c r="I1043" s="3"/>
      <c r="K1043" s="15"/>
      <c r="L1043" s="15"/>
      <c r="M1043" s="15"/>
      <c r="AB1043" s="6"/>
    </row>
    <row r="1044" spans="4:28">
      <c r="D1044" s="16"/>
      <c r="I1044" s="3"/>
      <c r="K1044" s="15"/>
      <c r="L1044" s="15"/>
      <c r="M1044" s="15"/>
      <c r="AB1044" s="6"/>
    </row>
    <row r="1045" spans="4:28">
      <c r="D1045" s="16"/>
      <c r="I1045" s="3"/>
      <c r="K1045" s="15"/>
      <c r="L1045" s="15"/>
      <c r="M1045" s="15"/>
      <c r="AB1045" s="6"/>
    </row>
    <row r="1046" spans="4:28">
      <c r="D1046" s="16"/>
      <c r="I1046" s="3"/>
      <c r="K1046" s="15"/>
      <c r="L1046" s="15"/>
      <c r="M1046" s="15"/>
      <c r="AB1046" s="6"/>
    </row>
    <row r="1047" spans="4:28">
      <c r="D1047" s="16"/>
      <c r="I1047" s="3"/>
      <c r="K1047" s="15"/>
      <c r="L1047" s="15"/>
      <c r="M1047" s="15"/>
      <c r="AB1047" s="6"/>
    </row>
    <row r="1048" spans="4:28">
      <c r="D1048" s="16"/>
      <c r="I1048" s="3"/>
      <c r="K1048" s="15"/>
      <c r="L1048" s="15"/>
      <c r="M1048" s="15"/>
      <c r="AB1048" s="6"/>
    </row>
    <row r="1049" spans="4:28">
      <c r="D1049" s="16"/>
      <c r="I1049" s="3"/>
      <c r="K1049" s="15"/>
      <c r="L1049" s="15"/>
      <c r="M1049" s="15"/>
      <c r="AB1049" s="6"/>
    </row>
    <row r="1050" spans="4:28">
      <c r="D1050" s="16"/>
      <c r="I1050" s="3"/>
      <c r="K1050" s="15"/>
      <c r="L1050" s="15"/>
      <c r="M1050" s="15"/>
      <c r="AB1050" s="6"/>
    </row>
    <row r="1051" spans="4:28">
      <c r="D1051" s="16"/>
      <c r="I1051" s="3"/>
      <c r="K1051" s="15"/>
      <c r="L1051" s="15"/>
      <c r="M1051" s="15"/>
      <c r="AB1051" s="6"/>
    </row>
    <row r="1052" spans="4:28">
      <c r="D1052" s="16"/>
      <c r="I1052" s="3"/>
      <c r="K1052" s="15"/>
      <c r="L1052" s="15"/>
      <c r="M1052" s="15"/>
      <c r="AB1052" s="6"/>
    </row>
    <row r="1053" spans="4:28">
      <c r="D1053" s="16"/>
      <c r="I1053" s="3"/>
      <c r="K1053" s="15"/>
      <c r="L1053" s="15"/>
      <c r="M1053" s="15"/>
      <c r="AB1053" s="6"/>
    </row>
    <row r="1054" spans="4:28">
      <c r="D1054" s="16"/>
      <c r="I1054" s="3"/>
      <c r="K1054" s="15"/>
      <c r="L1054" s="15"/>
      <c r="M1054" s="15"/>
      <c r="AB1054" s="6"/>
    </row>
    <row r="1055" spans="4:28">
      <c r="D1055" s="16"/>
      <c r="I1055" s="3"/>
      <c r="K1055" s="15"/>
      <c r="L1055" s="15"/>
      <c r="M1055" s="15"/>
      <c r="AB1055" s="6"/>
    </row>
    <row r="1056" spans="4:28">
      <c r="D1056" s="16"/>
      <c r="I1056" s="3"/>
      <c r="K1056" s="15"/>
      <c r="L1056" s="15"/>
      <c r="M1056" s="15"/>
      <c r="AB1056" s="6"/>
    </row>
    <row r="1057" spans="4:28">
      <c r="D1057" s="16"/>
      <c r="I1057" s="3"/>
      <c r="K1057" s="15"/>
      <c r="L1057" s="15"/>
      <c r="M1057" s="15"/>
      <c r="AB1057" s="6"/>
    </row>
    <row r="1058" spans="4:28">
      <c r="D1058" s="16"/>
      <c r="I1058" s="3"/>
      <c r="K1058" s="15"/>
      <c r="L1058" s="15"/>
      <c r="M1058" s="15"/>
      <c r="AB1058" s="6"/>
    </row>
    <row r="1059" spans="4:28">
      <c r="D1059" s="16"/>
      <c r="I1059" s="3"/>
      <c r="K1059" s="15"/>
      <c r="L1059" s="15"/>
      <c r="M1059" s="15"/>
      <c r="AB1059" s="6"/>
    </row>
    <row r="1060" spans="4:28">
      <c r="D1060" s="16"/>
      <c r="I1060" s="3"/>
      <c r="K1060" s="15"/>
      <c r="L1060" s="15"/>
      <c r="M1060" s="15"/>
      <c r="AB1060" s="6"/>
    </row>
    <row r="1061" spans="4:28">
      <c r="D1061" s="16"/>
      <c r="I1061" s="3"/>
      <c r="K1061" s="15"/>
      <c r="L1061" s="15"/>
      <c r="M1061" s="15"/>
      <c r="AB1061" s="6"/>
    </row>
    <row r="1062" spans="4:28">
      <c r="D1062" s="16"/>
      <c r="I1062" s="3"/>
      <c r="K1062" s="15"/>
      <c r="L1062" s="15"/>
      <c r="M1062" s="15"/>
      <c r="AB1062" s="6"/>
    </row>
    <row r="1063" spans="4:28">
      <c r="D1063" s="16"/>
      <c r="I1063" s="3"/>
      <c r="K1063" s="15"/>
      <c r="L1063" s="15"/>
      <c r="M1063" s="15"/>
      <c r="AB1063" s="6"/>
    </row>
    <row r="1064" spans="4:28">
      <c r="D1064" s="16"/>
      <c r="I1064" s="3"/>
      <c r="K1064" s="15"/>
      <c r="L1064" s="15"/>
      <c r="M1064" s="15"/>
      <c r="AB1064" s="6"/>
    </row>
    <row r="1065" spans="4:28">
      <c r="D1065" s="16"/>
      <c r="I1065" s="3"/>
      <c r="K1065" s="15"/>
      <c r="L1065" s="15"/>
      <c r="M1065" s="15"/>
      <c r="AB1065" s="6"/>
    </row>
    <row r="1066" spans="4:28">
      <c r="D1066" s="16"/>
      <c r="I1066" s="3"/>
      <c r="K1066" s="15"/>
      <c r="L1066" s="15"/>
      <c r="M1066" s="15"/>
      <c r="AB1066" s="6"/>
    </row>
    <row r="1067" spans="4:28">
      <c r="D1067" s="16"/>
      <c r="I1067" s="3"/>
      <c r="K1067" s="15"/>
      <c r="L1067" s="15"/>
      <c r="M1067" s="15"/>
      <c r="AB1067" s="6"/>
    </row>
    <row r="1068" spans="4:28">
      <c r="D1068" s="16"/>
      <c r="I1068" s="3"/>
      <c r="K1068" s="15"/>
      <c r="L1068" s="15"/>
      <c r="M1068" s="15"/>
      <c r="AB1068" s="6"/>
    </row>
    <row r="1069" spans="4:28">
      <c r="D1069" s="16"/>
      <c r="I1069" s="3"/>
      <c r="K1069" s="15"/>
      <c r="L1069" s="15"/>
      <c r="M1069" s="15"/>
      <c r="AB1069" s="6"/>
    </row>
    <row r="1070" spans="4:28">
      <c r="D1070" s="16"/>
      <c r="I1070" s="3"/>
      <c r="K1070" s="15"/>
      <c r="L1070" s="15"/>
      <c r="M1070" s="15"/>
      <c r="AB1070" s="6"/>
    </row>
    <row r="1071" spans="4:28">
      <c r="D1071" s="16"/>
      <c r="I1071" s="3"/>
      <c r="K1071" s="15"/>
      <c r="L1071" s="15"/>
      <c r="M1071" s="15"/>
      <c r="AB1071" s="6"/>
    </row>
    <row r="1072" spans="4:28">
      <c r="D1072" s="16"/>
      <c r="I1072" s="3"/>
      <c r="K1072" s="15"/>
      <c r="L1072" s="15"/>
      <c r="M1072" s="15"/>
      <c r="AB1072" s="6"/>
    </row>
    <row r="1073" spans="4:28">
      <c r="D1073" s="16"/>
      <c r="I1073" s="3"/>
      <c r="K1073" s="15"/>
      <c r="L1073" s="15"/>
      <c r="M1073" s="15"/>
      <c r="AB1073" s="6"/>
    </row>
    <row r="1074" spans="4:28">
      <c r="D1074" s="16"/>
      <c r="I1074" s="3"/>
      <c r="K1074" s="15"/>
      <c r="L1074" s="15"/>
      <c r="M1074" s="15"/>
      <c r="AB1074" s="6"/>
    </row>
    <row r="1075" spans="4:28">
      <c r="D1075" s="16"/>
      <c r="I1075" s="3"/>
      <c r="K1075" s="15"/>
      <c r="L1075" s="15"/>
      <c r="M1075" s="15"/>
      <c r="AB1075" s="6"/>
    </row>
    <row r="1076" spans="4:28">
      <c r="D1076" s="16"/>
      <c r="I1076" s="3"/>
      <c r="K1076" s="15"/>
      <c r="L1076" s="15"/>
      <c r="M1076" s="15"/>
      <c r="AB1076" s="6"/>
    </row>
    <row r="1077" spans="4:28">
      <c r="D1077" s="16"/>
      <c r="I1077" s="3"/>
      <c r="K1077" s="15"/>
      <c r="L1077" s="15"/>
      <c r="M1077" s="15"/>
      <c r="AB1077" s="6"/>
    </row>
    <row r="1078" spans="4:28">
      <c r="D1078" s="16"/>
      <c r="I1078" s="3"/>
      <c r="K1078" s="15"/>
      <c r="L1078" s="15"/>
      <c r="M1078" s="15"/>
      <c r="AB1078" s="6"/>
    </row>
    <row r="1079" spans="4:28">
      <c r="D1079" s="16"/>
      <c r="I1079" s="3"/>
      <c r="K1079" s="15"/>
      <c r="L1079" s="15"/>
      <c r="M1079" s="15"/>
      <c r="AB1079" s="6"/>
    </row>
    <row r="1080" spans="4:28">
      <c r="D1080" s="16"/>
      <c r="I1080" s="3"/>
      <c r="K1080" s="15"/>
      <c r="L1080" s="15"/>
      <c r="M1080" s="15"/>
      <c r="AB1080" s="6"/>
    </row>
    <row r="1081" spans="4:28">
      <c r="D1081" s="16"/>
      <c r="I1081" s="3"/>
      <c r="K1081" s="15"/>
      <c r="L1081" s="15"/>
      <c r="M1081" s="15"/>
      <c r="AB1081" s="6"/>
    </row>
    <row r="1082" spans="4:28">
      <c r="D1082" s="16"/>
      <c r="I1082" s="3"/>
      <c r="K1082" s="15"/>
      <c r="L1082" s="15"/>
      <c r="M1082" s="15"/>
      <c r="AB1082" s="6"/>
    </row>
    <row r="1083" spans="4:28">
      <c r="D1083" s="16"/>
      <c r="I1083" s="3"/>
      <c r="K1083" s="15"/>
      <c r="L1083" s="15"/>
      <c r="M1083" s="15"/>
      <c r="AB1083" s="6"/>
    </row>
    <row r="1084" spans="4:28">
      <c r="D1084" s="16"/>
      <c r="I1084" s="3"/>
      <c r="K1084" s="15"/>
      <c r="L1084" s="15"/>
      <c r="M1084" s="15"/>
      <c r="AB1084" s="6"/>
    </row>
    <row r="1085" spans="4:28">
      <c r="D1085" s="16"/>
      <c r="I1085" s="3"/>
      <c r="K1085" s="15"/>
      <c r="L1085" s="15"/>
      <c r="M1085" s="15"/>
      <c r="AB1085" s="6"/>
    </row>
    <row r="1086" spans="4:28">
      <c r="D1086" s="16"/>
      <c r="I1086" s="3"/>
      <c r="K1086" s="15"/>
      <c r="L1086" s="15"/>
      <c r="M1086" s="15"/>
      <c r="AB1086" s="6"/>
    </row>
    <row r="1087" spans="4:28">
      <c r="D1087" s="16"/>
      <c r="I1087" s="3"/>
      <c r="K1087" s="15"/>
      <c r="L1087" s="15"/>
      <c r="M1087" s="15"/>
      <c r="AB1087" s="6"/>
    </row>
    <row r="1088" spans="4:28">
      <c r="D1088" s="16"/>
      <c r="I1088" s="3"/>
      <c r="K1088" s="15"/>
      <c r="L1088" s="15"/>
      <c r="M1088" s="15"/>
      <c r="AB1088" s="6"/>
    </row>
    <row r="1089" spans="4:28">
      <c r="D1089" s="16"/>
      <c r="I1089" s="3"/>
      <c r="K1089" s="15"/>
      <c r="L1089" s="15"/>
      <c r="M1089" s="15"/>
      <c r="AB1089" s="6"/>
    </row>
    <row r="1090" spans="4:28">
      <c r="D1090" s="16"/>
      <c r="I1090" s="3"/>
      <c r="K1090" s="15"/>
      <c r="L1090" s="15"/>
      <c r="M1090" s="15"/>
      <c r="AB1090" s="6"/>
    </row>
    <row r="1091" spans="4:28">
      <c r="D1091" s="16"/>
      <c r="I1091" s="3"/>
      <c r="K1091" s="15"/>
      <c r="L1091" s="15"/>
      <c r="M1091" s="15"/>
      <c r="AB1091" s="6"/>
    </row>
    <row r="1092" spans="4:28">
      <c r="D1092" s="16"/>
      <c r="I1092" s="3"/>
      <c r="K1092" s="15"/>
      <c r="L1092" s="15"/>
      <c r="M1092" s="15"/>
      <c r="AB1092" s="6"/>
    </row>
    <row r="1093" spans="4:28">
      <c r="D1093" s="16"/>
      <c r="I1093" s="3"/>
      <c r="K1093" s="15"/>
      <c r="L1093" s="15"/>
      <c r="M1093" s="15"/>
      <c r="AB1093" s="6"/>
    </row>
    <row r="1094" spans="4:28">
      <c r="D1094" s="16"/>
      <c r="I1094" s="3"/>
      <c r="K1094" s="15"/>
      <c r="L1094" s="15"/>
      <c r="M1094" s="15"/>
      <c r="AB1094" s="6"/>
    </row>
    <row r="1095" spans="4:28">
      <c r="D1095" s="16"/>
      <c r="I1095" s="3"/>
      <c r="K1095" s="15"/>
      <c r="L1095" s="15"/>
      <c r="M1095" s="15"/>
      <c r="AB1095" s="6"/>
    </row>
    <row r="1096" spans="4:28">
      <c r="D1096" s="16"/>
      <c r="I1096" s="3"/>
      <c r="K1096" s="15"/>
      <c r="L1096" s="15"/>
      <c r="M1096" s="15"/>
      <c r="AB1096" s="6"/>
    </row>
    <row r="1097" spans="4:28">
      <c r="D1097" s="16"/>
      <c r="I1097" s="3"/>
      <c r="K1097" s="15"/>
      <c r="L1097" s="15"/>
      <c r="M1097" s="15"/>
      <c r="AB1097" s="6"/>
    </row>
    <row r="1098" spans="4:28">
      <c r="D1098" s="16"/>
      <c r="I1098" s="3"/>
      <c r="K1098" s="15"/>
      <c r="L1098" s="15"/>
      <c r="M1098" s="15"/>
      <c r="AB1098" s="6"/>
    </row>
    <row r="1099" spans="4:28">
      <c r="D1099" s="16"/>
      <c r="I1099" s="3"/>
      <c r="K1099" s="15"/>
      <c r="L1099" s="15"/>
      <c r="M1099" s="15"/>
      <c r="AB1099" s="6"/>
    </row>
    <row r="1100" spans="4:28">
      <c r="D1100" s="16"/>
      <c r="I1100" s="3"/>
      <c r="K1100" s="15"/>
      <c r="L1100" s="15"/>
      <c r="M1100" s="15"/>
      <c r="AB1100" s="6"/>
    </row>
    <row r="1101" spans="4:28">
      <c r="D1101" s="16"/>
      <c r="I1101" s="3"/>
      <c r="K1101" s="15"/>
      <c r="L1101" s="15"/>
      <c r="M1101" s="15"/>
      <c r="AB1101" s="6"/>
    </row>
    <row r="1102" spans="4:28">
      <c r="D1102" s="16"/>
      <c r="I1102" s="3"/>
      <c r="K1102" s="15"/>
      <c r="L1102" s="15"/>
      <c r="M1102" s="15"/>
      <c r="AB1102" s="6"/>
    </row>
    <row r="1103" spans="4:28">
      <c r="D1103" s="16"/>
      <c r="I1103" s="3"/>
      <c r="K1103" s="15"/>
      <c r="L1103" s="15"/>
      <c r="M1103" s="15"/>
      <c r="AB1103" s="6"/>
    </row>
    <row r="1104" spans="4:28">
      <c r="D1104" s="16"/>
      <c r="I1104" s="3"/>
      <c r="K1104" s="15"/>
      <c r="L1104" s="15"/>
      <c r="M1104" s="15"/>
      <c r="AB1104" s="6"/>
    </row>
    <row r="1105" spans="4:28">
      <c r="D1105" s="16"/>
      <c r="I1105" s="3"/>
      <c r="K1105" s="15"/>
      <c r="L1105" s="15"/>
      <c r="M1105" s="15"/>
      <c r="AB1105" s="6"/>
    </row>
    <row r="1106" spans="4:28">
      <c r="D1106" s="16"/>
      <c r="I1106" s="3"/>
      <c r="K1106" s="15"/>
      <c r="L1106" s="15"/>
      <c r="M1106" s="15"/>
      <c r="AB1106" s="6"/>
    </row>
    <row r="1107" spans="4:28">
      <c r="D1107" s="16"/>
      <c r="I1107" s="3"/>
      <c r="K1107" s="15"/>
      <c r="L1107" s="15"/>
      <c r="M1107" s="15"/>
      <c r="AB1107" s="6"/>
    </row>
    <row r="1108" spans="4:28">
      <c r="D1108" s="16"/>
      <c r="I1108" s="3"/>
      <c r="K1108" s="15"/>
      <c r="L1108" s="15"/>
      <c r="M1108" s="15"/>
      <c r="AB1108" s="6"/>
    </row>
    <row r="1109" spans="4:28">
      <c r="D1109" s="16"/>
      <c r="I1109" s="3"/>
      <c r="K1109" s="15"/>
      <c r="L1109" s="15"/>
      <c r="M1109" s="15"/>
      <c r="AB1109" s="6"/>
    </row>
    <row r="1110" spans="4:28">
      <c r="D1110" s="16"/>
      <c r="I1110" s="3"/>
      <c r="K1110" s="15"/>
      <c r="L1110" s="15"/>
      <c r="M1110" s="15"/>
      <c r="AB1110" s="6"/>
    </row>
    <row r="1111" spans="4:28">
      <c r="D1111" s="16"/>
      <c r="I1111" s="3"/>
      <c r="K1111" s="15"/>
      <c r="L1111" s="15"/>
      <c r="M1111" s="15"/>
      <c r="AB1111" s="6"/>
    </row>
    <row r="1112" spans="4:28">
      <c r="D1112" s="16"/>
      <c r="I1112" s="3"/>
      <c r="K1112" s="15"/>
      <c r="L1112" s="15"/>
      <c r="M1112" s="15"/>
      <c r="AB1112" s="6"/>
    </row>
    <row r="1113" spans="4:28">
      <c r="D1113" s="16"/>
      <c r="I1113" s="3"/>
      <c r="K1113" s="15"/>
      <c r="L1113" s="15"/>
      <c r="M1113" s="15"/>
      <c r="AB1113" s="6"/>
    </row>
    <row r="1114" spans="4:28">
      <c r="D1114" s="16"/>
      <c r="I1114" s="3"/>
      <c r="K1114" s="15"/>
      <c r="L1114" s="15"/>
      <c r="M1114" s="15"/>
      <c r="AB1114" s="6"/>
    </row>
    <row r="1115" spans="4:28">
      <c r="D1115" s="16"/>
      <c r="I1115" s="3"/>
      <c r="K1115" s="15"/>
      <c r="L1115" s="15"/>
      <c r="M1115" s="15"/>
      <c r="AB1115" s="6"/>
    </row>
    <row r="1116" spans="4:28">
      <c r="D1116" s="16"/>
      <c r="I1116" s="3"/>
      <c r="K1116" s="15"/>
      <c r="L1116" s="15"/>
      <c r="M1116" s="15"/>
      <c r="AB1116" s="6"/>
    </row>
    <row r="1117" spans="4:28">
      <c r="D1117" s="16"/>
      <c r="I1117" s="3"/>
      <c r="K1117" s="15"/>
      <c r="L1117" s="15"/>
      <c r="M1117" s="15"/>
      <c r="AB1117" s="6"/>
    </row>
    <row r="1118" spans="4:28">
      <c r="D1118" s="16"/>
      <c r="I1118" s="3"/>
      <c r="K1118" s="15"/>
      <c r="L1118" s="15"/>
      <c r="M1118" s="15"/>
      <c r="AB1118" s="6"/>
    </row>
    <row r="1119" spans="4:28">
      <c r="D1119" s="16"/>
      <c r="I1119" s="3"/>
      <c r="K1119" s="15"/>
      <c r="L1119" s="15"/>
      <c r="M1119" s="15"/>
      <c r="AB1119" s="6"/>
    </row>
    <row r="1120" spans="4:28">
      <c r="D1120" s="16"/>
      <c r="I1120" s="3"/>
      <c r="K1120" s="15"/>
      <c r="L1120" s="15"/>
      <c r="M1120" s="15"/>
      <c r="AB1120" s="6"/>
    </row>
    <row r="1121" spans="4:28">
      <c r="D1121" s="16"/>
      <c r="I1121" s="3"/>
      <c r="K1121" s="15"/>
      <c r="L1121" s="15"/>
      <c r="M1121" s="15"/>
      <c r="AB1121" s="6"/>
    </row>
    <row r="1122" spans="4:28">
      <c r="D1122" s="16"/>
      <c r="I1122" s="3"/>
      <c r="K1122" s="15"/>
      <c r="L1122" s="15"/>
      <c r="M1122" s="15"/>
      <c r="AB1122" s="6"/>
    </row>
    <row r="1123" spans="4:28">
      <c r="D1123" s="16"/>
      <c r="I1123" s="3"/>
      <c r="K1123" s="15"/>
      <c r="L1123" s="15"/>
      <c r="M1123" s="15"/>
      <c r="AB1123" s="6"/>
    </row>
    <row r="1124" spans="4:28">
      <c r="D1124" s="16"/>
      <c r="I1124" s="3"/>
      <c r="K1124" s="15"/>
      <c r="L1124" s="15"/>
      <c r="M1124" s="15"/>
      <c r="AB1124" s="6"/>
    </row>
    <row r="1125" spans="4:28">
      <c r="D1125" s="16"/>
      <c r="I1125" s="3"/>
      <c r="K1125" s="15"/>
      <c r="L1125" s="15"/>
      <c r="M1125" s="15"/>
      <c r="AB1125" s="6"/>
    </row>
    <row r="1126" spans="4:28">
      <c r="D1126" s="16"/>
      <c r="I1126" s="3"/>
      <c r="K1126" s="15"/>
      <c r="L1126" s="15"/>
      <c r="M1126" s="15"/>
      <c r="AB1126" s="6"/>
    </row>
    <row r="1127" spans="4:28">
      <c r="D1127" s="16"/>
      <c r="I1127" s="3"/>
      <c r="K1127" s="15"/>
      <c r="L1127" s="15"/>
      <c r="M1127" s="15"/>
      <c r="AB1127" s="6"/>
    </row>
    <row r="1128" spans="4:28">
      <c r="D1128" s="16"/>
      <c r="I1128" s="3"/>
      <c r="K1128" s="15"/>
      <c r="L1128" s="15"/>
      <c r="M1128" s="15"/>
      <c r="AB1128" s="6"/>
    </row>
    <row r="1129" spans="4:28">
      <c r="D1129" s="16"/>
      <c r="I1129" s="3"/>
      <c r="K1129" s="15"/>
      <c r="L1129" s="15"/>
      <c r="M1129" s="15"/>
      <c r="AB1129" s="6"/>
    </row>
    <row r="1130" spans="4:28">
      <c r="D1130" s="16"/>
      <c r="I1130" s="3"/>
      <c r="K1130" s="15"/>
      <c r="L1130" s="15"/>
      <c r="M1130" s="15"/>
      <c r="AB1130" s="6"/>
    </row>
    <row r="1131" spans="4:28">
      <c r="D1131" s="16"/>
      <c r="I1131" s="3"/>
      <c r="K1131" s="15"/>
      <c r="L1131" s="15"/>
      <c r="M1131" s="15"/>
      <c r="AB1131" s="6"/>
    </row>
    <row r="1132" spans="4:28">
      <c r="D1132" s="16"/>
      <c r="I1132" s="3"/>
      <c r="K1132" s="15"/>
      <c r="L1132" s="15"/>
      <c r="M1132" s="15"/>
      <c r="AB1132" s="6"/>
    </row>
    <row r="1133" spans="4:28">
      <c r="D1133" s="16"/>
      <c r="I1133" s="3"/>
      <c r="K1133" s="15"/>
      <c r="L1133" s="15"/>
      <c r="M1133" s="15"/>
      <c r="AB1133" s="6"/>
    </row>
    <row r="1134" spans="4:28">
      <c r="D1134" s="16"/>
      <c r="I1134" s="3"/>
      <c r="K1134" s="15"/>
      <c r="L1134" s="15"/>
      <c r="M1134" s="15"/>
      <c r="AB1134" s="6"/>
    </row>
    <row r="1135" spans="4:28">
      <c r="D1135" s="16"/>
      <c r="I1135" s="3"/>
      <c r="K1135" s="15"/>
      <c r="L1135" s="15"/>
      <c r="M1135" s="15"/>
      <c r="AB1135" s="6"/>
    </row>
    <row r="1136" spans="4:28">
      <c r="D1136" s="16"/>
      <c r="I1136" s="3"/>
      <c r="K1136" s="15"/>
      <c r="L1136" s="15"/>
      <c r="M1136" s="15"/>
      <c r="AB1136" s="6"/>
    </row>
    <row r="1137" spans="4:28">
      <c r="D1137" s="16"/>
      <c r="I1137" s="3"/>
      <c r="K1137" s="15"/>
      <c r="L1137" s="15"/>
      <c r="M1137" s="15"/>
      <c r="AB1137" s="6"/>
    </row>
    <row r="1138" spans="4:28">
      <c r="D1138" s="16"/>
      <c r="I1138" s="3"/>
      <c r="K1138" s="15"/>
      <c r="L1138" s="15"/>
      <c r="M1138" s="15"/>
      <c r="AB1138" s="6"/>
    </row>
    <row r="1139" spans="4:28">
      <c r="D1139" s="16"/>
      <c r="I1139" s="3"/>
      <c r="K1139" s="15"/>
      <c r="L1139" s="15"/>
      <c r="M1139" s="15"/>
      <c r="AB1139" s="6"/>
    </row>
    <row r="1140" spans="4:28">
      <c r="D1140" s="16"/>
      <c r="I1140" s="3"/>
      <c r="K1140" s="15"/>
      <c r="L1140" s="15"/>
      <c r="M1140" s="15"/>
      <c r="AB1140" s="6"/>
    </row>
    <row r="1141" spans="4:28">
      <c r="D1141" s="16"/>
      <c r="I1141" s="3"/>
      <c r="K1141" s="15"/>
      <c r="L1141" s="15"/>
      <c r="M1141" s="15"/>
      <c r="AB1141" s="6"/>
    </row>
    <row r="1142" spans="4:28">
      <c r="D1142" s="16"/>
      <c r="I1142" s="3"/>
      <c r="K1142" s="15"/>
      <c r="L1142" s="15"/>
      <c r="M1142" s="15"/>
      <c r="AB1142" s="6"/>
    </row>
    <row r="1143" spans="4:28">
      <c r="D1143" s="16"/>
      <c r="I1143" s="3"/>
      <c r="K1143" s="15"/>
      <c r="L1143" s="15"/>
      <c r="M1143" s="15"/>
      <c r="AB1143" s="6"/>
    </row>
    <row r="1144" spans="4:28">
      <c r="D1144" s="16"/>
      <c r="I1144" s="3"/>
      <c r="K1144" s="15"/>
      <c r="L1144" s="15"/>
      <c r="M1144" s="15"/>
      <c r="AB1144" s="6"/>
    </row>
    <row r="1145" spans="4:28">
      <c r="D1145" s="16"/>
      <c r="I1145" s="3"/>
      <c r="K1145" s="15"/>
      <c r="L1145" s="15"/>
      <c r="M1145" s="15"/>
      <c r="AB1145" s="6"/>
    </row>
    <row r="1146" spans="4:28">
      <c r="D1146" s="16"/>
      <c r="I1146" s="3"/>
      <c r="K1146" s="15"/>
      <c r="L1146" s="15"/>
      <c r="M1146" s="15"/>
      <c r="AB1146" s="6"/>
    </row>
    <row r="1147" spans="4:28">
      <c r="D1147" s="16"/>
      <c r="I1147" s="3"/>
      <c r="K1147" s="15"/>
      <c r="L1147" s="15"/>
      <c r="M1147" s="15"/>
      <c r="AB1147" s="6"/>
    </row>
    <row r="1148" spans="4:28">
      <c r="D1148" s="16"/>
      <c r="I1148" s="3"/>
      <c r="K1148" s="15"/>
      <c r="L1148" s="15"/>
      <c r="M1148" s="15"/>
      <c r="AB1148" s="6"/>
    </row>
    <row r="1149" spans="4:28">
      <c r="D1149" s="16"/>
      <c r="I1149" s="3"/>
      <c r="K1149" s="15"/>
      <c r="L1149" s="15"/>
      <c r="M1149" s="15"/>
      <c r="AB1149" s="6"/>
    </row>
    <row r="1150" spans="4:28">
      <c r="D1150" s="16"/>
      <c r="I1150" s="3"/>
      <c r="K1150" s="15"/>
      <c r="L1150" s="15"/>
      <c r="M1150" s="15"/>
      <c r="AB1150" s="6"/>
    </row>
    <row r="1151" spans="4:28">
      <c r="D1151" s="16"/>
      <c r="I1151" s="3"/>
      <c r="K1151" s="15"/>
      <c r="L1151" s="15"/>
      <c r="M1151" s="15"/>
      <c r="AB1151" s="6"/>
    </row>
    <row r="1152" spans="4:28">
      <c r="D1152" s="16"/>
      <c r="I1152" s="3"/>
      <c r="K1152" s="15"/>
      <c r="L1152" s="15"/>
      <c r="M1152" s="15"/>
      <c r="AB1152" s="6"/>
    </row>
    <row r="1153" spans="4:28">
      <c r="D1153" s="16"/>
      <c r="I1153" s="3"/>
      <c r="K1153" s="15"/>
      <c r="L1153" s="15"/>
      <c r="M1153" s="15"/>
      <c r="AB1153" s="6"/>
    </row>
    <row r="1154" spans="4:28">
      <c r="D1154" s="16"/>
      <c r="I1154" s="3"/>
      <c r="K1154" s="15"/>
      <c r="L1154" s="15"/>
      <c r="M1154" s="15"/>
      <c r="AB1154" s="6"/>
    </row>
    <row r="1155" spans="4:28">
      <c r="D1155" s="16"/>
      <c r="I1155" s="3"/>
      <c r="K1155" s="15"/>
      <c r="L1155" s="15"/>
      <c r="M1155" s="15"/>
      <c r="AB1155" s="6"/>
    </row>
    <row r="1156" spans="4:28">
      <c r="D1156" s="16"/>
      <c r="I1156" s="3"/>
      <c r="K1156" s="15"/>
      <c r="L1156" s="15"/>
      <c r="M1156" s="15"/>
      <c r="AB1156" s="6"/>
    </row>
    <row r="1157" spans="4:28">
      <c r="D1157" s="16"/>
      <c r="I1157" s="3"/>
      <c r="K1157" s="15"/>
      <c r="L1157" s="15"/>
      <c r="M1157" s="15"/>
      <c r="AB1157" s="6"/>
    </row>
    <row r="1158" spans="4:28">
      <c r="D1158" s="16"/>
      <c r="I1158" s="3"/>
      <c r="K1158" s="15"/>
      <c r="L1158" s="15"/>
      <c r="M1158" s="15"/>
      <c r="AB1158" s="6"/>
    </row>
    <row r="1159" spans="4:28">
      <c r="D1159" s="16"/>
      <c r="I1159" s="3"/>
      <c r="K1159" s="15"/>
      <c r="L1159" s="15"/>
      <c r="M1159" s="15"/>
      <c r="AB1159" s="6"/>
    </row>
    <row r="1160" spans="4:28">
      <c r="D1160" s="16"/>
      <c r="I1160" s="3"/>
      <c r="K1160" s="15"/>
      <c r="L1160" s="15"/>
      <c r="M1160" s="15"/>
      <c r="AB1160" s="6"/>
    </row>
    <row r="1161" spans="4:28">
      <c r="D1161" s="16"/>
      <c r="I1161" s="3"/>
      <c r="K1161" s="15"/>
      <c r="L1161" s="15"/>
      <c r="M1161" s="15"/>
      <c r="AB1161" s="6"/>
    </row>
    <row r="1162" spans="4:28">
      <c r="D1162" s="16"/>
      <c r="I1162" s="3"/>
      <c r="K1162" s="15"/>
      <c r="L1162" s="15"/>
      <c r="M1162" s="15"/>
      <c r="AB1162" s="6"/>
    </row>
    <row r="1163" spans="4:28">
      <c r="D1163" s="16"/>
      <c r="I1163" s="3"/>
      <c r="K1163" s="15"/>
      <c r="L1163" s="15"/>
      <c r="M1163" s="15"/>
      <c r="AB1163" s="6"/>
    </row>
    <row r="1164" spans="4:28">
      <c r="D1164" s="16"/>
      <c r="I1164" s="3"/>
      <c r="K1164" s="15"/>
      <c r="L1164" s="15"/>
      <c r="M1164" s="15"/>
      <c r="AB1164" s="6"/>
    </row>
    <row r="1165" spans="4:28">
      <c r="D1165" s="16"/>
      <c r="I1165" s="3"/>
      <c r="K1165" s="15"/>
      <c r="L1165" s="15"/>
      <c r="M1165" s="15"/>
      <c r="AB1165" s="6"/>
    </row>
    <row r="1166" spans="4:28">
      <c r="D1166" s="16"/>
      <c r="I1166" s="3"/>
      <c r="K1166" s="15"/>
      <c r="L1166" s="15"/>
      <c r="M1166" s="15"/>
      <c r="AB1166" s="6"/>
    </row>
    <row r="1167" spans="4:28">
      <c r="D1167" s="16"/>
      <c r="I1167" s="3"/>
      <c r="K1167" s="15"/>
      <c r="L1167" s="15"/>
      <c r="M1167" s="15"/>
      <c r="AB1167" s="6"/>
    </row>
    <row r="1168" spans="4:28">
      <c r="D1168" s="16"/>
      <c r="I1168" s="3"/>
      <c r="K1168" s="15"/>
      <c r="L1168" s="15"/>
      <c r="M1168" s="15"/>
      <c r="AB1168" s="6"/>
    </row>
    <row r="1169" spans="4:28">
      <c r="D1169" s="16"/>
      <c r="I1169" s="3"/>
      <c r="K1169" s="15"/>
      <c r="L1169" s="15"/>
      <c r="M1169" s="15"/>
      <c r="AB1169" s="6"/>
    </row>
    <row r="1170" spans="4:28">
      <c r="D1170" s="16"/>
      <c r="I1170" s="3"/>
      <c r="K1170" s="15"/>
      <c r="L1170" s="15"/>
      <c r="M1170" s="15"/>
      <c r="AB1170" s="6"/>
    </row>
    <row r="1171" spans="4:28">
      <c r="D1171" s="16"/>
      <c r="I1171" s="3"/>
      <c r="K1171" s="15"/>
      <c r="L1171" s="15"/>
      <c r="M1171" s="15"/>
      <c r="AB1171" s="6"/>
    </row>
    <row r="1172" spans="4:28">
      <c r="D1172" s="16"/>
      <c r="I1172" s="3"/>
      <c r="K1172" s="15"/>
      <c r="L1172" s="15"/>
      <c r="M1172" s="15"/>
      <c r="AB1172" s="6"/>
    </row>
    <row r="1173" spans="4:28">
      <c r="D1173" s="16"/>
      <c r="I1173" s="3"/>
      <c r="K1173" s="15"/>
      <c r="L1173" s="15"/>
      <c r="M1173" s="15"/>
      <c r="AB1173" s="6"/>
    </row>
    <row r="1174" spans="4:28">
      <c r="D1174" s="16"/>
      <c r="I1174" s="3"/>
      <c r="K1174" s="15"/>
      <c r="L1174" s="15"/>
      <c r="M1174" s="15"/>
      <c r="AB1174" s="6"/>
    </row>
    <row r="1175" spans="4:28">
      <c r="D1175" s="16"/>
      <c r="I1175" s="3"/>
      <c r="K1175" s="15"/>
      <c r="L1175" s="15"/>
      <c r="M1175" s="15"/>
      <c r="AB1175" s="6"/>
    </row>
    <row r="1176" spans="4:28">
      <c r="D1176" s="16"/>
      <c r="I1176" s="3"/>
      <c r="K1176" s="15"/>
      <c r="L1176" s="15"/>
      <c r="M1176" s="15"/>
      <c r="AB1176" s="6"/>
    </row>
    <row r="1177" spans="4:28">
      <c r="D1177" s="16"/>
      <c r="I1177" s="3"/>
      <c r="K1177" s="15"/>
      <c r="L1177" s="15"/>
      <c r="M1177" s="15"/>
      <c r="AB1177" s="6"/>
    </row>
    <row r="1178" spans="4:28">
      <c r="D1178" s="16"/>
      <c r="I1178" s="3"/>
      <c r="K1178" s="15"/>
      <c r="L1178" s="15"/>
      <c r="M1178" s="15"/>
      <c r="AB1178" s="6"/>
    </row>
    <row r="1179" spans="4:28">
      <c r="D1179" s="16"/>
      <c r="I1179" s="3"/>
      <c r="K1179" s="15"/>
      <c r="L1179" s="15"/>
      <c r="M1179" s="15"/>
      <c r="AB1179" s="6"/>
    </row>
    <row r="1180" spans="4:28">
      <c r="D1180" s="16"/>
      <c r="I1180" s="3"/>
      <c r="K1180" s="15"/>
      <c r="L1180" s="15"/>
      <c r="M1180" s="15"/>
      <c r="AB1180" s="6"/>
    </row>
    <row r="1181" spans="4:28">
      <c r="D1181" s="16"/>
      <c r="I1181" s="3"/>
      <c r="K1181" s="15"/>
      <c r="L1181" s="15"/>
      <c r="M1181" s="15"/>
      <c r="AB1181" s="6"/>
    </row>
    <row r="1182" spans="4:28">
      <c r="D1182" s="16"/>
      <c r="I1182" s="3"/>
      <c r="K1182" s="15"/>
      <c r="L1182" s="15"/>
      <c r="M1182" s="15"/>
      <c r="AB1182" s="6"/>
    </row>
    <row r="1183" spans="4:28">
      <c r="D1183" s="16"/>
      <c r="I1183" s="3"/>
      <c r="K1183" s="15"/>
      <c r="L1183" s="15"/>
      <c r="M1183" s="15"/>
      <c r="AB1183" s="6"/>
    </row>
    <row r="1184" spans="4:28">
      <c r="D1184" s="16"/>
      <c r="I1184" s="3"/>
      <c r="K1184" s="15"/>
      <c r="L1184" s="15"/>
      <c r="M1184" s="15"/>
      <c r="AB1184" s="6"/>
    </row>
    <row r="1185" spans="4:28">
      <c r="D1185" s="16"/>
      <c r="I1185" s="3"/>
      <c r="K1185" s="15"/>
      <c r="L1185" s="15"/>
      <c r="M1185" s="15"/>
      <c r="AB1185" s="6"/>
    </row>
    <row r="1186" spans="4:28">
      <c r="D1186" s="16"/>
      <c r="I1186" s="3"/>
      <c r="K1186" s="15"/>
      <c r="L1186" s="15"/>
      <c r="M1186" s="15"/>
      <c r="AB1186" s="6"/>
    </row>
    <row r="1187" spans="4:28">
      <c r="D1187" s="16"/>
      <c r="I1187" s="3"/>
      <c r="K1187" s="15"/>
      <c r="L1187" s="15"/>
      <c r="M1187" s="15"/>
      <c r="AB1187" s="6"/>
    </row>
    <row r="1188" spans="4:28">
      <c r="D1188" s="16"/>
      <c r="I1188" s="3"/>
      <c r="K1188" s="15"/>
      <c r="L1188" s="15"/>
      <c r="M1188" s="15"/>
      <c r="AB1188" s="6"/>
    </row>
    <row r="1189" spans="4:28">
      <c r="D1189" s="16"/>
      <c r="I1189" s="3"/>
      <c r="K1189" s="15"/>
      <c r="L1189" s="15"/>
      <c r="M1189" s="15"/>
      <c r="AB1189" s="6"/>
    </row>
    <row r="1190" spans="4:28">
      <c r="D1190" s="16"/>
      <c r="I1190" s="3"/>
      <c r="K1190" s="15"/>
      <c r="L1190" s="15"/>
      <c r="M1190" s="15"/>
      <c r="AB1190" s="6"/>
    </row>
    <row r="1191" spans="4:28">
      <c r="D1191" s="16"/>
      <c r="I1191" s="3"/>
      <c r="K1191" s="15"/>
      <c r="L1191" s="15"/>
      <c r="M1191" s="15"/>
      <c r="AB1191" s="6"/>
    </row>
    <row r="1192" spans="4:28">
      <c r="D1192" s="16"/>
      <c r="I1192" s="3"/>
      <c r="K1192" s="15"/>
      <c r="L1192" s="15"/>
      <c r="M1192" s="15"/>
      <c r="AB1192" s="6"/>
    </row>
    <row r="1193" spans="4:28">
      <c r="D1193" s="16"/>
      <c r="I1193" s="3"/>
      <c r="K1193" s="15"/>
      <c r="L1193" s="15"/>
      <c r="M1193" s="15"/>
      <c r="AB1193" s="6"/>
    </row>
    <row r="1194" spans="4:28">
      <c r="D1194" s="16"/>
      <c r="I1194" s="3"/>
      <c r="K1194" s="15"/>
      <c r="L1194" s="15"/>
      <c r="M1194" s="15"/>
      <c r="AB1194" s="6"/>
    </row>
    <row r="1195" spans="4:28">
      <c r="D1195" s="16"/>
      <c r="I1195" s="3"/>
      <c r="K1195" s="15"/>
      <c r="L1195" s="15"/>
      <c r="M1195" s="15"/>
      <c r="AB1195" s="6"/>
    </row>
    <row r="1196" spans="4:28">
      <c r="D1196" s="16"/>
      <c r="I1196" s="3"/>
      <c r="K1196" s="15"/>
      <c r="L1196" s="15"/>
      <c r="M1196" s="15"/>
      <c r="AB1196" s="6"/>
    </row>
    <row r="1197" spans="4:28">
      <c r="D1197" s="16"/>
      <c r="I1197" s="3"/>
      <c r="K1197" s="15"/>
      <c r="L1197" s="15"/>
      <c r="M1197" s="15"/>
      <c r="AB1197" s="6"/>
    </row>
    <row r="1198" spans="4:28">
      <c r="D1198" s="16"/>
      <c r="I1198" s="3"/>
      <c r="K1198" s="15"/>
      <c r="L1198" s="15"/>
      <c r="M1198" s="15"/>
      <c r="AB1198" s="6"/>
    </row>
    <row r="1199" spans="4:28">
      <c r="D1199" s="16"/>
      <c r="I1199" s="3"/>
      <c r="K1199" s="15"/>
      <c r="L1199" s="15"/>
      <c r="M1199" s="15"/>
      <c r="AB1199" s="6"/>
    </row>
    <row r="1200" spans="4:28">
      <c r="D1200" s="16"/>
      <c r="I1200" s="3"/>
      <c r="K1200" s="15"/>
      <c r="L1200" s="15"/>
      <c r="M1200" s="15"/>
      <c r="AB1200" s="6"/>
    </row>
    <row r="1201" spans="4:28">
      <c r="D1201" s="16"/>
      <c r="I1201" s="3"/>
      <c r="K1201" s="15"/>
      <c r="L1201" s="15"/>
      <c r="M1201" s="15"/>
      <c r="AB1201" s="6"/>
    </row>
    <row r="1202" spans="4:28">
      <c r="D1202" s="16"/>
      <c r="I1202" s="3"/>
      <c r="K1202" s="15"/>
      <c r="L1202" s="15"/>
      <c r="M1202" s="15"/>
      <c r="AB1202" s="6"/>
    </row>
    <row r="1203" spans="4:28">
      <c r="D1203" s="16"/>
      <c r="I1203" s="3"/>
      <c r="K1203" s="15"/>
      <c r="L1203" s="15"/>
      <c r="M1203" s="15"/>
      <c r="AB1203" s="6"/>
    </row>
    <row r="1204" spans="4:28">
      <c r="D1204" s="16"/>
      <c r="I1204" s="3"/>
      <c r="K1204" s="15"/>
      <c r="L1204" s="15"/>
      <c r="M1204" s="15"/>
      <c r="AB1204" s="6"/>
    </row>
    <row r="1205" spans="4:28">
      <c r="D1205" s="16"/>
      <c r="I1205" s="3"/>
      <c r="K1205" s="15"/>
      <c r="L1205" s="15"/>
      <c r="M1205" s="15"/>
      <c r="AB1205" s="6"/>
    </row>
    <row r="1206" spans="4:28">
      <c r="D1206" s="16"/>
      <c r="I1206" s="3"/>
      <c r="K1206" s="15"/>
      <c r="L1206" s="15"/>
      <c r="M1206" s="15"/>
      <c r="AB1206" s="6"/>
    </row>
    <row r="1207" spans="4:28">
      <c r="D1207" s="16"/>
      <c r="I1207" s="3"/>
      <c r="K1207" s="15"/>
      <c r="L1207" s="15"/>
      <c r="M1207" s="15"/>
      <c r="AB1207" s="6"/>
    </row>
    <row r="1208" spans="4:28">
      <c r="D1208" s="16"/>
      <c r="I1208" s="3"/>
      <c r="K1208" s="15"/>
      <c r="L1208" s="15"/>
      <c r="M1208" s="15"/>
      <c r="AB1208" s="6"/>
    </row>
    <row r="1209" spans="4:28">
      <c r="D1209" s="16"/>
      <c r="I1209" s="3"/>
      <c r="K1209" s="15"/>
      <c r="L1209" s="15"/>
      <c r="M1209" s="15"/>
      <c r="AB1209" s="6"/>
    </row>
    <row r="1210" spans="4:28">
      <c r="D1210" s="16"/>
      <c r="I1210" s="3"/>
      <c r="K1210" s="15"/>
      <c r="L1210" s="15"/>
      <c r="M1210" s="15"/>
      <c r="AB1210" s="6"/>
    </row>
    <row r="1211" spans="4:28">
      <c r="D1211" s="16"/>
      <c r="I1211" s="3"/>
      <c r="K1211" s="15"/>
      <c r="L1211" s="15"/>
      <c r="M1211" s="15"/>
      <c r="AB1211" s="6"/>
    </row>
    <row r="1212" spans="4:28">
      <c r="D1212" s="16"/>
      <c r="I1212" s="3"/>
      <c r="K1212" s="15"/>
      <c r="L1212" s="15"/>
      <c r="M1212" s="15"/>
      <c r="AB1212" s="6"/>
    </row>
    <row r="1213" spans="4:28">
      <c r="D1213" s="16"/>
      <c r="I1213" s="3"/>
      <c r="K1213" s="15"/>
      <c r="L1213" s="15"/>
      <c r="M1213" s="15"/>
      <c r="AB1213" s="6"/>
    </row>
    <row r="1214" spans="4:28">
      <c r="D1214" s="16"/>
      <c r="I1214" s="3"/>
      <c r="K1214" s="15"/>
      <c r="L1214" s="15"/>
      <c r="M1214" s="15"/>
      <c r="AB1214" s="6"/>
    </row>
    <row r="1215" spans="4:28">
      <c r="D1215" s="16"/>
      <c r="I1215" s="3"/>
      <c r="K1215" s="15"/>
      <c r="L1215" s="15"/>
      <c r="M1215" s="15"/>
      <c r="AB1215" s="6"/>
    </row>
    <row r="1216" spans="4:28">
      <c r="D1216" s="16"/>
      <c r="I1216" s="3"/>
      <c r="K1216" s="15"/>
      <c r="L1216" s="15"/>
      <c r="M1216" s="15"/>
      <c r="AB1216" s="6"/>
    </row>
    <row r="1217" spans="4:28">
      <c r="D1217" s="16"/>
      <c r="I1217" s="3"/>
      <c r="K1217" s="15"/>
      <c r="L1217" s="15"/>
      <c r="M1217" s="15"/>
      <c r="AB1217" s="6"/>
    </row>
    <row r="1218" spans="4:28">
      <c r="D1218" s="16"/>
      <c r="I1218" s="3"/>
      <c r="K1218" s="15"/>
      <c r="L1218" s="15"/>
      <c r="M1218" s="15"/>
      <c r="AB1218" s="6"/>
    </row>
    <row r="1219" spans="4:28">
      <c r="D1219" s="16"/>
      <c r="I1219" s="3"/>
      <c r="K1219" s="15"/>
      <c r="L1219" s="15"/>
      <c r="M1219" s="15"/>
      <c r="AB1219" s="6"/>
    </row>
    <row r="1220" spans="4:28">
      <c r="D1220" s="16"/>
      <c r="I1220" s="3"/>
      <c r="K1220" s="15"/>
      <c r="L1220" s="15"/>
      <c r="M1220" s="15"/>
      <c r="AB1220" s="6"/>
    </row>
    <row r="1221" spans="4:28">
      <c r="D1221" s="16"/>
      <c r="I1221" s="3"/>
      <c r="K1221" s="15"/>
      <c r="L1221" s="15"/>
      <c r="M1221" s="15"/>
      <c r="AB1221" s="6"/>
    </row>
    <row r="1222" spans="4:28">
      <c r="D1222" s="16"/>
      <c r="I1222" s="3"/>
      <c r="K1222" s="15"/>
      <c r="L1222" s="15"/>
      <c r="M1222" s="15"/>
      <c r="AB1222" s="6"/>
    </row>
    <row r="1223" spans="4:28">
      <c r="D1223" s="16"/>
      <c r="I1223" s="3"/>
      <c r="K1223" s="15"/>
      <c r="L1223" s="15"/>
      <c r="M1223" s="15"/>
      <c r="AB1223" s="6"/>
    </row>
    <row r="1224" spans="4:28">
      <c r="D1224" s="16"/>
      <c r="I1224" s="3"/>
      <c r="K1224" s="15"/>
      <c r="L1224" s="15"/>
      <c r="M1224" s="15"/>
      <c r="AB1224" s="6"/>
    </row>
    <row r="1225" spans="4:28">
      <c r="D1225" s="16"/>
      <c r="I1225" s="3"/>
      <c r="K1225" s="15"/>
      <c r="L1225" s="15"/>
      <c r="M1225" s="15"/>
      <c r="AB1225" s="6"/>
    </row>
    <row r="1226" spans="4:28">
      <c r="D1226" s="16"/>
      <c r="I1226" s="3"/>
      <c r="K1226" s="15"/>
      <c r="L1226" s="15"/>
      <c r="M1226" s="15"/>
      <c r="AB1226" s="6"/>
    </row>
    <row r="1227" spans="4:28">
      <c r="D1227" s="16"/>
      <c r="I1227" s="3"/>
      <c r="K1227" s="15"/>
      <c r="L1227" s="15"/>
      <c r="M1227" s="15"/>
      <c r="AB1227" s="6"/>
    </row>
    <row r="1228" spans="4:28">
      <c r="D1228" s="16"/>
      <c r="I1228" s="3"/>
      <c r="K1228" s="15"/>
      <c r="L1228" s="15"/>
      <c r="M1228" s="15"/>
      <c r="AB1228" s="6"/>
    </row>
    <row r="1229" spans="4:28">
      <c r="D1229" s="16"/>
      <c r="I1229" s="3"/>
      <c r="K1229" s="15"/>
      <c r="L1229" s="15"/>
      <c r="M1229" s="15"/>
      <c r="AB1229" s="6"/>
    </row>
    <row r="1230" spans="4:28">
      <c r="D1230" s="16"/>
      <c r="I1230" s="3"/>
      <c r="K1230" s="15"/>
      <c r="L1230" s="15"/>
      <c r="M1230" s="15"/>
      <c r="AB1230" s="6"/>
    </row>
    <row r="1231" spans="4:28">
      <c r="D1231" s="16"/>
      <c r="I1231" s="3"/>
      <c r="K1231" s="15"/>
      <c r="L1231" s="15"/>
      <c r="M1231" s="15"/>
      <c r="AB1231" s="6"/>
    </row>
    <row r="1232" spans="4:28">
      <c r="D1232" s="16"/>
      <c r="I1232" s="3"/>
      <c r="K1232" s="15"/>
      <c r="L1232" s="15"/>
      <c r="M1232" s="15"/>
      <c r="AB1232" s="6"/>
    </row>
    <row r="1233" spans="4:28">
      <c r="D1233" s="16"/>
      <c r="I1233" s="3"/>
      <c r="K1233" s="15"/>
      <c r="L1233" s="15"/>
      <c r="M1233" s="15"/>
      <c r="AB1233" s="6"/>
    </row>
    <row r="1234" spans="4:28">
      <c r="D1234" s="16"/>
      <c r="I1234" s="3"/>
      <c r="K1234" s="15"/>
      <c r="L1234" s="15"/>
      <c r="M1234" s="15"/>
      <c r="AB1234" s="6"/>
    </row>
    <row r="1235" spans="4:28">
      <c r="D1235" s="16"/>
      <c r="I1235" s="3"/>
      <c r="K1235" s="15"/>
      <c r="L1235" s="15"/>
      <c r="M1235" s="15"/>
      <c r="AB1235" s="6"/>
    </row>
    <row r="1236" spans="4:28">
      <c r="D1236" s="16"/>
      <c r="I1236" s="3"/>
      <c r="K1236" s="15"/>
      <c r="L1236" s="15"/>
      <c r="M1236" s="15"/>
      <c r="AB1236" s="6"/>
    </row>
    <row r="1237" spans="4:28">
      <c r="D1237" s="16"/>
      <c r="I1237" s="3"/>
      <c r="K1237" s="15"/>
      <c r="L1237" s="15"/>
      <c r="M1237" s="15"/>
      <c r="AB1237" s="6"/>
    </row>
    <row r="1238" spans="4:28">
      <c r="D1238" s="16"/>
      <c r="I1238" s="3"/>
      <c r="K1238" s="15"/>
      <c r="L1238" s="15"/>
      <c r="M1238" s="15"/>
      <c r="AB1238" s="6"/>
    </row>
    <row r="1239" spans="4:28">
      <c r="D1239" s="16"/>
      <c r="I1239" s="3"/>
      <c r="K1239" s="15"/>
      <c r="L1239" s="15"/>
      <c r="M1239" s="15"/>
      <c r="AB1239" s="6"/>
    </row>
    <row r="1240" spans="4:28">
      <c r="D1240" s="16"/>
      <c r="I1240" s="3"/>
      <c r="K1240" s="15"/>
      <c r="L1240" s="15"/>
      <c r="M1240" s="15"/>
      <c r="AB1240" s="6"/>
    </row>
    <row r="1241" spans="4:28">
      <c r="D1241" s="16"/>
      <c r="I1241" s="3"/>
      <c r="K1241" s="15"/>
      <c r="L1241" s="15"/>
      <c r="M1241" s="15"/>
      <c r="AB1241" s="6"/>
    </row>
    <row r="1242" spans="4:28">
      <c r="D1242" s="16"/>
      <c r="I1242" s="3"/>
      <c r="K1242" s="15"/>
      <c r="L1242" s="15"/>
      <c r="M1242" s="15"/>
      <c r="AB1242" s="6"/>
    </row>
    <row r="1243" spans="4:28">
      <c r="D1243" s="16"/>
      <c r="I1243" s="3"/>
      <c r="K1243" s="15"/>
      <c r="L1243" s="15"/>
      <c r="M1243" s="15"/>
      <c r="AB1243" s="6"/>
    </row>
    <row r="1244" spans="4:28">
      <c r="D1244" s="16"/>
      <c r="I1244" s="3"/>
      <c r="K1244" s="15"/>
      <c r="L1244" s="15"/>
      <c r="M1244" s="15"/>
      <c r="AB1244" s="6"/>
    </row>
    <row r="1245" spans="4:28">
      <c r="D1245" s="16"/>
      <c r="I1245" s="3"/>
      <c r="K1245" s="15"/>
      <c r="L1245" s="15"/>
      <c r="M1245" s="15"/>
      <c r="AB1245" s="6"/>
    </row>
    <row r="1246" spans="4:28">
      <c r="D1246" s="16"/>
      <c r="I1246" s="3"/>
      <c r="K1246" s="15"/>
      <c r="L1246" s="15"/>
      <c r="M1246" s="15"/>
      <c r="AB1246" s="6"/>
    </row>
    <row r="1247" spans="4:28">
      <c r="D1247" s="16"/>
      <c r="I1247" s="3"/>
      <c r="K1247" s="15"/>
      <c r="L1247" s="15"/>
      <c r="M1247" s="15"/>
      <c r="AB1247" s="6"/>
    </row>
    <row r="1248" spans="4:28">
      <c r="D1248" s="16"/>
      <c r="I1248" s="3"/>
      <c r="K1248" s="15"/>
      <c r="L1248" s="15"/>
      <c r="M1248" s="15"/>
      <c r="AB1248" s="6"/>
    </row>
    <row r="1249" spans="4:28">
      <c r="D1249" s="16"/>
      <c r="I1249" s="3"/>
      <c r="K1249" s="15"/>
      <c r="L1249" s="15"/>
      <c r="M1249" s="15"/>
      <c r="AB1249" s="6"/>
    </row>
    <row r="1250" spans="4:28">
      <c r="D1250" s="16"/>
      <c r="I1250" s="3"/>
      <c r="K1250" s="15"/>
      <c r="L1250" s="15"/>
      <c r="M1250" s="15"/>
      <c r="AB1250" s="6"/>
    </row>
    <row r="1251" spans="4:28">
      <c r="D1251" s="16"/>
      <c r="I1251" s="3"/>
      <c r="K1251" s="15"/>
      <c r="L1251" s="15"/>
      <c r="M1251" s="15"/>
      <c r="AB1251" s="6"/>
    </row>
    <row r="1252" spans="4:28">
      <c r="D1252" s="16"/>
      <c r="I1252" s="3"/>
      <c r="K1252" s="15"/>
      <c r="L1252" s="15"/>
      <c r="M1252" s="15"/>
      <c r="AB1252" s="6"/>
    </row>
    <row r="1253" spans="4:28">
      <c r="D1253" s="16"/>
      <c r="I1253" s="3"/>
      <c r="K1253" s="15"/>
      <c r="L1253" s="15"/>
      <c r="M1253" s="15"/>
      <c r="AB1253" s="6"/>
    </row>
    <row r="1254" spans="4:28">
      <c r="D1254" s="16"/>
      <c r="I1254" s="3"/>
      <c r="K1254" s="15"/>
      <c r="L1254" s="15"/>
      <c r="M1254" s="15"/>
      <c r="AB1254" s="6"/>
    </row>
    <row r="1255" spans="4:28">
      <c r="D1255" s="16"/>
      <c r="I1255" s="3"/>
      <c r="K1255" s="15"/>
      <c r="L1255" s="15"/>
      <c r="M1255" s="15"/>
      <c r="AB1255" s="6"/>
    </row>
    <row r="1256" spans="4:28">
      <c r="D1256" s="16"/>
      <c r="I1256" s="3"/>
      <c r="K1256" s="15"/>
      <c r="L1256" s="15"/>
      <c r="M1256" s="15"/>
      <c r="AB1256" s="6"/>
    </row>
    <row r="1257" spans="4:28">
      <c r="D1257" s="16"/>
      <c r="I1257" s="3"/>
      <c r="K1257" s="15"/>
      <c r="L1257" s="15"/>
      <c r="M1257" s="15"/>
      <c r="AB1257" s="6"/>
    </row>
    <row r="1258" spans="4:28">
      <c r="D1258" s="16"/>
      <c r="I1258" s="3"/>
      <c r="K1258" s="15"/>
      <c r="L1258" s="15"/>
      <c r="M1258" s="15"/>
      <c r="AB1258" s="6"/>
    </row>
    <row r="1259" spans="4:28">
      <c r="D1259" s="16"/>
      <c r="I1259" s="3"/>
      <c r="K1259" s="15"/>
      <c r="L1259" s="15"/>
      <c r="M1259" s="15"/>
      <c r="AB1259" s="6"/>
    </row>
    <row r="1260" spans="4:28">
      <c r="D1260" s="16"/>
      <c r="I1260" s="3"/>
      <c r="K1260" s="15"/>
      <c r="L1260" s="15"/>
      <c r="M1260" s="15"/>
      <c r="AB1260" s="6"/>
    </row>
    <row r="1261" spans="4:28">
      <c r="D1261" s="16"/>
      <c r="I1261" s="3"/>
      <c r="K1261" s="15"/>
      <c r="L1261" s="15"/>
      <c r="M1261" s="15"/>
      <c r="AB1261" s="6"/>
    </row>
    <row r="1262" spans="4:28">
      <c r="D1262" s="16"/>
      <c r="I1262" s="3"/>
      <c r="K1262" s="15"/>
      <c r="L1262" s="15"/>
      <c r="M1262" s="15"/>
      <c r="AB1262" s="6"/>
    </row>
    <row r="1263" spans="4:28">
      <c r="D1263" s="16"/>
      <c r="I1263" s="3"/>
      <c r="K1263" s="15"/>
      <c r="L1263" s="15"/>
      <c r="M1263" s="15"/>
      <c r="AB1263" s="6"/>
    </row>
    <row r="1264" spans="4:28">
      <c r="D1264" s="16"/>
      <c r="I1264" s="3"/>
      <c r="K1264" s="15"/>
      <c r="L1264" s="15"/>
      <c r="M1264" s="15"/>
      <c r="AB1264" s="6"/>
    </row>
    <row r="1265" spans="4:28">
      <c r="D1265" s="16"/>
      <c r="I1265" s="3"/>
      <c r="K1265" s="15"/>
      <c r="L1265" s="15"/>
      <c r="M1265" s="15"/>
      <c r="AB1265" s="6"/>
    </row>
    <row r="1266" spans="4:28">
      <c r="D1266" s="16"/>
      <c r="I1266" s="3"/>
      <c r="K1266" s="15"/>
      <c r="L1266" s="15"/>
      <c r="M1266" s="15"/>
      <c r="AB1266" s="6"/>
    </row>
    <row r="1267" spans="4:28">
      <c r="D1267" s="16"/>
      <c r="I1267" s="3"/>
      <c r="K1267" s="15"/>
      <c r="L1267" s="15"/>
      <c r="M1267" s="15"/>
      <c r="AB1267" s="6"/>
    </row>
    <row r="1268" spans="4:28">
      <c r="D1268" s="16"/>
      <c r="I1268" s="3"/>
      <c r="K1268" s="15"/>
      <c r="L1268" s="15"/>
      <c r="M1268" s="15"/>
      <c r="AB1268" s="6"/>
    </row>
    <row r="1269" spans="4:28">
      <c r="D1269" s="16"/>
      <c r="I1269" s="3"/>
      <c r="K1269" s="15"/>
      <c r="L1269" s="15"/>
      <c r="M1269" s="15"/>
      <c r="AB1269" s="6"/>
    </row>
    <row r="1270" spans="4:28">
      <c r="D1270" s="16"/>
      <c r="I1270" s="3"/>
      <c r="K1270" s="15"/>
      <c r="L1270" s="15"/>
      <c r="M1270" s="15"/>
      <c r="AB1270" s="6"/>
    </row>
    <row r="1271" spans="4:28">
      <c r="D1271" s="16"/>
      <c r="I1271" s="3"/>
      <c r="K1271" s="15"/>
      <c r="L1271" s="15"/>
      <c r="M1271" s="15"/>
      <c r="AB1271" s="6"/>
    </row>
    <row r="1272" spans="4:28">
      <c r="D1272" s="16"/>
      <c r="I1272" s="3"/>
      <c r="K1272" s="15"/>
      <c r="L1272" s="15"/>
      <c r="M1272" s="15"/>
      <c r="AB1272" s="6"/>
    </row>
    <row r="1273" spans="4:28">
      <c r="D1273" s="16"/>
      <c r="I1273" s="3"/>
      <c r="K1273" s="15"/>
      <c r="L1273" s="15"/>
      <c r="M1273" s="15"/>
      <c r="AB1273" s="6"/>
    </row>
    <row r="1274" spans="4:28">
      <c r="D1274" s="16"/>
      <c r="I1274" s="3"/>
      <c r="K1274" s="15"/>
      <c r="L1274" s="15"/>
      <c r="M1274" s="15"/>
      <c r="AB1274" s="6"/>
    </row>
    <row r="1275" spans="4:28">
      <c r="D1275" s="16"/>
      <c r="I1275" s="3"/>
      <c r="K1275" s="15"/>
      <c r="L1275" s="15"/>
      <c r="M1275" s="15"/>
      <c r="AB1275" s="6"/>
    </row>
    <row r="1276" spans="4:28">
      <c r="D1276" s="16"/>
      <c r="I1276" s="3"/>
      <c r="K1276" s="15"/>
      <c r="L1276" s="15"/>
      <c r="M1276" s="15"/>
      <c r="AB1276" s="6"/>
    </row>
    <row r="1277" spans="4:28">
      <c r="D1277" s="16"/>
      <c r="I1277" s="3"/>
      <c r="K1277" s="15"/>
      <c r="L1277" s="15"/>
      <c r="M1277" s="15"/>
      <c r="AB1277" s="6"/>
    </row>
    <row r="1278" spans="4:28">
      <c r="D1278" s="16"/>
      <c r="I1278" s="3"/>
      <c r="K1278" s="15"/>
      <c r="L1278" s="15"/>
      <c r="M1278" s="15"/>
      <c r="AB1278" s="6"/>
    </row>
    <row r="1279" spans="4:28">
      <c r="D1279" s="16"/>
      <c r="I1279" s="3"/>
      <c r="K1279" s="15"/>
      <c r="L1279" s="15"/>
      <c r="M1279" s="15"/>
      <c r="AB1279" s="6"/>
    </row>
    <row r="1280" spans="4:28">
      <c r="D1280" s="16"/>
      <c r="I1280" s="3"/>
      <c r="K1280" s="15"/>
      <c r="L1280" s="15"/>
      <c r="M1280" s="15"/>
      <c r="AB1280" s="6"/>
    </row>
    <row r="1281" spans="4:28">
      <c r="D1281" s="16"/>
      <c r="I1281" s="3"/>
      <c r="K1281" s="15"/>
      <c r="L1281" s="15"/>
      <c r="M1281" s="15"/>
      <c r="AB1281" s="6"/>
    </row>
    <row r="1282" spans="4:28">
      <c r="D1282" s="16"/>
      <c r="I1282" s="3"/>
      <c r="K1282" s="15"/>
      <c r="L1282" s="15"/>
      <c r="M1282" s="15"/>
      <c r="AB1282" s="6"/>
    </row>
    <row r="1283" spans="4:28">
      <c r="D1283" s="16"/>
      <c r="I1283" s="3"/>
      <c r="K1283" s="15"/>
      <c r="L1283" s="15"/>
      <c r="M1283" s="15"/>
      <c r="AB1283" s="6"/>
    </row>
    <row r="1284" spans="4:28">
      <c r="D1284" s="16"/>
      <c r="I1284" s="3"/>
      <c r="K1284" s="15"/>
      <c r="L1284" s="15"/>
      <c r="M1284" s="15"/>
      <c r="AB1284" s="6"/>
    </row>
    <row r="1285" spans="4:28">
      <c r="D1285" s="16"/>
      <c r="I1285" s="3"/>
      <c r="K1285" s="15"/>
      <c r="L1285" s="15"/>
      <c r="M1285" s="15"/>
      <c r="AB1285" s="6"/>
    </row>
    <row r="1286" spans="4:28">
      <c r="D1286" s="16"/>
      <c r="I1286" s="3"/>
      <c r="K1286" s="15"/>
      <c r="L1286" s="15"/>
      <c r="M1286" s="15"/>
      <c r="AB1286" s="6"/>
    </row>
    <row r="1287" spans="4:28">
      <c r="D1287" s="16"/>
      <c r="I1287" s="3"/>
      <c r="K1287" s="15"/>
      <c r="L1287" s="15"/>
      <c r="M1287" s="15"/>
      <c r="AB1287" s="6"/>
    </row>
    <row r="1288" spans="4:28">
      <c r="D1288" s="16"/>
      <c r="I1288" s="3"/>
      <c r="K1288" s="15"/>
      <c r="L1288" s="15"/>
      <c r="M1288" s="15"/>
      <c r="AB1288" s="6"/>
    </row>
    <row r="1289" spans="4:28">
      <c r="D1289" s="16"/>
      <c r="I1289" s="3"/>
      <c r="K1289" s="15"/>
      <c r="L1289" s="15"/>
      <c r="M1289" s="15"/>
      <c r="AB1289" s="6"/>
    </row>
    <row r="1290" spans="4:28">
      <c r="D1290" s="16"/>
      <c r="I1290" s="3"/>
      <c r="K1290" s="15"/>
      <c r="L1290" s="15"/>
      <c r="M1290" s="15"/>
      <c r="AB1290" s="6"/>
    </row>
    <row r="1291" spans="4:28">
      <c r="D1291" s="16"/>
      <c r="I1291" s="3"/>
      <c r="K1291" s="15"/>
      <c r="L1291" s="15"/>
      <c r="M1291" s="15"/>
      <c r="AB1291" s="6"/>
    </row>
    <row r="1292" spans="4:28">
      <c r="D1292" s="16"/>
      <c r="I1292" s="3"/>
      <c r="K1292" s="15"/>
      <c r="L1292" s="15"/>
      <c r="M1292" s="15"/>
      <c r="AB1292" s="6"/>
    </row>
    <row r="1293" spans="4:28">
      <c r="D1293" s="16"/>
      <c r="I1293" s="3"/>
      <c r="K1293" s="15"/>
      <c r="L1293" s="15"/>
      <c r="M1293" s="15"/>
      <c r="AB1293" s="6"/>
    </row>
    <row r="1294" spans="4:28">
      <c r="D1294" s="16"/>
      <c r="I1294" s="3"/>
      <c r="K1294" s="15"/>
      <c r="L1294" s="15"/>
      <c r="M1294" s="15"/>
      <c r="AB1294" s="6"/>
    </row>
    <row r="1295" spans="4:28">
      <c r="D1295" s="16"/>
      <c r="I1295" s="3"/>
      <c r="K1295" s="15"/>
      <c r="L1295" s="15"/>
      <c r="M1295" s="15"/>
      <c r="AB1295" s="6"/>
    </row>
    <row r="1296" spans="4:28">
      <c r="D1296" s="16"/>
      <c r="I1296" s="3"/>
      <c r="K1296" s="15"/>
      <c r="L1296" s="15"/>
      <c r="M1296" s="15"/>
      <c r="AB1296" s="6"/>
    </row>
    <row r="1297" spans="4:28">
      <c r="D1297" s="16"/>
      <c r="I1297" s="3"/>
      <c r="K1297" s="15"/>
      <c r="L1297" s="15"/>
      <c r="M1297" s="15"/>
      <c r="AB1297" s="6"/>
    </row>
    <row r="1298" spans="4:28">
      <c r="D1298" s="16"/>
      <c r="I1298" s="3"/>
      <c r="K1298" s="15"/>
      <c r="L1298" s="15"/>
      <c r="M1298" s="15"/>
      <c r="AB1298" s="6"/>
    </row>
    <row r="1299" spans="4:28">
      <c r="D1299" s="16"/>
      <c r="I1299" s="3"/>
      <c r="K1299" s="15"/>
      <c r="L1299" s="15"/>
      <c r="M1299" s="15"/>
      <c r="AB1299" s="6"/>
    </row>
    <row r="1300" spans="4:28">
      <c r="D1300" s="16"/>
      <c r="I1300" s="3"/>
      <c r="K1300" s="15"/>
      <c r="L1300" s="15"/>
      <c r="M1300" s="15"/>
    </row>
    <row r="1301" spans="4:28">
      <c r="D1301" s="16"/>
      <c r="I1301" s="3"/>
      <c r="K1301" s="15"/>
      <c r="L1301" s="15"/>
      <c r="M1301" s="15"/>
    </row>
    <row r="1302" spans="4:28">
      <c r="D1302" s="16"/>
      <c r="I1302" s="3"/>
      <c r="K1302" s="15"/>
      <c r="L1302" s="15"/>
      <c r="M1302" s="15"/>
    </row>
    <row r="1303" spans="4:28">
      <c r="D1303" s="16"/>
      <c r="I1303" s="3"/>
      <c r="K1303" s="15"/>
      <c r="L1303" s="15"/>
      <c r="M1303" s="15"/>
    </row>
    <row r="1304" spans="4:28">
      <c r="D1304" s="16"/>
      <c r="I1304" s="3"/>
      <c r="K1304" s="15"/>
      <c r="L1304" s="15"/>
      <c r="M1304" s="15"/>
    </row>
    <row r="1305" spans="4:28">
      <c r="D1305" s="16"/>
      <c r="I1305" s="3"/>
      <c r="K1305" s="15"/>
      <c r="L1305" s="15"/>
      <c r="M1305" s="15"/>
    </row>
    <row r="1306" spans="4:28">
      <c r="D1306" s="16"/>
      <c r="I1306" s="3"/>
      <c r="K1306" s="15"/>
      <c r="L1306" s="15"/>
      <c r="M1306" s="15"/>
    </row>
    <row r="1307" spans="4:28">
      <c r="D1307" s="16"/>
    </row>
    <row r="1308" spans="4:28">
      <c r="D1308" s="16"/>
    </row>
    <row r="1309" spans="4:28">
      <c r="D1309" s="16"/>
    </row>
    <row r="1310" spans="4:28">
      <c r="D1310" s="16"/>
    </row>
    <row r="1311" spans="4:28">
      <c r="D1311" s="16"/>
    </row>
    <row r="1312" spans="4:28">
      <c r="D1312" s="16"/>
    </row>
    <row r="1313" spans="4:4">
      <c r="D1313" s="16"/>
    </row>
    <row r="1314" spans="4:4">
      <c r="D1314" s="16"/>
    </row>
    <row r="1315" spans="4:4">
      <c r="D1315" s="16"/>
    </row>
    <row r="1316" spans="4:4">
      <c r="D1316" s="16"/>
    </row>
    <row r="1317" spans="4:4">
      <c r="D1317" s="16"/>
    </row>
    <row r="1318" spans="4:4">
      <c r="D1318" s="16"/>
    </row>
    <row r="1319" spans="4:4">
      <c r="D1319" s="16"/>
    </row>
    <row r="1320" spans="4:4">
      <c r="D1320" s="16"/>
    </row>
    <row r="1321" spans="4:4">
      <c r="D1321" s="16"/>
    </row>
    <row r="1322" spans="4:4">
      <c r="D1322" s="16"/>
    </row>
    <row r="1323" spans="4:4">
      <c r="D1323" s="16"/>
    </row>
    <row r="1324" spans="4:4">
      <c r="D1324" s="16"/>
    </row>
    <row r="1325" spans="4:4">
      <c r="D1325" s="16"/>
    </row>
    <row r="1326" spans="4:4">
      <c r="D1326" s="16"/>
    </row>
    <row r="1327" spans="4:4">
      <c r="D1327" s="16"/>
    </row>
    <row r="1328" spans="4:4">
      <c r="D1328" s="16"/>
    </row>
    <row r="1329" spans="4:4">
      <c r="D1329" s="16"/>
    </row>
    <row r="1330" spans="4:4">
      <c r="D1330" s="16"/>
    </row>
    <row r="1331" spans="4:4">
      <c r="D1331" s="16"/>
    </row>
    <row r="1332" spans="4:4">
      <c r="D1332" s="16"/>
    </row>
    <row r="1333" spans="4:4">
      <c r="D1333" s="16"/>
    </row>
    <row r="1334" spans="4:4">
      <c r="D1334" s="16"/>
    </row>
    <row r="1335" spans="4:4">
      <c r="D1335" s="16"/>
    </row>
    <row r="1336" spans="4:4">
      <c r="D1336" s="16"/>
    </row>
    <row r="1337" spans="4:4">
      <c r="D1337" s="16"/>
    </row>
    <row r="1338" spans="4:4">
      <c r="D1338" s="16"/>
    </row>
    <row r="1339" spans="4:4">
      <c r="D1339" s="16"/>
    </row>
    <row r="1340" spans="4:4">
      <c r="D1340" s="16"/>
    </row>
    <row r="1341" spans="4:4">
      <c r="D1341" s="16"/>
    </row>
    <row r="1342" spans="4:4">
      <c r="D1342" s="16"/>
    </row>
    <row r="1343" spans="4:4">
      <c r="D1343" s="16"/>
    </row>
    <row r="1344" spans="4:4">
      <c r="D1344" s="16"/>
    </row>
    <row r="1345" spans="4:4">
      <c r="D1345" s="16"/>
    </row>
    <row r="1346" spans="4:4">
      <c r="D1346" s="16"/>
    </row>
    <row r="1347" spans="4:4">
      <c r="D1347" s="16"/>
    </row>
    <row r="1348" spans="4:4">
      <c r="D1348" s="16"/>
    </row>
    <row r="1349" spans="4:4">
      <c r="D1349" s="16"/>
    </row>
    <row r="1350" spans="4:4">
      <c r="D1350" s="16"/>
    </row>
    <row r="1351" spans="4:4">
      <c r="D1351" s="16"/>
    </row>
    <row r="1352" spans="4:4">
      <c r="D1352" s="16"/>
    </row>
    <row r="1353" spans="4:4">
      <c r="D1353" s="16"/>
    </row>
    <row r="1354" spans="4:4">
      <c r="D1354" s="16"/>
    </row>
    <row r="1355" spans="4:4">
      <c r="D1355" s="16"/>
    </row>
    <row r="1356" spans="4:4">
      <c r="D1356" s="16"/>
    </row>
    <row r="1357" spans="4:4">
      <c r="D1357" s="16"/>
    </row>
    <row r="1358" spans="4:4">
      <c r="D1358" s="16"/>
    </row>
    <row r="1359" spans="4:4">
      <c r="D1359" s="16"/>
    </row>
    <row r="1360" spans="4:4">
      <c r="D1360" s="16"/>
    </row>
    <row r="1361" spans="4:4">
      <c r="D1361" s="16"/>
    </row>
    <row r="1362" spans="4:4">
      <c r="D1362" s="16"/>
    </row>
    <row r="1363" spans="4:4">
      <c r="D1363" s="16"/>
    </row>
    <row r="1364" spans="4:4">
      <c r="D1364" s="16"/>
    </row>
    <row r="1365" spans="4:4">
      <c r="D1365" s="16"/>
    </row>
    <row r="1366" spans="4:4">
      <c r="D1366" s="16"/>
    </row>
    <row r="1367" spans="4:4">
      <c r="D1367" s="16"/>
    </row>
    <row r="1368" spans="4:4">
      <c r="D1368" s="16"/>
    </row>
    <row r="1369" spans="4:4">
      <c r="D1369" s="16"/>
    </row>
    <row r="1370" spans="4:4">
      <c r="D1370" s="16"/>
    </row>
    <row r="1371" spans="4:4">
      <c r="D1371" s="16"/>
    </row>
    <row r="1372" spans="4:4">
      <c r="D1372" s="16"/>
    </row>
    <row r="1373" spans="4:4">
      <c r="D1373" s="16"/>
    </row>
    <row r="1374" spans="4:4">
      <c r="D1374" s="16"/>
    </row>
    <row r="1375" spans="4:4">
      <c r="D1375" s="16"/>
    </row>
    <row r="1376" spans="4:4">
      <c r="D1376" s="16"/>
    </row>
    <row r="1377" spans="4:4">
      <c r="D1377" s="16"/>
    </row>
    <row r="1378" spans="4:4">
      <c r="D1378" s="16"/>
    </row>
    <row r="1379" spans="4:4">
      <c r="D1379" s="16"/>
    </row>
    <row r="1380" spans="4:4">
      <c r="D1380" s="16"/>
    </row>
    <row r="1381" spans="4:4">
      <c r="D1381" s="16"/>
    </row>
    <row r="1382" spans="4:4">
      <c r="D1382" s="16"/>
    </row>
    <row r="1383" spans="4:4">
      <c r="D1383" s="16"/>
    </row>
    <row r="1384" spans="4:4">
      <c r="D1384" s="16"/>
    </row>
    <row r="1385" spans="4:4">
      <c r="D1385" s="16"/>
    </row>
    <row r="1386" spans="4:4">
      <c r="D1386" s="16"/>
    </row>
    <row r="1387" spans="4:4">
      <c r="D1387" s="16"/>
    </row>
    <row r="1388" spans="4:4">
      <c r="D1388" s="16"/>
    </row>
    <row r="1389" spans="4:4">
      <c r="D1389" s="16"/>
    </row>
    <row r="1390" spans="4:4">
      <c r="D1390" s="16"/>
    </row>
    <row r="1391" spans="4:4">
      <c r="D1391" s="16"/>
    </row>
    <row r="1392" spans="4:4">
      <c r="D1392" s="16"/>
    </row>
    <row r="1393" spans="4:4">
      <c r="D1393" s="16"/>
    </row>
    <row r="1394" spans="4:4">
      <c r="D1394" s="16"/>
    </row>
    <row r="1395" spans="4:4">
      <c r="D1395" s="16"/>
    </row>
    <row r="1396" spans="4:4">
      <c r="D1396" s="16"/>
    </row>
    <row r="1397" spans="4:4">
      <c r="D1397" s="16"/>
    </row>
    <row r="1398" spans="4:4">
      <c r="D1398" s="16"/>
    </row>
    <row r="1399" spans="4:4">
      <c r="D1399" s="16"/>
    </row>
    <row r="1400" spans="4:4">
      <c r="D1400" s="16"/>
    </row>
    <row r="1401" spans="4:4">
      <c r="D1401" s="16"/>
    </row>
    <row r="1402" spans="4:4">
      <c r="D1402" s="16"/>
    </row>
    <row r="1403" spans="4:4">
      <c r="D1403" s="16"/>
    </row>
    <row r="1404" spans="4:4">
      <c r="D1404" s="16"/>
    </row>
    <row r="1405" spans="4:4">
      <c r="D1405" s="16"/>
    </row>
    <row r="1406" spans="4:4">
      <c r="D1406" s="16"/>
    </row>
    <row r="1407" spans="4:4">
      <c r="D1407" s="16"/>
    </row>
    <row r="1408" spans="4:4">
      <c r="D1408" s="16"/>
    </row>
    <row r="1409" spans="4:4">
      <c r="D1409" s="16"/>
    </row>
    <row r="1410" spans="4:4">
      <c r="D1410" s="16"/>
    </row>
    <row r="1411" spans="4:4">
      <c r="D1411" s="16"/>
    </row>
    <row r="1412" spans="4:4">
      <c r="D1412" s="16"/>
    </row>
    <row r="1413" spans="4:4">
      <c r="D1413" s="16"/>
    </row>
    <row r="1414" spans="4:4">
      <c r="D1414" s="16"/>
    </row>
    <row r="1415" spans="4:4">
      <c r="D1415" s="16"/>
    </row>
    <row r="1416" spans="4:4">
      <c r="D1416" s="16"/>
    </row>
    <row r="1417" spans="4:4">
      <c r="D1417" s="16"/>
    </row>
    <row r="1418" spans="4:4">
      <c r="D1418" s="16"/>
    </row>
    <row r="1419" spans="4:4">
      <c r="D1419" s="16"/>
    </row>
    <row r="1420" spans="4:4">
      <c r="D1420" s="16"/>
    </row>
    <row r="1421" spans="4:4">
      <c r="D1421" s="16"/>
    </row>
    <row r="1422" spans="4:4">
      <c r="D1422" s="16"/>
    </row>
    <row r="1423" spans="4:4">
      <c r="D1423" s="16"/>
    </row>
    <row r="1424" spans="4:4">
      <c r="D1424" s="16"/>
    </row>
    <row r="1425" spans="4:4">
      <c r="D1425" s="16"/>
    </row>
    <row r="1426" spans="4:4">
      <c r="D1426" s="16"/>
    </row>
    <row r="1427" spans="4:4">
      <c r="D1427" s="16"/>
    </row>
    <row r="1428" spans="4:4">
      <c r="D1428" s="16"/>
    </row>
    <row r="1429" spans="4:4">
      <c r="D1429" s="16"/>
    </row>
    <row r="1430" spans="4:4">
      <c r="D1430" s="16"/>
    </row>
    <row r="1431" spans="4:4">
      <c r="D1431" s="16"/>
    </row>
    <row r="1432" spans="4:4">
      <c r="D1432" s="16"/>
    </row>
    <row r="1433" spans="4:4">
      <c r="D1433" s="16"/>
    </row>
    <row r="1434" spans="4:4">
      <c r="D1434" s="16"/>
    </row>
    <row r="1435" spans="4:4">
      <c r="D1435" s="16"/>
    </row>
    <row r="1436" spans="4:4">
      <c r="D1436" s="16"/>
    </row>
    <row r="1437" spans="4:4">
      <c r="D1437" s="16"/>
    </row>
    <row r="1438" spans="4:4">
      <c r="D1438" s="16"/>
    </row>
    <row r="1439" spans="4:4">
      <c r="D1439" s="16"/>
    </row>
    <row r="1440" spans="4:4">
      <c r="D1440" s="16"/>
    </row>
    <row r="1441" spans="4:4">
      <c r="D1441" s="16"/>
    </row>
    <row r="1442" spans="4:4">
      <c r="D1442" s="16"/>
    </row>
    <row r="1443" spans="4:4">
      <c r="D1443" s="16"/>
    </row>
    <row r="1444" spans="4:4">
      <c r="D1444" s="16"/>
    </row>
    <row r="1445" spans="4:4">
      <c r="D1445" s="16"/>
    </row>
    <row r="1446" spans="4:4">
      <c r="D1446" s="16"/>
    </row>
    <row r="1447" spans="4:4">
      <c r="D1447" s="16"/>
    </row>
    <row r="1448" spans="4:4">
      <c r="D1448" s="16"/>
    </row>
    <row r="1449" spans="4:4">
      <c r="D1449" s="16"/>
    </row>
    <row r="1450" spans="4:4">
      <c r="D1450" s="16"/>
    </row>
    <row r="1451" spans="4:4">
      <c r="D1451" s="16"/>
    </row>
    <row r="1452" spans="4:4">
      <c r="D1452" s="16"/>
    </row>
    <row r="1453" spans="4:4">
      <c r="D1453" s="16"/>
    </row>
    <row r="1454" spans="4:4">
      <c r="D1454" s="16"/>
    </row>
    <row r="1455" spans="4:4">
      <c r="D1455" s="16"/>
    </row>
    <row r="1456" spans="4:4">
      <c r="D1456" s="16"/>
    </row>
    <row r="1457" spans="4:4">
      <c r="D1457" s="16"/>
    </row>
    <row r="1458" spans="4:4">
      <c r="D1458" s="16"/>
    </row>
    <row r="1459" spans="4:4">
      <c r="D1459" s="16"/>
    </row>
    <row r="1460" spans="4:4">
      <c r="D1460" s="16"/>
    </row>
    <row r="1461" spans="4:4">
      <c r="D1461" s="16"/>
    </row>
    <row r="1462" spans="4:4">
      <c r="D1462" s="16"/>
    </row>
    <row r="1463" spans="4:4">
      <c r="D1463" s="16"/>
    </row>
    <row r="1464" spans="4:4">
      <c r="D1464" s="16"/>
    </row>
    <row r="1465" spans="4:4">
      <c r="D1465" s="16"/>
    </row>
    <row r="1466" spans="4:4">
      <c r="D1466" s="16"/>
    </row>
    <row r="1467" spans="4:4">
      <c r="D1467" s="16"/>
    </row>
    <row r="1468" spans="4:4">
      <c r="D1468" s="16"/>
    </row>
    <row r="1469" spans="4:4">
      <c r="D1469" s="16"/>
    </row>
    <row r="1470" spans="4:4">
      <c r="D1470" s="16"/>
    </row>
    <row r="1471" spans="4:4">
      <c r="D1471" s="16"/>
    </row>
    <row r="1472" spans="4:4">
      <c r="D1472" s="16"/>
    </row>
    <row r="1473" spans="4:4">
      <c r="D1473" s="16"/>
    </row>
    <row r="1474" spans="4:4">
      <c r="D1474" s="16"/>
    </row>
    <row r="1475" spans="4:4">
      <c r="D1475" s="16"/>
    </row>
    <row r="1476" spans="4:4">
      <c r="D1476" s="16"/>
    </row>
    <row r="1477" spans="4:4">
      <c r="D1477" s="16"/>
    </row>
    <row r="1478" spans="4:4">
      <c r="D1478" s="16"/>
    </row>
    <row r="1479" spans="4:4">
      <c r="D1479" s="16"/>
    </row>
    <row r="1480" spans="4:4">
      <c r="D1480" s="16"/>
    </row>
    <row r="1481" spans="4:4">
      <c r="D1481" s="16"/>
    </row>
    <row r="1482" spans="4:4">
      <c r="D1482" s="16"/>
    </row>
    <row r="1483" spans="4:4">
      <c r="D1483" s="16"/>
    </row>
    <row r="1484" spans="4:4">
      <c r="D1484" s="16"/>
    </row>
    <row r="1485" spans="4:4">
      <c r="D1485" s="16"/>
    </row>
    <row r="1486" spans="4:4">
      <c r="D1486" s="16"/>
    </row>
    <row r="1487" spans="4:4">
      <c r="D1487" s="16"/>
    </row>
    <row r="1488" spans="4:4">
      <c r="D1488" s="16"/>
    </row>
    <row r="1489" spans="4:4">
      <c r="D1489" s="16"/>
    </row>
    <row r="1490" spans="4:4">
      <c r="D1490" s="16"/>
    </row>
    <row r="1491" spans="4:4">
      <c r="D1491" s="16"/>
    </row>
    <row r="1492" spans="4:4">
      <c r="D1492" s="16"/>
    </row>
    <row r="1493" spans="4:4">
      <c r="D1493" s="16"/>
    </row>
    <row r="1494" spans="4:4">
      <c r="D1494" s="16"/>
    </row>
    <row r="1495" spans="4:4">
      <c r="D1495" s="16"/>
    </row>
    <row r="1496" spans="4:4">
      <c r="D1496" s="16"/>
    </row>
    <row r="1497" spans="4:4">
      <c r="D1497" s="16"/>
    </row>
    <row r="1498" spans="4:4">
      <c r="D1498" s="16"/>
    </row>
    <row r="1499" spans="4:4">
      <c r="D1499" s="16"/>
    </row>
    <row r="1500" spans="4:4">
      <c r="D1500" s="16"/>
    </row>
    <row r="1501" spans="4:4">
      <c r="D1501" s="16"/>
    </row>
    <row r="1502" spans="4:4">
      <c r="D1502" s="16"/>
    </row>
    <row r="1503" spans="4:4">
      <c r="D1503" s="16"/>
    </row>
    <row r="1504" spans="4:4">
      <c r="D1504" s="16"/>
    </row>
    <row r="1505" spans="4:4">
      <c r="D1505" s="16"/>
    </row>
    <row r="1506" spans="4:4">
      <c r="D1506" s="16"/>
    </row>
    <row r="1507" spans="4:4">
      <c r="D1507" s="16"/>
    </row>
    <row r="1508" spans="4:4">
      <c r="D1508" s="16"/>
    </row>
    <row r="1509" spans="4:4">
      <c r="D1509" s="16"/>
    </row>
    <row r="1510" spans="4:4">
      <c r="D1510" s="16"/>
    </row>
    <row r="1511" spans="4:4">
      <c r="D1511" s="16"/>
    </row>
    <row r="1512" spans="4:4">
      <c r="D1512" s="16"/>
    </row>
    <row r="1513" spans="4:4">
      <c r="D1513" s="16"/>
    </row>
    <row r="1514" spans="4:4">
      <c r="D1514" s="16"/>
    </row>
    <row r="1515" spans="4:4">
      <c r="D1515" s="16"/>
    </row>
    <row r="1516" spans="4:4">
      <c r="D1516" s="16"/>
    </row>
    <row r="1517" spans="4:4">
      <c r="D1517" s="16"/>
    </row>
    <row r="1518" spans="4:4">
      <c r="D1518" s="16"/>
    </row>
    <row r="1519" spans="4:4">
      <c r="D1519" s="16"/>
    </row>
    <row r="1520" spans="4:4">
      <c r="D1520" s="16"/>
    </row>
    <row r="1521" spans="4:4">
      <c r="D1521" s="16"/>
    </row>
    <row r="1522" spans="4:4">
      <c r="D1522" s="16"/>
    </row>
    <row r="1523" spans="4:4">
      <c r="D1523" s="16"/>
    </row>
    <row r="1524" spans="4:4">
      <c r="D1524" s="16"/>
    </row>
    <row r="1525" spans="4:4">
      <c r="D1525" s="16"/>
    </row>
    <row r="1526" spans="4:4">
      <c r="D1526" s="16"/>
    </row>
    <row r="1527" spans="4:4">
      <c r="D1527" s="16"/>
    </row>
    <row r="1528" spans="4:4">
      <c r="D1528" s="16"/>
    </row>
    <row r="1529" spans="4:4">
      <c r="D1529" s="16"/>
    </row>
    <row r="1530" spans="4:4">
      <c r="D1530" s="16"/>
    </row>
    <row r="1531" spans="4:4">
      <c r="D1531" s="16"/>
    </row>
    <row r="1532" spans="4:4">
      <c r="D1532" s="16"/>
    </row>
    <row r="1533" spans="4:4">
      <c r="D1533" s="16"/>
    </row>
    <row r="1534" spans="4:4">
      <c r="D1534" s="16"/>
    </row>
    <row r="1535" spans="4:4">
      <c r="D1535" s="16"/>
    </row>
    <row r="1536" spans="4:4">
      <c r="D1536" s="16"/>
    </row>
    <row r="1537" spans="4:4">
      <c r="D1537" s="16"/>
    </row>
    <row r="1538" spans="4:4">
      <c r="D1538" s="16"/>
    </row>
    <row r="1539" spans="4:4">
      <c r="D1539" s="16"/>
    </row>
    <row r="1540" spans="4:4">
      <c r="D1540" s="16"/>
    </row>
    <row r="1541" spans="4:4">
      <c r="D1541" s="16"/>
    </row>
    <row r="1542" spans="4:4">
      <c r="D1542" s="16"/>
    </row>
    <row r="1543" spans="4:4">
      <c r="D1543" s="16"/>
    </row>
    <row r="1544" spans="4:4">
      <c r="D1544" s="16"/>
    </row>
    <row r="1545" spans="4:4">
      <c r="D1545" s="16"/>
    </row>
    <row r="1546" spans="4:4">
      <c r="D1546" s="16"/>
    </row>
    <row r="1547" spans="4:4">
      <c r="D1547" s="16"/>
    </row>
    <row r="1548" spans="4:4">
      <c r="D1548" s="16"/>
    </row>
    <row r="1549" spans="4:4">
      <c r="D1549" s="16"/>
    </row>
    <row r="1550" spans="4:4">
      <c r="D1550" s="16"/>
    </row>
    <row r="1551" spans="4:4">
      <c r="D1551" s="16"/>
    </row>
    <row r="1552" spans="4:4">
      <c r="D1552" s="16"/>
    </row>
    <row r="1553" spans="4:4">
      <c r="D1553" s="16"/>
    </row>
    <row r="1554" spans="4:4">
      <c r="D1554" s="16"/>
    </row>
    <row r="1555" spans="4:4">
      <c r="D1555" s="16"/>
    </row>
    <row r="1556" spans="4:4">
      <c r="D1556" s="16"/>
    </row>
    <row r="1557" spans="4:4">
      <c r="D1557" s="16"/>
    </row>
    <row r="1558" spans="4:4">
      <c r="D1558" s="16"/>
    </row>
    <row r="1559" spans="4:4">
      <c r="D1559" s="16"/>
    </row>
    <row r="1560" spans="4:4">
      <c r="D1560" s="16"/>
    </row>
    <row r="1561" spans="4:4">
      <c r="D1561" s="16"/>
    </row>
    <row r="1562" spans="4:4">
      <c r="D1562" s="16"/>
    </row>
    <row r="1563" spans="4:4">
      <c r="D1563" s="16"/>
    </row>
    <row r="1564" spans="4:4">
      <c r="D1564" s="16"/>
    </row>
    <row r="1565" spans="4:4">
      <c r="D1565" s="16"/>
    </row>
    <row r="1566" spans="4:4">
      <c r="D1566" s="16"/>
    </row>
    <row r="1567" spans="4:4">
      <c r="D1567" s="16"/>
    </row>
    <row r="1568" spans="4:4">
      <c r="D1568" s="16"/>
    </row>
    <row r="1569" spans="4:4">
      <c r="D1569" s="16"/>
    </row>
    <row r="1570" spans="4:4">
      <c r="D1570" s="16"/>
    </row>
    <row r="1571" spans="4:4">
      <c r="D1571" s="16"/>
    </row>
    <row r="1572" spans="4:4">
      <c r="D1572" s="16"/>
    </row>
    <row r="1573" spans="4:4">
      <c r="D1573" s="16"/>
    </row>
    <row r="1574" spans="4:4">
      <c r="D1574" s="16"/>
    </row>
    <row r="1575" spans="4:4">
      <c r="D1575" s="16"/>
    </row>
    <row r="1576" spans="4:4">
      <c r="D1576" s="16"/>
    </row>
    <row r="1577" spans="4:4">
      <c r="D1577" s="16"/>
    </row>
    <row r="1578" spans="4:4">
      <c r="D1578" s="16"/>
    </row>
    <row r="1579" spans="4:4">
      <c r="D1579" s="16"/>
    </row>
    <row r="1580" spans="4:4">
      <c r="D1580" s="16"/>
    </row>
    <row r="1581" spans="4:4">
      <c r="D1581" s="16"/>
    </row>
    <row r="1582" spans="4:4">
      <c r="D1582" s="16"/>
    </row>
    <row r="1583" spans="4:4">
      <c r="D1583" s="16"/>
    </row>
    <row r="1584" spans="4:4">
      <c r="D1584" s="16"/>
    </row>
    <row r="1585" spans="4:4">
      <c r="D1585" s="16"/>
    </row>
    <row r="1586" spans="4:4">
      <c r="D1586" s="16"/>
    </row>
    <row r="1587" spans="4:4">
      <c r="D1587" s="16"/>
    </row>
    <row r="1588" spans="4:4">
      <c r="D1588" s="16"/>
    </row>
    <row r="1589" spans="4:4">
      <c r="D1589" s="16"/>
    </row>
    <row r="1590" spans="4:4">
      <c r="D1590" s="16"/>
    </row>
    <row r="1591" spans="4:4">
      <c r="D1591" s="16"/>
    </row>
    <row r="1592" spans="4:4">
      <c r="D1592" s="16"/>
    </row>
    <row r="1593" spans="4:4">
      <c r="D1593" s="16"/>
    </row>
    <row r="1594" spans="4:4">
      <c r="D1594" s="16"/>
    </row>
    <row r="1595" spans="4:4">
      <c r="D1595" s="16"/>
    </row>
    <row r="1596" spans="4:4">
      <c r="D1596" s="16"/>
    </row>
    <row r="1597" spans="4:4">
      <c r="D1597" s="16"/>
    </row>
    <row r="1598" spans="4:4">
      <c r="D1598" s="16"/>
    </row>
    <row r="1599" spans="4:4">
      <c r="D1599" s="16"/>
    </row>
    <row r="1600" spans="4:4">
      <c r="D1600" s="16"/>
    </row>
    <row r="1601" spans="4:4">
      <c r="D1601" s="16"/>
    </row>
    <row r="1602" spans="4:4">
      <c r="D1602" s="16"/>
    </row>
    <row r="1603" spans="4:4">
      <c r="D1603" s="16"/>
    </row>
    <row r="1604" spans="4:4">
      <c r="D1604" s="16"/>
    </row>
    <row r="1605" spans="4:4">
      <c r="D1605" s="16"/>
    </row>
    <row r="1606" spans="4:4">
      <c r="D1606" s="16"/>
    </row>
    <row r="1607" spans="4:4">
      <c r="D1607" s="16"/>
    </row>
    <row r="1608" spans="4:4">
      <c r="D1608" s="16"/>
    </row>
    <row r="1609" spans="4:4">
      <c r="D1609" s="16"/>
    </row>
    <row r="1610" spans="4:4">
      <c r="D1610" s="16"/>
    </row>
    <row r="1611" spans="4:4">
      <c r="D1611" s="16"/>
    </row>
    <row r="1612" spans="4:4">
      <c r="D1612" s="16"/>
    </row>
    <row r="1613" spans="4:4">
      <c r="D1613" s="16"/>
    </row>
    <row r="1614" spans="4:4">
      <c r="D1614" s="16"/>
    </row>
    <row r="1615" spans="4:4">
      <c r="D1615" s="16"/>
    </row>
    <row r="1616" spans="4:4">
      <c r="D1616" s="16"/>
    </row>
    <row r="1617" spans="4:4">
      <c r="D1617" s="16"/>
    </row>
    <row r="1618" spans="4:4">
      <c r="D1618" s="16"/>
    </row>
    <row r="1619" spans="4:4">
      <c r="D1619" s="16"/>
    </row>
    <row r="1620" spans="4:4">
      <c r="D1620" s="16"/>
    </row>
    <row r="1621" spans="4:4">
      <c r="D1621" s="16"/>
    </row>
    <row r="1622" spans="4:4">
      <c r="D1622" s="16"/>
    </row>
    <row r="1623" spans="4:4">
      <c r="D1623" s="16"/>
    </row>
    <row r="1624" spans="4:4">
      <c r="D1624" s="16"/>
    </row>
    <row r="1625" spans="4:4">
      <c r="D1625" s="16"/>
    </row>
    <row r="1626" spans="4:4">
      <c r="D1626" s="16"/>
    </row>
    <row r="1627" spans="4:4">
      <c r="D1627" s="16"/>
    </row>
    <row r="1628" spans="4:4">
      <c r="D1628" s="16"/>
    </row>
    <row r="1629" spans="4:4">
      <c r="D1629" s="16"/>
    </row>
    <row r="1630" spans="4:4">
      <c r="D1630" s="16"/>
    </row>
    <row r="1631" spans="4:4">
      <c r="D1631" s="16"/>
    </row>
    <row r="1632" spans="4:4">
      <c r="D1632" s="16"/>
    </row>
    <row r="1633" spans="4:4">
      <c r="D1633" s="16"/>
    </row>
    <row r="1634" spans="4:4">
      <c r="D1634" s="16"/>
    </row>
    <row r="1635" spans="4:4">
      <c r="D1635" s="16"/>
    </row>
    <row r="1636" spans="4:4">
      <c r="D1636" s="16"/>
    </row>
    <row r="1637" spans="4:4">
      <c r="D1637" s="16"/>
    </row>
    <row r="1638" spans="4:4">
      <c r="D1638" s="16"/>
    </row>
    <row r="1639" spans="4:4">
      <c r="D1639" s="16"/>
    </row>
    <row r="1640" spans="4:4">
      <c r="D1640" s="16"/>
    </row>
    <row r="1641" spans="4:4">
      <c r="D1641" s="16"/>
    </row>
    <row r="1642" spans="4:4">
      <c r="D1642" s="16"/>
    </row>
    <row r="1643" spans="4:4">
      <c r="D1643" s="16"/>
    </row>
    <row r="1644" spans="4:4">
      <c r="D1644" s="16"/>
    </row>
    <row r="1645" spans="4:4">
      <c r="D1645" s="16"/>
    </row>
    <row r="1646" spans="4:4">
      <c r="D1646" s="16"/>
    </row>
    <row r="1647" spans="4:4">
      <c r="D1647" s="16"/>
    </row>
    <row r="1648" spans="4:4">
      <c r="D1648" s="16"/>
    </row>
    <row r="1649" spans="4:4">
      <c r="D1649" s="16"/>
    </row>
    <row r="1650" spans="4:4">
      <c r="D1650" s="16"/>
    </row>
    <row r="1651" spans="4:4">
      <c r="D1651" s="16"/>
    </row>
    <row r="1652" spans="4:4">
      <c r="D1652" s="16"/>
    </row>
    <row r="1653" spans="4:4">
      <c r="D1653" s="16"/>
    </row>
    <row r="1654" spans="4:4">
      <c r="D1654" s="16"/>
    </row>
    <row r="1655" spans="4:4">
      <c r="D1655" s="16"/>
    </row>
    <row r="1656" spans="4:4">
      <c r="D1656" s="16"/>
    </row>
    <row r="1657" spans="4:4">
      <c r="D1657" s="16"/>
    </row>
    <row r="1658" spans="4:4">
      <c r="D1658" s="16"/>
    </row>
    <row r="1659" spans="4:4">
      <c r="D1659" s="16"/>
    </row>
    <row r="1660" spans="4:4">
      <c r="D1660" s="16"/>
    </row>
    <row r="1661" spans="4:4">
      <c r="D1661" s="16"/>
    </row>
    <row r="1662" spans="4:4">
      <c r="D1662" s="16"/>
    </row>
    <row r="1663" spans="4:4">
      <c r="D1663" s="16"/>
    </row>
    <row r="1664" spans="4:4">
      <c r="D1664" s="16"/>
    </row>
    <row r="1665" spans="4:4">
      <c r="D1665" s="16"/>
    </row>
    <row r="1666" spans="4:4">
      <c r="D1666" s="16"/>
    </row>
    <row r="1667" spans="4:4">
      <c r="D1667" s="16"/>
    </row>
    <row r="1668" spans="4:4">
      <c r="D1668" s="16"/>
    </row>
    <row r="1669" spans="4:4">
      <c r="D1669" s="16"/>
    </row>
    <row r="1670" spans="4:4">
      <c r="D1670" s="16"/>
    </row>
    <row r="1671" spans="4:4">
      <c r="D1671" s="16"/>
    </row>
    <row r="1672" spans="4:4">
      <c r="D1672" s="16"/>
    </row>
    <row r="1673" spans="4:4">
      <c r="D1673" s="16"/>
    </row>
    <row r="1674" spans="4:4">
      <c r="D1674" s="16"/>
    </row>
    <row r="1675" spans="4:4">
      <c r="D1675" s="16"/>
    </row>
    <row r="1676" spans="4:4">
      <c r="D1676" s="16"/>
    </row>
    <row r="1677" spans="4:4">
      <c r="D1677" s="16"/>
    </row>
    <row r="1678" spans="4:4">
      <c r="D1678" s="16"/>
    </row>
    <row r="1679" spans="4:4">
      <c r="D1679" s="16"/>
    </row>
    <row r="1680" spans="4:4">
      <c r="D1680" s="16"/>
    </row>
    <row r="1681" spans="4:4">
      <c r="D1681" s="16"/>
    </row>
    <row r="1682" spans="4:4">
      <c r="D1682" s="16"/>
    </row>
    <row r="1683" spans="4:4">
      <c r="D1683" s="16"/>
    </row>
    <row r="1684" spans="4:4">
      <c r="D1684" s="16"/>
    </row>
    <row r="1685" spans="4:4">
      <c r="D1685" s="16"/>
    </row>
    <row r="1686" spans="4:4">
      <c r="D1686" s="16"/>
    </row>
    <row r="1687" spans="4:4">
      <c r="D1687" s="16"/>
    </row>
    <row r="1688" spans="4:4">
      <c r="D1688" s="16"/>
    </row>
    <row r="1689" spans="4:4">
      <c r="D1689" s="16"/>
    </row>
    <row r="1690" spans="4:4">
      <c r="D1690" s="16"/>
    </row>
    <row r="1691" spans="4:4">
      <c r="D1691" s="16"/>
    </row>
    <row r="1692" spans="4:4">
      <c r="D1692" s="16"/>
    </row>
    <row r="1693" spans="4:4">
      <c r="D1693" s="16"/>
    </row>
    <row r="1694" spans="4:4">
      <c r="D1694" s="16"/>
    </row>
    <row r="1695" spans="4:4">
      <c r="D1695" s="16"/>
    </row>
    <row r="1696" spans="4:4">
      <c r="D1696" s="16"/>
    </row>
    <row r="1697" spans="4:4">
      <c r="D1697" s="16"/>
    </row>
    <row r="1698" spans="4:4">
      <c r="D1698" s="16"/>
    </row>
    <row r="1699" spans="4:4">
      <c r="D1699" s="16"/>
    </row>
    <row r="1700" spans="4:4">
      <c r="D1700" s="16"/>
    </row>
    <row r="1701" spans="4:4">
      <c r="D1701" s="16"/>
    </row>
    <row r="1702" spans="4:4">
      <c r="D1702" s="16"/>
    </row>
    <row r="1703" spans="4:4">
      <c r="D1703" s="16"/>
    </row>
    <row r="1704" spans="4:4">
      <c r="D1704" s="16"/>
    </row>
    <row r="1705" spans="4:4">
      <c r="D1705" s="16"/>
    </row>
    <row r="1706" spans="4:4">
      <c r="D1706" s="16"/>
    </row>
    <row r="1707" spans="4:4">
      <c r="D1707" s="16"/>
    </row>
    <row r="1708" spans="4:4">
      <c r="D1708" s="16"/>
    </row>
    <row r="1709" spans="4:4">
      <c r="D1709" s="16"/>
    </row>
    <row r="1710" spans="4:4">
      <c r="D1710" s="16"/>
    </row>
    <row r="1711" spans="4:4">
      <c r="D1711" s="16"/>
    </row>
    <row r="1712" spans="4:4">
      <c r="D1712" s="16"/>
    </row>
    <row r="1713" spans="4:4">
      <c r="D1713" s="16"/>
    </row>
    <row r="1714" spans="4:4">
      <c r="D1714" s="16"/>
    </row>
    <row r="1715" spans="4:4">
      <c r="D1715" s="16"/>
    </row>
    <row r="1716" spans="4:4">
      <c r="D1716" s="16"/>
    </row>
    <row r="1717" spans="4:4">
      <c r="D1717" s="16"/>
    </row>
    <row r="1718" spans="4:4">
      <c r="D1718" s="16"/>
    </row>
    <row r="1719" spans="4:4">
      <c r="D1719" s="16"/>
    </row>
    <row r="1720" spans="4:4">
      <c r="D1720" s="16"/>
    </row>
    <row r="1721" spans="4:4">
      <c r="D1721" s="16"/>
    </row>
    <row r="1722" spans="4:4">
      <c r="D1722" s="16"/>
    </row>
    <row r="1723" spans="4:4">
      <c r="D1723" s="16"/>
    </row>
    <row r="1724" spans="4:4">
      <c r="D1724" s="16"/>
    </row>
    <row r="1725" spans="4:4">
      <c r="D1725" s="16"/>
    </row>
    <row r="1726" spans="4:4">
      <c r="D1726" s="16"/>
    </row>
    <row r="1727" spans="4:4">
      <c r="D1727" s="16"/>
    </row>
    <row r="1728" spans="4:4">
      <c r="D1728" s="16"/>
    </row>
    <row r="1729" spans="4:4">
      <c r="D1729" s="16"/>
    </row>
    <row r="1730" spans="4:4">
      <c r="D1730" s="16"/>
    </row>
    <row r="1731" spans="4:4">
      <c r="D1731" s="16"/>
    </row>
    <row r="1732" spans="4:4">
      <c r="D1732" s="16"/>
    </row>
    <row r="1733" spans="4:4">
      <c r="D1733" s="16"/>
    </row>
    <row r="1734" spans="4:4">
      <c r="D1734" s="16"/>
    </row>
    <row r="1735" spans="4:4">
      <c r="D1735" s="16"/>
    </row>
    <row r="1736" spans="4:4">
      <c r="D1736" s="16"/>
    </row>
    <row r="1737" spans="4:4">
      <c r="D1737" s="16"/>
    </row>
    <row r="1738" spans="4:4">
      <c r="D1738" s="16"/>
    </row>
    <row r="1739" spans="4:4">
      <c r="D1739" s="16"/>
    </row>
    <row r="1740" spans="4:4">
      <c r="D1740" s="16"/>
    </row>
    <row r="1741" spans="4:4">
      <c r="D1741" s="16"/>
    </row>
    <row r="1742" spans="4:4">
      <c r="D1742" s="16"/>
    </row>
    <row r="1743" spans="4:4">
      <c r="D1743" s="16"/>
    </row>
    <row r="1744" spans="4:4">
      <c r="D1744" s="16"/>
    </row>
    <row r="1745" spans="4:4">
      <c r="D1745" s="16"/>
    </row>
    <row r="1746" spans="4:4">
      <c r="D1746" s="16"/>
    </row>
    <row r="1747" spans="4:4">
      <c r="D1747" s="16"/>
    </row>
    <row r="1748" spans="4:4">
      <c r="D1748" s="16"/>
    </row>
    <row r="1749" spans="4:4">
      <c r="D1749" s="16"/>
    </row>
    <row r="1750" spans="4:4">
      <c r="D1750" s="16"/>
    </row>
    <row r="1751" spans="4:4">
      <c r="D1751" s="16"/>
    </row>
    <row r="1752" spans="4:4">
      <c r="D1752" s="16"/>
    </row>
    <row r="1753" spans="4:4">
      <c r="D1753" s="16"/>
    </row>
    <row r="1754" spans="4:4">
      <c r="D1754" s="16"/>
    </row>
    <row r="1755" spans="4:4">
      <c r="D1755" s="16"/>
    </row>
    <row r="1756" spans="4:4">
      <c r="D1756" s="16"/>
    </row>
    <row r="1757" spans="4:4">
      <c r="D1757" s="16"/>
    </row>
    <row r="1758" spans="4:4">
      <c r="D1758" s="16"/>
    </row>
    <row r="1759" spans="4:4">
      <c r="D1759" s="16"/>
    </row>
    <row r="1760" spans="4:4">
      <c r="D1760" s="16"/>
    </row>
    <row r="1761" spans="4:4">
      <c r="D1761" s="16"/>
    </row>
    <row r="1762" spans="4:4">
      <c r="D1762" s="16"/>
    </row>
    <row r="1763" spans="4:4">
      <c r="D1763" s="16"/>
    </row>
    <row r="1764" spans="4:4">
      <c r="D1764" s="16"/>
    </row>
    <row r="1765" spans="4:4">
      <c r="D1765" s="16"/>
    </row>
    <row r="1766" spans="4:4">
      <c r="D1766" s="16"/>
    </row>
    <row r="1767" spans="4:4">
      <c r="D1767" s="16"/>
    </row>
    <row r="1768" spans="4:4">
      <c r="D1768" s="16"/>
    </row>
    <row r="1769" spans="4:4">
      <c r="D1769" s="16"/>
    </row>
    <row r="1770" spans="4:4">
      <c r="D1770" s="16"/>
    </row>
    <row r="1771" spans="4:4">
      <c r="D1771" s="16"/>
    </row>
    <row r="1772" spans="4:4">
      <c r="D1772" s="16"/>
    </row>
    <row r="1773" spans="4:4">
      <c r="D1773" s="16"/>
    </row>
    <row r="1774" spans="4:4">
      <c r="D1774" s="16"/>
    </row>
    <row r="1775" spans="4:4">
      <c r="D1775" s="16"/>
    </row>
    <row r="1776" spans="4:4">
      <c r="D1776" s="16"/>
    </row>
    <row r="1777" spans="4:4">
      <c r="D1777" s="16"/>
    </row>
    <row r="1778" spans="4:4">
      <c r="D1778" s="16"/>
    </row>
    <row r="1779" spans="4:4">
      <c r="D1779" s="16"/>
    </row>
    <row r="1780" spans="4:4">
      <c r="D1780" s="16"/>
    </row>
    <row r="1781" spans="4:4">
      <c r="D1781" s="16"/>
    </row>
    <row r="1782" spans="4:4">
      <c r="D1782" s="16"/>
    </row>
    <row r="1783" spans="4:4">
      <c r="D1783" s="16"/>
    </row>
    <row r="1784" spans="4:4">
      <c r="D1784" s="16"/>
    </row>
    <row r="1785" spans="4:4">
      <c r="D1785" s="16"/>
    </row>
    <row r="1786" spans="4:4">
      <c r="D1786" s="16"/>
    </row>
    <row r="1787" spans="4:4">
      <c r="D1787" s="16"/>
    </row>
    <row r="1788" spans="4:4">
      <c r="D1788" s="16"/>
    </row>
    <row r="1789" spans="4:4">
      <c r="D1789" s="16"/>
    </row>
    <row r="1790" spans="4:4">
      <c r="D1790" s="16"/>
    </row>
    <row r="1791" spans="4:4">
      <c r="D1791" s="16"/>
    </row>
    <row r="1792" spans="4:4">
      <c r="D1792" s="16"/>
    </row>
    <row r="1793" spans="4:4">
      <c r="D1793" s="16"/>
    </row>
    <row r="1794" spans="4:4">
      <c r="D1794" s="16"/>
    </row>
    <row r="1795" spans="4:4">
      <c r="D1795" s="16"/>
    </row>
    <row r="1796" spans="4:4">
      <c r="D1796" s="16"/>
    </row>
    <row r="1797" spans="4:4">
      <c r="D1797" s="16"/>
    </row>
    <row r="1798" spans="4:4">
      <c r="D1798" s="16"/>
    </row>
    <row r="1799" spans="4:4">
      <c r="D1799" s="16"/>
    </row>
    <row r="1800" spans="4:4">
      <c r="D1800" s="16"/>
    </row>
    <row r="1801" spans="4:4">
      <c r="D1801" s="16"/>
    </row>
    <row r="1802" spans="4:4">
      <c r="D1802" s="16"/>
    </row>
    <row r="1803" spans="4:4">
      <c r="D1803" s="16"/>
    </row>
    <row r="1804" spans="4:4">
      <c r="D1804" s="16"/>
    </row>
    <row r="1805" spans="4:4">
      <c r="D1805" s="16"/>
    </row>
    <row r="1806" spans="4:4">
      <c r="D1806" s="16"/>
    </row>
    <row r="1807" spans="4:4">
      <c r="D1807" s="16"/>
    </row>
    <row r="1808" spans="4:4">
      <c r="D1808" s="16"/>
    </row>
    <row r="1809" spans="4:4">
      <c r="D1809" s="16"/>
    </row>
    <row r="1810" spans="4:4">
      <c r="D1810" s="16"/>
    </row>
    <row r="1811" spans="4:4">
      <c r="D1811" s="16"/>
    </row>
    <row r="1812" spans="4:4">
      <c r="D1812" s="16"/>
    </row>
    <row r="1813" spans="4:4">
      <c r="D1813" s="16"/>
    </row>
    <row r="1814" spans="4:4">
      <c r="D1814" s="16"/>
    </row>
    <row r="1815" spans="4:4">
      <c r="D1815" s="16"/>
    </row>
    <row r="1816" spans="4:4">
      <c r="D1816" s="16"/>
    </row>
    <row r="1817" spans="4:4">
      <c r="D1817" s="16"/>
    </row>
    <row r="1818" spans="4:4">
      <c r="D1818" s="16"/>
    </row>
    <row r="1819" spans="4:4">
      <c r="D1819" s="16"/>
    </row>
    <row r="1820" spans="4:4">
      <c r="D1820" s="16"/>
    </row>
    <row r="1821" spans="4:4">
      <c r="D1821" s="16"/>
    </row>
    <row r="1822" spans="4:4">
      <c r="D1822" s="16"/>
    </row>
    <row r="1823" spans="4:4">
      <c r="D1823" s="16"/>
    </row>
    <row r="1824" spans="4:4">
      <c r="D1824" s="16"/>
    </row>
    <row r="1825" spans="4:4">
      <c r="D1825" s="16"/>
    </row>
    <row r="1826" spans="4:4">
      <c r="D1826" s="16"/>
    </row>
    <row r="1827" spans="4:4">
      <c r="D1827" s="16"/>
    </row>
    <row r="1828" spans="4:4">
      <c r="D1828" s="16"/>
    </row>
    <row r="1829" spans="4:4">
      <c r="D1829" s="16"/>
    </row>
    <row r="1830" spans="4:4">
      <c r="D1830" s="16"/>
    </row>
    <row r="1831" spans="4:4">
      <c r="D1831" s="16"/>
    </row>
    <row r="1832" spans="4:4">
      <c r="D1832" s="16"/>
    </row>
    <row r="1833" spans="4:4">
      <c r="D1833" s="16"/>
    </row>
    <row r="1834" spans="4:4">
      <c r="D1834" s="16"/>
    </row>
    <row r="1835" spans="4:4">
      <c r="D1835" s="16"/>
    </row>
    <row r="1836" spans="4:4">
      <c r="D1836" s="16"/>
    </row>
    <row r="1837" spans="4:4">
      <c r="D1837" s="16"/>
    </row>
    <row r="1838" spans="4:4">
      <c r="D1838" s="16"/>
    </row>
    <row r="1839" spans="4:4">
      <c r="D1839" s="16"/>
    </row>
    <row r="1840" spans="4:4">
      <c r="D1840" s="16"/>
    </row>
    <row r="1841" spans="4:4">
      <c r="D1841" s="16"/>
    </row>
    <row r="1842" spans="4:4">
      <c r="D1842" s="16"/>
    </row>
    <row r="1843" spans="4:4">
      <c r="D1843" s="16"/>
    </row>
    <row r="1844" spans="4:4">
      <c r="D1844" s="16"/>
    </row>
    <row r="1845" spans="4:4">
      <c r="D1845" s="16"/>
    </row>
    <row r="1846" spans="4:4">
      <c r="D1846" s="16"/>
    </row>
    <row r="1847" spans="4:4">
      <c r="D1847" s="16"/>
    </row>
    <row r="1848" spans="4:4">
      <c r="D1848" s="16"/>
    </row>
    <row r="1849" spans="4:4">
      <c r="D1849" s="16"/>
    </row>
    <row r="1850" spans="4:4">
      <c r="D1850" s="16"/>
    </row>
    <row r="1851" spans="4:4">
      <c r="D1851" s="16"/>
    </row>
    <row r="1852" spans="4:4">
      <c r="D1852" s="16"/>
    </row>
    <row r="1853" spans="4:4">
      <c r="D1853" s="16"/>
    </row>
    <row r="1854" spans="4:4">
      <c r="D1854" s="16"/>
    </row>
    <row r="1855" spans="4:4">
      <c r="D1855" s="16"/>
    </row>
    <row r="1856" spans="4:4">
      <c r="D1856" s="16"/>
    </row>
    <row r="1857" spans="4:4">
      <c r="D1857" s="16"/>
    </row>
    <row r="1858" spans="4:4">
      <c r="D1858" s="16"/>
    </row>
    <row r="1859" spans="4:4">
      <c r="D1859" s="16"/>
    </row>
    <row r="1860" spans="4:4">
      <c r="D1860" s="16"/>
    </row>
    <row r="1861" spans="4:4">
      <c r="D1861" s="16"/>
    </row>
    <row r="1862" spans="4:4">
      <c r="D1862" s="16"/>
    </row>
    <row r="1863" spans="4:4">
      <c r="D1863" s="16"/>
    </row>
    <row r="1864" spans="4:4">
      <c r="D1864" s="16"/>
    </row>
    <row r="1865" spans="4:4">
      <c r="D1865" s="16"/>
    </row>
    <row r="1866" spans="4:4">
      <c r="D1866" s="16"/>
    </row>
    <row r="1867" spans="4:4">
      <c r="D1867" s="16"/>
    </row>
    <row r="1868" spans="4:4">
      <c r="D1868" s="16"/>
    </row>
    <row r="1869" spans="4:4">
      <c r="D1869" s="16"/>
    </row>
    <row r="1870" spans="4:4">
      <c r="D1870" s="16"/>
    </row>
    <row r="1871" spans="4:4">
      <c r="D1871" s="16"/>
    </row>
    <row r="1872" spans="4:4">
      <c r="D1872" s="16"/>
    </row>
    <row r="1873" spans="4:4">
      <c r="D1873" s="16"/>
    </row>
    <row r="1874" spans="4:4">
      <c r="D1874" s="16"/>
    </row>
    <row r="1875" spans="4:4">
      <c r="D1875" s="16"/>
    </row>
    <row r="1876" spans="4:4">
      <c r="D1876" s="16"/>
    </row>
    <row r="1877" spans="4:4">
      <c r="D1877" s="16"/>
    </row>
    <row r="1878" spans="4:4">
      <c r="D1878" s="16"/>
    </row>
    <row r="1879" spans="4:4">
      <c r="D1879" s="16"/>
    </row>
    <row r="1880" spans="4:4">
      <c r="D1880" s="16"/>
    </row>
    <row r="1881" spans="4:4">
      <c r="D1881" s="16"/>
    </row>
    <row r="1882" spans="4:4">
      <c r="D1882" s="16"/>
    </row>
    <row r="1883" spans="4:4">
      <c r="D1883" s="16"/>
    </row>
    <row r="1884" spans="4:4">
      <c r="D1884" s="16"/>
    </row>
    <row r="1885" spans="4:4">
      <c r="D1885" s="16"/>
    </row>
    <row r="1886" spans="4:4">
      <c r="D1886" s="16"/>
    </row>
    <row r="1887" spans="4:4">
      <c r="D1887" s="16"/>
    </row>
    <row r="1888" spans="4:4">
      <c r="D1888" s="16"/>
    </row>
    <row r="1889" spans="4:4">
      <c r="D1889" s="16"/>
    </row>
    <row r="1890" spans="4:4">
      <c r="D1890" s="16"/>
    </row>
    <row r="1891" spans="4:4">
      <c r="D1891" s="16"/>
    </row>
    <row r="1892" spans="4:4">
      <c r="D1892" s="16"/>
    </row>
    <row r="1893" spans="4:4">
      <c r="D1893" s="16"/>
    </row>
    <row r="1894" spans="4:4">
      <c r="D1894" s="16"/>
    </row>
    <row r="1895" spans="4:4">
      <c r="D1895" s="16"/>
    </row>
    <row r="1896" spans="4:4">
      <c r="D1896" s="16"/>
    </row>
    <row r="1897" spans="4:4">
      <c r="D1897" s="16"/>
    </row>
    <row r="1898" spans="4:4">
      <c r="D1898" s="16"/>
    </row>
    <row r="1899" spans="4:4">
      <c r="D1899" s="16"/>
    </row>
    <row r="1900" spans="4:4">
      <c r="D1900" s="16"/>
    </row>
    <row r="1901" spans="4:4">
      <c r="D1901" s="16"/>
    </row>
    <row r="1902" spans="4:4">
      <c r="D1902" s="16"/>
    </row>
    <row r="1903" spans="4:4">
      <c r="D1903" s="16"/>
    </row>
    <row r="1904" spans="4:4">
      <c r="D1904" s="16"/>
    </row>
    <row r="1905" spans="4:4">
      <c r="D1905" s="16"/>
    </row>
    <row r="1906" spans="4:4">
      <c r="D1906" s="16"/>
    </row>
    <row r="1907" spans="4:4">
      <c r="D1907" s="16"/>
    </row>
    <row r="1908" spans="4:4">
      <c r="D1908" s="16"/>
    </row>
    <row r="1909" spans="4:4">
      <c r="D1909" s="16"/>
    </row>
    <row r="1910" spans="4:4">
      <c r="D1910" s="16"/>
    </row>
    <row r="1911" spans="4:4">
      <c r="D1911" s="16"/>
    </row>
    <row r="1912" spans="4:4">
      <c r="D1912" s="16"/>
    </row>
    <row r="1913" spans="4:4">
      <c r="D1913" s="16"/>
    </row>
    <row r="1914" spans="4:4">
      <c r="D1914" s="16"/>
    </row>
    <row r="1915" spans="4:4">
      <c r="D1915" s="16"/>
    </row>
    <row r="1916" spans="4:4">
      <c r="D1916" s="16"/>
    </row>
    <row r="1917" spans="4:4">
      <c r="D1917" s="16"/>
    </row>
    <row r="1918" spans="4:4">
      <c r="D1918" s="16"/>
    </row>
    <row r="1919" spans="4:4">
      <c r="D1919" s="16"/>
    </row>
    <row r="1920" spans="4:4">
      <c r="D1920" s="16"/>
    </row>
    <row r="1921" spans="4:4">
      <c r="D1921" s="16"/>
    </row>
    <row r="1922" spans="4:4">
      <c r="D1922" s="16"/>
    </row>
    <row r="1923" spans="4:4">
      <c r="D1923" s="16"/>
    </row>
    <row r="1924" spans="4:4">
      <c r="D1924" s="16"/>
    </row>
    <row r="1925" spans="4:4">
      <c r="D1925" s="16"/>
    </row>
    <row r="1926" spans="4:4">
      <c r="D1926" s="16"/>
    </row>
    <row r="1927" spans="4:4">
      <c r="D1927" s="16"/>
    </row>
    <row r="1928" spans="4:4">
      <c r="D1928" s="16"/>
    </row>
    <row r="1929" spans="4:4">
      <c r="D1929" s="16"/>
    </row>
    <row r="1930" spans="4:4">
      <c r="D1930" s="16"/>
    </row>
    <row r="1931" spans="4:4">
      <c r="D1931" s="16"/>
    </row>
    <row r="1932" spans="4:4">
      <c r="D1932" s="16"/>
    </row>
    <row r="1933" spans="4:4">
      <c r="D1933" s="16"/>
    </row>
    <row r="1934" spans="4:4">
      <c r="D1934" s="16"/>
    </row>
    <row r="1935" spans="4:4">
      <c r="D1935" s="16"/>
    </row>
    <row r="1936" spans="4:4">
      <c r="D1936" s="16"/>
    </row>
    <row r="1937" spans="4:4">
      <c r="D1937" s="16"/>
    </row>
    <row r="1938" spans="4:4">
      <c r="D1938" s="16"/>
    </row>
    <row r="1939" spans="4:4">
      <c r="D1939" s="16"/>
    </row>
    <row r="1940" spans="4:4">
      <c r="D1940" s="16"/>
    </row>
    <row r="1941" spans="4:4">
      <c r="D1941" s="16"/>
    </row>
    <row r="1942" spans="4:4">
      <c r="D1942" s="16"/>
    </row>
    <row r="1943" spans="4:4">
      <c r="D1943" s="16"/>
    </row>
    <row r="1944" spans="4:4">
      <c r="D1944" s="16"/>
    </row>
    <row r="1945" spans="4:4">
      <c r="D1945" s="16"/>
    </row>
    <row r="1946" spans="4:4">
      <c r="D1946" s="16"/>
    </row>
    <row r="1947" spans="4:4">
      <c r="D1947" s="16"/>
    </row>
    <row r="1948" spans="4:4">
      <c r="D1948" s="16"/>
    </row>
    <row r="1949" spans="4:4">
      <c r="D1949" s="16"/>
    </row>
    <row r="1950" spans="4:4">
      <c r="D1950" s="16"/>
    </row>
    <row r="1951" spans="4:4">
      <c r="D1951" s="16"/>
    </row>
    <row r="1952" spans="4:4">
      <c r="D1952" s="16"/>
    </row>
    <row r="1953" spans="4:4">
      <c r="D1953" s="16"/>
    </row>
    <row r="1954" spans="4:4">
      <c r="D1954" s="16"/>
    </row>
    <row r="1955" spans="4:4">
      <c r="D1955" s="16"/>
    </row>
    <row r="1956" spans="4:4">
      <c r="D1956" s="16"/>
    </row>
    <row r="1957" spans="4:4">
      <c r="D1957" s="16"/>
    </row>
    <row r="1958" spans="4:4">
      <c r="D1958" s="16"/>
    </row>
    <row r="1959" spans="4:4">
      <c r="D1959" s="16"/>
    </row>
    <row r="1960" spans="4:4">
      <c r="D1960" s="16"/>
    </row>
    <row r="1961" spans="4:4">
      <c r="D1961" s="16"/>
    </row>
    <row r="1962" spans="4:4">
      <c r="D1962" s="16"/>
    </row>
    <row r="1963" spans="4:4">
      <c r="D1963" s="16"/>
    </row>
    <row r="1964" spans="4:4">
      <c r="D1964" s="16"/>
    </row>
    <row r="1965" spans="4:4">
      <c r="D1965" s="16"/>
    </row>
    <row r="1966" spans="4:4">
      <c r="D1966" s="16"/>
    </row>
    <row r="1967" spans="4:4">
      <c r="D1967" s="16"/>
    </row>
    <row r="1968" spans="4:4">
      <c r="D1968" s="16"/>
    </row>
    <row r="1969" spans="4:4">
      <c r="D1969" s="16"/>
    </row>
    <row r="1970" spans="4:4">
      <c r="D1970" s="16"/>
    </row>
    <row r="1971" spans="4:4">
      <c r="D1971" s="16"/>
    </row>
    <row r="1972" spans="4:4">
      <c r="D1972" s="16"/>
    </row>
    <row r="1973" spans="4:4">
      <c r="D1973" s="16"/>
    </row>
    <row r="1974" spans="4:4">
      <c r="D1974" s="16"/>
    </row>
    <row r="1975" spans="4:4">
      <c r="D1975" s="16"/>
    </row>
    <row r="1976" spans="4:4">
      <c r="D1976" s="16"/>
    </row>
    <row r="1977" spans="4:4">
      <c r="D1977" s="16"/>
    </row>
    <row r="1978" spans="4:4">
      <c r="D1978" s="16"/>
    </row>
    <row r="1979" spans="4:4">
      <c r="D1979" s="16"/>
    </row>
    <row r="1980" spans="4:4">
      <c r="D1980" s="16"/>
    </row>
    <row r="1981" spans="4:4">
      <c r="D1981" s="16"/>
    </row>
    <row r="1982" spans="4:4">
      <c r="D1982" s="16"/>
    </row>
    <row r="1983" spans="4:4">
      <c r="D1983" s="16"/>
    </row>
    <row r="1984" spans="4:4">
      <c r="D1984" s="16"/>
    </row>
    <row r="1985" spans="4:4">
      <c r="D1985" s="16"/>
    </row>
    <row r="1986" spans="4:4">
      <c r="D1986" s="16"/>
    </row>
    <row r="1987" spans="4:4">
      <c r="D1987" s="16"/>
    </row>
    <row r="1988" spans="4:4">
      <c r="D1988" s="16"/>
    </row>
    <row r="1989" spans="4:4">
      <c r="D1989" s="16"/>
    </row>
    <row r="1990" spans="4:4">
      <c r="D1990" s="16"/>
    </row>
    <row r="1991" spans="4:4">
      <c r="D1991" s="16"/>
    </row>
    <row r="1992" spans="4:4">
      <c r="D1992" s="16"/>
    </row>
    <row r="1993" spans="4:4">
      <c r="D1993" s="16"/>
    </row>
    <row r="1994" spans="4:4">
      <c r="D1994" s="16"/>
    </row>
    <row r="1995" spans="4:4">
      <c r="D1995" s="16"/>
    </row>
    <row r="1996" spans="4:4">
      <c r="D1996" s="16"/>
    </row>
    <row r="1997" spans="4:4">
      <c r="D1997" s="16"/>
    </row>
    <row r="1998" spans="4:4">
      <c r="D1998" s="16"/>
    </row>
    <row r="1999" spans="4:4">
      <c r="D1999" s="16"/>
    </row>
    <row r="2000" spans="4:4">
      <c r="D2000" s="16"/>
    </row>
    <row r="2001" spans="4:4">
      <c r="D2001" s="16"/>
    </row>
    <row r="2002" spans="4:4">
      <c r="D2002" s="16"/>
    </row>
    <row r="2003" spans="4:4">
      <c r="D2003" s="16"/>
    </row>
    <row r="2004" spans="4:4">
      <c r="D2004" s="16"/>
    </row>
    <row r="2005" spans="4:4">
      <c r="D2005" s="16"/>
    </row>
    <row r="2006" spans="4:4">
      <c r="D2006" s="16"/>
    </row>
    <row r="2007" spans="4:4">
      <c r="D2007" s="16"/>
    </row>
    <row r="2008" spans="4:4">
      <c r="D2008" s="16"/>
    </row>
    <row r="2009" spans="4:4">
      <c r="D2009" s="16"/>
    </row>
    <row r="2010" spans="4:4">
      <c r="D2010" s="16"/>
    </row>
    <row r="2011" spans="4:4">
      <c r="D2011" s="16"/>
    </row>
    <row r="2012" spans="4:4">
      <c r="D2012" s="16"/>
    </row>
    <row r="2013" spans="4:4">
      <c r="D2013" s="16"/>
    </row>
    <row r="2014" spans="4:4">
      <c r="D2014" s="16"/>
    </row>
    <row r="2015" spans="4:4">
      <c r="D2015" s="16"/>
    </row>
    <row r="2016" spans="4:4">
      <c r="D2016" s="16"/>
    </row>
    <row r="2017" spans="4:4">
      <c r="D2017" s="16"/>
    </row>
    <row r="2018" spans="4:4">
      <c r="D2018" s="16"/>
    </row>
    <row r="2019" spans="4:4">
      <c r="D2019" s="16"/>
    </row>
    <row r="2020" spans="4:4">
      <c r="D2020" s="16"/>
    </row>
    <row r="2021" spans="4:4">
      <c r="D2021" s="16"/>
    </row>
    <row r="2022" spans="4:4">
      <c r="D2022" s="16"/>
    </row>
    <row r="2023" spans="4:4">
      <c r="D2023" s="16"/>
    </row>
    <row r="2024" spans="4:4">
      <c r="D2024" s="16"/>
    </row>
    <row r="2025" spans="4:4">
      <c r="D2025" s="16"/>
    </row>
    <row r="2026" spans="4:4">
      <c r="D2026" s="16"/>
    </row>
    <row r="2027" spans="4:4">
      <c r="D2027" s="16"/>
    </row>
    <row r="2028" spans="4:4">
      <c r="D2028" s="16"/>
    </row>
    <row r="2029" spans="4:4">
      <c r="D2029" s="16"/>
    </row>
    <row r="2030" spans="4:4">
      <c r="D2030" s="16"/>
    </row>
    <row r="2031" spans="4:4">
      <c r="D2031" s="16"/>
    </row>
    <row r="2032" spans="4:4">
      <c r="D2032" s="16"/>
    </row>
    <row r="2033" spans="4:4">
      <c r="D2033" s="16"/>
    </row>
    <row r="2034" spans="4:4">
      <c r="D2034" s="16"/>
    </row>
    <row r="2035" spans="4:4">
      <c r="D2035" s="16"/>
    </row>
    <row r="2036" spans="4:4">
      <c r="D2036" s="16"/>
    </row>
    <row r="2037" spans="4:4">
      <c r="D2037" s="16"/>
    </row>
    <row r="2038" spans="4:4">
      <c r="D2038" s="16"/>
    </row>
    <row r="2039" spans="4:4">
      <c r="D2039" s="16"/>
    </row>
    <row r="2040" spans="4:4">
      <c r="D2040" s="16"/>
    </row>
    <row r="2041" spans="4:4">
      <c r="D2041" s="16"/>
    </row>
    <row r="2042" spans="4:4">
      <c r="D2042" s="16"/>
    </row>
    <row r="2043" spans="4:4">
      <c r="D2043" s="16"/>
    </row>
    <row r="2044" spans="4:4">
      <c r="D2044" s="16"/>
    </row>
    <row r="2045" spans="4:4">
      <c r="D2045" s="16"/>
    </row>
    <row r="2046" spans="4:4">
      <c r="D2046" s="16"/>
    </row>
    <row r="2047" spans="4:4">
      <c r="D2047" s="16"/>
    </row>
    <row r="2048" spans="4:4">
      <c r="D2048" s="16"/>
    </row>
    <row r="2049" spans="4:4">
      <c r="D2049" s="16"/>
    </row>
    <row r="2050" spans="4:4">
      <c r="D2050" s="16"/>
    </row>
    <row r="2051" spans="4:4">
      <c r="D2051" s="16"/>
    </row>
    <row r="2052" spans="4:4">
      <c r="D2052" s="16"/>
    </row>
    <row r="2053" spans="4:4">
      <c r="D2053" s="16"/>
    </row>
    <row r="2054" spans="4:4">
      <c r="D2054" s="16"/>
    </row>
    <row r="2055" spans="4:4">
      <c r="D2055" s="16"/>
    </row>
    <row r="2056" spans="4:4">
      <c r="D2056" s="16"/>
    </row>
    <row r="2057" spans="4:4">
      <c r="D2057" s="16"/>
    </row>
    <row r="2058" spans="4:4">
      <c r="D2058" s="16"/>
    </row>
    <row r="2059" spans="4:4">
      <c r="D2059" s="16"/>
    </row>
    <row r="2060" spans="4:4">
      <c r="D2060" s="16"/>
    </row>
    <row r="2061" spans="4:4">
      <c r="D2061" s="16"/>
    </row>
    <row r="2062" spans="4:4">
      <c r="D2062" s="16"/>
    </row>
    <row r="2063" spans="4:4">
      <c r="D2063" s="16"/>
    </row>
    <row r="2064" spans="4:4">
      <c r="D2064" s="16"/>
    </row>
    <row r="2065" spans="4:4">
      <c r="D2065" s="16"/>
    </row>
    <row r="2066" spans="4:4">
      <c r="D2066" s="16"/>
    </row>
    <row r="2067" spans="4:4">
      <c r="D2067" s="16"/>
    </row>
    <row r="2068" spans="4:4">
      <c r="D2068" s="16"/>
    </row>
    <row r="2069" spans="4:4">
      <c r="D2069" s="16"/>
    </row>
    <row r="2070" spans="4:4">
      <c r="D2070" s="16"/>
    </row>
    <row r="2071" spans="4:4">
      <c r="D2071" s="16"/>
    </row>
    <row r="2072" spans="4:4">
      <c r="D2072" s="16"/>
    </row>
    <row r="2073" spans="4:4">
      <c r="D2073" s="16"/>
    </row>
    <row r="2074" spans="4:4">
      <c r="D2074" s="16"/>
    </row>
    <row r="2075" spans="4:4">
      <c r="D2075" s="16"/>
    </row>
    <row r="2076" spans="4:4">
      <c r="D2076" s="16"/>
    </row>
    <row r="2077" spans="4:4">
      <c r="D2077" s="16"/>
    </row>
    <row r="2078" spans="4:4">
      <c r="D2078" s="16"/>
    </row>
    <row r="2079" spans="4:4">
      <c r="D2079" s="16"/>
    </row>
    <row r="2080" spans="4:4">
      <c r="D2080" s="16"/>
    </row>
    <row r="2081" spans="4:4">
      <c r="D2081" s="16"/>
    </row>
    <row r="2082" spans="4:4">
      <c r="D2082" s="16"/>
    </row>
    <row r="2083" spans="4:4">
      <c r="D2083" s="16"/>
    </row>
    <row r="2084" spans="4:4">
      <c r="D2084" s="16"/>
    </row>
    <row r="2085" spans="4:4">
      <c r="D2085" s="16"/>
    </row>
    <row r="2086" spans="4:4">
      <c r="D2086" s="16"/>
    </row>
    <row r="2087" spans="4:4">
      <c r="D2087" s="16"/>
    </row>
    <row r="2088" spans="4:4">
      <c r="D2088" s="16"/>
    </row>
    <row r="2089" spans="4:4">
      <c r="D2089" s="16"/>
    </row>
    <row r="2090" spans="4:4">
      <c r="D2090" s="16"/>
    </row>
    <row r="2091" spans="4:4">
      <c r="D2091" s="16"/>
    </row>
    <row r="2092" spans="4:4">
      <c r="D2092" s="16"/>
    </row>
    <row r="2093" spans="4:4">
      <c r="D2093" s="16"/>
    </row>
    <row r="2094" spans="4:4">
      <c r="D2094" s="16"/>
    </row>
    <row r="2095" spans="4:4">
      <c r="D2095" s="16"/>
    </row>
    <row r="2096" spans="4:4">
      <c r="D2096" s="16"/>
    </row>
    <row r="2097" spans="4:4">
      <c r="D2097" s="16"/>
    </row>
    <row r="2098" spans="4:4">
      <c r="D2098" s="16"/>
    </row>
    <row r="2099" spans="4:4">
      <c r="D2099" s="16"/>
    </row>
    <row r="2100" spans="4:4">
      <c r="D2100" s="16"/>
    </row>
    <row r="2101" spans="4:4">
      <c r="D2101" s="16"/>
    </row>
    <row r="2102" spans="4:4">
      <c r="D2102" s="16"/>
    </row>
    <row r="2103" spans="4:4">
      <c r="D2103" s="16"/>
    </row>
    <row r="2104" spans="4:4">
      <c r="D2104" s="16"/>
    </row>
    <row r="2105" spans="4:4">
      <c r="D2105" s="16"/>
    </row>
    <row r="2106" spans="4:4">
      <c r="D2106" s="16"/>
    </row>
    <row r="2107" spans="4:4">
      <c r="D2107" s="16"/>
    </row>
    <row r="2108" spans="4:4">
      <c r="D2108" s="16"/>
    </row>
    <row r="2109" spans="4:4">
      <c r="D2109" s="16"/>
    </row>
    <row r="2110" spans="4:4">
      <c r="D2110" s="16"/>
    </row>
    <row r="2111" spans="4:4">
      <c r="D2111" s="16"/>
    </row>
    <row r="2112" spans="4:4">
      <c r="D2112" s="16"/>
    </row>
    <row r="2113" spans="4:4">
      <c r="D2113" s="16"/>
    </row>
    <row r="2114" spans="4:4">
      <c r="D2114" s="16"/>
    </row>
    <row r="2115" spans="4:4">
      <c r="D2115" s="16"/>
    </row>
    <row r="2116" spans="4:4">
      <c r="D2116" s="16"/>
    </row>
    <row r="2117" spans="4:4">
      <c r="D2117" s="16"/>
    </row>
    <row r="2118" spans="4:4">
      <c r="D2118" s="16"/>
    </row>
    <row r="2119" spans="4:4">
      <c r="D2119" s="16"/>
    </row>
    <row r="2120" spans="4:4">
      <c r="D2120" s="16"/>
    </row>
    <row r="2121" spans="4:4">
      <c r="D2121" s="16"/>
    </row>
    <row r="2122" spans="4:4">
      <c r="D2122" s="16"/>
    </row>
    <row r="2123" spans="4:4">
      <c r="D2123" s="16"/>
    </row>
    <row r="2124" spans="4:4">
      <c r="D2124" s="16"/>
    </row>
    <row r="2125" spans="4:4">
      <c r="D2125" s="16"/>
    </row>
    <row r="2126" spans="4:4">
      <c r="D2126" s="16"/>
    </row>
    <row r="2127" spans="4:4">
      <c r="D2127" s="16"/>
    </row>
    <row r="2128" spans="4:4">
      <c r="D2128" s="16"/>
    </row>
    <row r="2129" spans="4:4">
      <c r="D2129" s="16"/>
    </row>
    <row r="2130" spans="4:4">
      <c r="D2130" s="16"/>
    </row>
    <row r="2131" spans="4:4">
      <c r="D2131" s="16"/>
    </row>
    <row r="2132" spans="4:4">
      <c r="D2132" s="16"/>
    </row>
    <row r="2133" spans="4:4">
      <c r="D2133" s="16"/>
    </row>
    <row r="2134" spans="4:4">
      <c r="D2134" s="16"/>
    </row>
    <row r="2135" spans="4:4">
      <c r="D2135" s="16"/>
    </row>
    <row r="2136" spans="4:4">
      <c r="D2136" s="16"/>
    </row>
    <row r="2137" spans="4:4">
      <c r="D2137" s="16"/>
    </row>
    <row r="2138" spans="4:4">
      <c r="D2138" s="16"/>
    </row>
    <row r="2139" spans="4:4">
      <c r="D2139" s="16"/>
    </row>
    <row r="2140" spans="4:4">
      <c r="D2140" s="16"/>
    </row>
    <row r="2141" spans="4:4">
      <c r="D2141" s="16"/>
    </row>
    <row r="2142" spans="4:4">
      <c r="D2142" s="16"/>
    </row>
    <row r="2143" spans="4:4">
      <c r="D2143" s="16"/>
    </row>
    <row r="2144" spans="4:4">
      <c r="D2144" s="16"/>
    </row>
    <row r="2145" spans="4:4">
      <c r="D2145" s="16"/>
    </row>
    <row r="2146" spans="4:4">
      <c r="D2146" s="16"/>
    </row>
    <row r="2147" spans="4:4">
      <c r="D2147" s="16"/>
    </row>
    <row r="2148" spans="4:4">
      <c r="D2148" s="16"/>
    </row>
    <row r="2149" spans="4:4">
      <c r="D2149" s="16"/>
    </row>
    <row r="2150" spans="4:4">
      <c r="D2150" s="16"/>
    </row>
    <row r="2151" spans="4:4">
      <c r="D2151" s="16"/>
    </row>
    <row r="2152" spans="4:4">
      <c r="D2152" s="16"/>
    </row>
    <row r="2153" spans="4:4">
      <c r="D2153" s="16"/>
    </row>
    <row r="2154" spans="4:4">
      <c r="D2154" s="16"/>
    </row>
    <row r="2155" spans="4:4">
      <c r="D2155" s="16"/>
    </row>
    <row r="2156" spans="4:4">
      <c r="D2156" s="16"/>
    </row>
    <row r="2157" spans="4:4">
      <c r="D2157" s="16"/>
    </row>
    <row r="2158" spans="4:4">
      <c r="D2158" s="16"/>
    </row>
    <row r="2159" spans="4:4">
      <c r="D2159" s="16"/>
    </row>
    <row r="2160" spans="4:4">
      <c r="D2160" s="16"/>
    </row>
    <row r="2161" spans="4:4">
      <c r="D2161" s="16"/>
    </row>
    <row r="2162" spans="4:4">
      <c r="D2162" s="16"/>
    </row>
    <row r="2163" spans="4:4">
      <c r="D2163" s="16"/>
    </row>
    <row r="2164" spans="4:4">
      <c r="D2164" s="16"/>
    </row>
    <row r="2165" spans="4:4">
      <c r="D2165" s="16"/>
    </row>
    <row r="2166" spans="4:4">
      <c r="D2166" s="16"/>
    </row>
    <row r="2167" spans="4:4">
      <c r="D2167" s="16"/>
    </row>
    <row r="2168" spans="4:4">
      <c r="D2168" s="16"/>
    </row>
    <row r="2169" spans="4:4">
      <c r="D2169" s="16"/>
    </row>
    <row r="2170" spans="4:4">
      <c r="D2170" s="16"/>
    </row>
    <row r="2171" spans="4:4">
      <c r="D2171" s="16"/>
    </row>
    <row r="2172" spans="4:4">
      <c r="D2172" s="16"/>
    </row>
    <row r="2173" spans="4:4">
      <c r="D2173" s="16"/>
    </row>
    <row r="2174" spans="4:4">
      <c r="D2174" s="16"/>
    </row>
    <row r="2175" spans="4:4">
      <c r="D2175" s="16"/>
    </row>
    <row r="2176" spans="4:4">
      <c r="D2176" s="16"/>
    </row>
    <row r="2177" spans="4:4">
      <c r="D2177" s="16"/>
    </row>
    <row r="2178" spans="4:4">
      <c r="D2178" s="16"/>
    </row>
    <row r="2179" spans="4:4">
      <c r="D2179" s="16"/>
    </row>
    <row r="2180" spans="4:4">
      <c r="D2180" s="16"/>
    </row>
    <row r="2181" spans="4:4">
      <c r="D2181" s="16"/>
    </row>
    <row r="2182" spans="4:4">
      <c r="D2182" s="16"/>
    </row>
    <row r="2183" spans="4:4">
      <c r="D2183" s="16"/>
    </row>
    <row r="2184" spans="4:4">
      <c r="D2184" s="16"/>
    </row>
    <row r="2185" spans="4:4">
      <c r="D2185" s="16"/>
    </row>
    <row r="2186" spans="4:4">
      <c r="D2186" s="16"/>
    </row>
    <row r="2187" spans="4:4">
      <c r="D2187" s="16"/>
    </row>
    <row r="2188" spans="4:4">
      <c r="D2188" s="16"/>
    </row>
    <row r="2189" spans="4:4">
      <c r="D2189" s="16"/>
    </row>
    <row r="2190" spans="4:4">
      <c r="D2190" s="16"/>
    </row>
    <row r="2191" spans="4:4">
      <c r="D2191" s="16"/>
    </row>
    <row r="2192" spans="4:4">
      <c r="D2192" s="16"/>
    </row>
    <row r="2193" spans="4:4">
      <c r="D2193" s="16"/>
    </row>
    <row r="2194" spans="4:4">
      <c r="D2194" s="16"/>
    </row>
    <row r="2195" spans="4:4">
      <c r="D2195" s="16"/>
    </row>
    <row r="2196" spans="4:4">
      <c r="D2196" s="16"/>
    </row>
    <row r="2197" spans="4:4">
      <c r="D2197" s="16"/>
    </row>
    <row r="2198" spans="4:4">
      <c r="D2198" s="16"/>
    </row>
    <row r="2199" spans="4:4">
      <c r="D2199" s="16"/>
    </row>
    <row r="2200" spans="4:4">
      <c r="D2200" s="16"/>
    </row>
    <row r="2201" spans="4:4">
      <c r="D2201" s="16"/>
    </row>
    <row r="2202" spans="4:4">
      <c r="D2202" s="16"/>
    </row>
    <row r="2203" spans="4:4">
      <c r="D2203" s="16"/>
    </row>
    <row r="2204" spans="4:4">
      <c r="D2204" s="16"/>
    </row>
    <row r="2205" spans="4:4">
      <c r="D2205" s="16"/>
    </row>
    <row r="2206" spans="4:4">
      <c r="D2206" s="16"/>
    </row>
    <row r="2207" spans="4:4">
      <c r="D2207" s="16"/>
    </row>
    <row r="2208" spans="4:4">
      <c r="D2208" s="16"/>
    </row>
    <row r="2209" spans="4:4">
      <c r="D2209" s="16"/>
    </row>
    <row r="2210" spans="4:4">
      <c r="D2210" s="16"/>
    </row>
    <row r="2211" spans="4:4">
      <c r="D2211" s="16"/>
    </row>
    <row r="2212" spans="4:4">
      <c r="D2212" s="16"/>
    </row>
    <row r="2213" spans="4:4">
      <c r="D2213" s="16"/>
    </row>
    <row r="2214" spans="4:4">
      <c r="D2214" s="16"/>
    </row>
    <row r="2215" spans="4:4">
      <c r="D2215" s="16"/>
    </row>
    <row r="2216" spans="4:4">
      <c r="D2216" s="16"/>
    </row>
    <row r="2217" spans="4:4">
      <c r="D2217" s="16"/>
    </row>
    <row r="2218" spans="4:4">
      <c r="D2218" s="16"/>
    </row>
    <row r="2219" spans="4:4">
      <c r="D2219" s="16"/>
    </row>
    <row r="2220" spans="4:4">
      <c r="D2220" s="16"/>
    </row>
    <row r="2221" spans="4:4">
      <c r="D2221" s="16"/>
    </row>
    <row r="2222" spans="4:4">
      <c r="D2222" s="16"/>
    </row>
    <row r="2223" spans="4:4">
      <c r="D2223" s="16"/>
    </row>
    <row r="2224" spans="4:4">
      <c r="D2224" s="16"/>
    </row>
    <row r="2225" spans="4:4">
      <c r="D2225" s="16"/>
    </row>
    <row r="2226" spans="4:4">
      <c r="D2226" s="16"/>
    </row>
    <row r="2227" spans="4:4">
      <c r="D2227" s="16"/>
    </row>
    <row r="2228" spans="4:4">
      <c r="D2228" s="16"/>
    </row>
    <row r="2229" spans="4:4">
      <c r="D2229" s="16"/>
    </row>
    <row r="2230" spans="4:4">
      <c r="D2230" s="16"/>
    </row>
    <row r="2231" spans="4:4">
      <c r="D2231" s="16"/>
    </row>
    <row r="2232" spans="4:4">
      <c r="D2232" s="16"/>
    </row>
    <row r="2233" spans="4:4">
      <c r="D2233" s="16"/>
    </row>
    <row r="2234" spans="4:4">
      <c r="D2234" s="16"/>
    </row>
    <row r="2235" spans="4:4">
      <c r="D2235" s="16"/>
    </row>
    <row r="2236" spans="4:4">
      <c r="D2236" s="16"/>
    </row>
    <row r="2237" spans="4:4">
      <c r="D2237" s="16"/>
    </row>
    <row r="2238" spans="4:4">
      <c r="D2238" s="16"/>
    </row>
    <row r="2239" spans="4:4">
      <c r="D2239" s="16"/>
    </row>
    <row r="2240" spans="4:4">
      <c r="D2240" s="16"/>
    </row>
    <row r="2241" spans="4:4">
      <c r="D2241" s="16"/>
    </row>
    <row r="2242" spans="4:4">
      <c r="D2242" s="16"/>
    </row>
    <row r="2243" spans="4:4">
      <c r="D2243" s="16"/>
    </row>
    <row r="2244" spans="4:4">
      <c r="D2244" s="16"/>
    </row>
    <row r="2245" spans="4:4">
      <c r="D2245" s="16"/>
    </row>
    <row r="2246" spans="4:4">
      <c r="D2246" s="16"/>
    </row>
    <row r="2247" spans="4:4">
      <c r="D2247" s="16"/>
    </row>
    <row r="2248" spans="4:4">
      <c r="D2248" s="16"/>
    </row>
    <row r="2249" spans="4:4">
      <c r="D2249" s="16"/>
    </row>
    <row r="2250" spans="4:4">
      <c r="D2250" s="16"/>
    </row>
    <row r="2251" spans="4:4">
      <c r="D2251" s="16"/>
    </row>
    <row r="2252" spans="4:4">
      <c r="D2252" s="16"/>
    </row>
    <row r="2253" spans="4:4">
      <c r="D2253" s="16"/>
    </row>
    <row r="2254" spans="4:4">
      <c r="D2254" s="16"/>
    </row>
    <row r="2255" spans="4:4">
      <c r="D2255" s="16"/>
    </row>
    <row r="2256" spans="4:4">
      <c r="D2256" s="16"/>
    </row>
    <row r="2257" spans="4:4">
      <c r="D2257" s="16"/>
    </row>
    <row r="2258" spans="4:4">
      <c r="D2258" s="16"/>
    </row>
    <row r="2259" spans="4:4">
      <c r="D2259" s="16"/>
    </row>
    <row r="2260" spans="4:4">
      <c r="D2260" s="16"/>
    </row>
    <row r="2261" spans="4:4">
      <c r="D2261" s="16"/>
    </row>
    <row r="2262" spans="4:4">
      <c r="D2262" s="16"/>
    </row>
    <row r="2263" spans="4:4">
      <c r="D2263" s="16"/>
    </row>
    <row r="2264" spans="4:4">
      <c r="D2264" s="16"/>
    </row>
    <row r="2265" spans="4:4">
      <c r="D2265" s="16"/>
    </row>
    <row r="2266" spans="4:4">
      <c r="D2266" s="16"/>
    </row>
    <row r="2267" spans="4:4">
      <c r="D2267" s="16"/>
    </row>
    <row r="2268" spans="4:4">
      <c r="D2268" s="16"/>
    </row>
    <row r="2269" spans="4:4">
      <c r="D2269" s="16"/>
    </row>
    <row r="2270" spans="4:4">
      <c r="D2270" s="16"/>
    </row>
    <row r="2271" spans="4:4">
      <c r="D2271" s="16"/>
    </row>
    <row r="2272" spans="4:4">
      <c r="D2272" s="16"/>
    </row>
    <row r="2273" spans="4:4">
      <c r="D2273" s="16"/>
    </row>
    <row r="2274" spans="4:4">
      <c r="D2274" s="16"/>
    </row>
    <row r="2275" spans="4:4">
      <c r="D2275" s="16"/>
    </row>
    <row r="2276" spans="4:4">
      <c r="D2276" s="16"/>
    </row>
    <row r="2277" spans="4:4">
      <c r="D2277" s="16"/>
    </row>
    <row r="2278" spans="4:4">
      <c r="D2278" s="16"/>
    </row>
    <row r="2279" spans="4:4">
      <c r="D2279" s="16"/>
    </row>
    <row r="2280" spans="4:4">
      <c r="D2280" s="16"/>
    </row>
    <row r="2281" spans="4:4">
      <c r="D2281" s="16"/>
    </row>
    <row r="2282" spans="4:4">
      <c r="D2282" s="16"/>
    </row>
    <row r="2283" spans="4:4">
      <c r="D2283" s="16"/>
    </row>
    <row r="2284" spans="4:4">
      <c r="D2284" s="16"/>
    </row>
    <row r="2285" spans="4:4">
      <c r="D2285" s="16"/>
    </row>
    <row r="2286" spans="4:4">
      <c r="D2286" s="16"/>
    </row>
    <row r="2287" spans="4:4">
      <c r="D2287" s="16"/>
    </row>
    <row r="2288" spans="4:4">
      <c r="D2288" s="16"/>
    </row>
    <row r="2289" spans="4:4">
      <c r="D2289" s="16"/>
    </row>
    <row r="2290" spans="4:4">
      <c r="D2290" s="16"/>
    </row>
    <row r="2291" spans="4:4">
      <c r="D2291" s="16"/>
    </row>
    <row r="2292" spans="4:4">
      <c r="D2292" s="16"/>
    </row>
    <row r="2293" spans="4:4">
      <c r="D2293" s="16"/>
    </row>
    <row r="2294" spans="4:4">
      <c r="D2294" s="16"/>
    </row>
    <row r="2295" spans="4:4">
      <c r="D2295" s="16"/>
    </row>
    <row r="2296" spans="4:4">
      <c r="D2296" s="16"/>
    </row>
    <row r="2297" spans="4:4">
      <c r="D2297" s="16"/>
    </row>
    <row r="2298" spans="4:4">
      <c r="D2298" s="16"/>
    </row>
    <row r="2299" spans="4:4">
      <c r="D2299" s="16"/>
    </row>
    <row r="2300" spans="4:4">
      <c r="D2300" s="16"/>
    </row>
    <row r="2301" spans="4:4">
      <c r="D2301" s="16"/>
    </row>
    <row r="2302" spans="4:4">
      <c r="D2302" s="16"/>
    </row>
    <row r="2303" spans="4:4">
      <c r="D2303" s="16"/>
    </row>
    <row r="2304" spans="4:4">
      <c r="D2304" s="16"/>
    </row>
    <row r="2305" spans="4:4">
      <c r="D2305" s="16"/>
    </row>
    <row r="2306" spans="4:4">
      <c r="D2306" s="16"/>
    </row>
    <row r="2307" spans="4:4">
      <c r="D2307" s="16"/>
    </row>
    <row r="2308" spans="4:4">
      <c r="D2308" s="16"/>
    </row>
    <row r="2309" spans="4:4">
      <c r="D2309" s="16"/>
    </row>
    <row r="2310" spans="4:4">
      <c r="D2310" s="16"/>
    </row>
    <row r="2311" spans="4:4">
      <c r="D2311" s="16"/>
    </row>
    <row r="2312" spans="4:4">
      <c r="D2312" s="16"/>
    </row>
    <row r="2313" spans="4:4">
      <c r="D2313" s="16"/>
    </row>
    <row r="2314" spans="4:4">
      <c r="D2314" s="16"/>
    </row>
    <row r="2315" spans="4:4">
      <c r="D2315" s="16"/>
    </row>
    <row r="2316" spans="4:4">
      <c r="D2316" s="16"/>
    </row>
    <row r="2317" spans="4:4">
      <c r="D2317" s="16"/>
    </row>
    <row r="2318" spans="4:4">
      <c r="D2318" s="16"/>
    </row>
    <row r="2319" spans="4:4">
      <c r="D2319" s="16"/>
    </row>
    <row r="2320" spans="4:4">
      <c r="D2320" s="16"/>
    </row>
    <row r="2321" spans="4:4">
      <c r="D2321" s="16"/>
    </row>
    <row r="2322" spans="4:4">
      <c r="D2322" s="16"/>
    </row>
    <row r="2323" spans="4:4">
      <c r="D2323" s="16"/>
    </row>
    <row r="2324" spans="4:4">
      <c r="D2324" s="16"/>
    </row>
    <row r="2325" spans="4:4">
      <c r="D2325" s="16"/>
    </row>
    <row r="2326" spans="4:4">
      <c r="D2326" s="16"/>
    </row>
    <row r="2327" spans="4:4">
      <c r="D2327" s="16"/>
    </row>
    <row r="2328" spans="4:4">
      <c r="D2328" s="16"/>
    </row>
    <row r="2329" spans="4:4">
      <c r="D2329" s="16"/>
    </row>
    <row r="2330" spans="4:4">
      <c r="D2330" s="16"/>
    </row>
    <row r="2331" spans="4:4">
      <c r="D2331" s="16"/>
    </row>
    <row r="2332" spans="4:4">
      <c r="D2332" s="16"/>
    </row>
    <row r="2333" spans="4:4">
      <c r="D2333" s="16"/>
    </row>
    <row r="2334" spans="4:4">
      <c r="D2334" s="16"/>
    </row>
    <row r="2335" spans="4:4">
      <c r="D2335" s="16"/>
    </row>
    <row r="2336" spans="4:4">
      <c r="D2336" s="16"/>
    </row>
    <row r="2337" spans="4:4">
      <c r="D2337" s="16"/>
    </row>
    <row r="2338" spans="4:4">
      <c r="D2338" s="16"/>
    </row>
    <row r="2339" spans="4:4">
      <c r="D2339" s="16"/>
    </row>
    <row r="2340" spans="4:4">
      <c r="D2340" s="16"/>
    </row>
    <row r="2341" spans="4:4">
      <c r="D2341" s="16"/>
    </row>
    <row r="2342" spans="4:4">
      <c r="D2342" s="16"/>
    </row>
    <row r="2343" spans="4:4">
      <c r="D2343" s="16"/>
    </row>
    <row r="2344" spans="4:4">
      <c r="D2344" s="16"/>
    </row>
    <row r="2345" spans="4:4">
      <c r="D2345" s="16"/>
    </row>
    <row r="2346" spans="4:4">
      <c r="D2346" s="16"/>
    </row>
    <row r="2347" spans="4:4">
      <c r="D2347" s="16"/>
    </row>
    <row r="2348" spans="4:4">
      <c r="D2348" s="16"/>
    </row>
    <row r="2349" spans="4:4">
      <c r="D2349" s="16"/>
    </row>
    <row r="2350" spans="4:4">
      <c r="D2350" s="16"/>
    </row>
    <row r="2351" spans="4:4">
      <c r="D2351" s="16"/>
    </row>
    <row r="2352" spans="4:4">
      <c r="D2352" s="16"/>
    </row>
    <row r="2353" spans="4:4">
      <c r="D2353" s="16"/>
    </row>
    <row r="2354" spans="4:4">
      <c r="D2354" s="16"/>
    </row>
    <row r="2355" spans="4:4">
      <c r="D2355" s="16"/>
    </row>
    <row r="2356" spans="4:4">
      <c r="D2356" s="16"/>
    </row>
    <row r="2357" spans="4:4">
      <c r="D2357" s="16"/>
    </row>
    <row r="2358" spans="4:4">
      <c r="D2358" s="16"/>
    </row>
    <row r="2359" spans="4:4">
      <c r="D2359" s="16"/>
    </row>
    <row r="2360" spans="4:4">
      <c r="D2360" s="16"/>
    </row>
    <row r="2361" spans="4:4">
      <c r="D2361" s="16"/>
    </row>
    <row r="2362" spans="4:4">
      <c r="D2362" s="16"/>
    </row>
    <row r="2363" spans="4:4">
      <c r="D2363" s="16"/>
    </row>
    <row r="2364" spans="4:4">
      <c r="D2364" s="16"/>
    </row>
    <row r="2365" spans="4:4">
      <c r="D2365" s="16"/>
    </row>
    <row r="2366" spans="4:4">
      <c r="D2366" s="16"/>
    </row>
    <row r="2367" spans="4:4">
      <c r="D2367" s="16"/>
    </row>
    <row r="2368" spans="4:4">
      <c r="D2368" s="16"/>
    </row>
    <row r="2369" spans="4:4">
      <c r="D2369" s="16"/>
    </row>
    <row r="2370" spans="4:4">
      <c r="D2370" s="16"/>
    </row>
    <row r="2371" spans="4:4">
      <c r="D2371" s="16"/>
    </row>
    <row r="2372" spans="4:4">
      <c r="D2372" s="16"/>
    </row>
    <row r="2373" spans="4:4">
      <c r="D2373" s="16"/>
    </row>
    <row r="2374" spans="4:4">
      <c r="D2374" s="16"/>
    </row>
    <row r="2375" spans="4:4">
      <c r="D2375" s="16"/>
    </row>
    <row r="2376" spans="4:4">
      <c r="D2376" s="16"/>
    </row>
    <row r="2377" spans="4:4">
      <c r="D2377" s="16"/>
    </row>
    <row r="2378" spans="4:4">
      <c r="D2378" s="16"/>
    </row>
    <row r="2379" spans="4:4">
      <c r="D2379" s="16"/>
    </row>
    <row r="2380" spans="4:4">
      <c r="D2380" s="16"/>
    </row>
    <row r="2381" spans="4:4">
      <c r="D2381" s="16"/>
    </row>
    <row r="2382" spans="4:4">
      <c r="D2382" s="16"/>
    </row>
    <row r="2383" spans="4:4">
      <c r="D2383" s="16"/>
    </row>
    <row r="2384" spans="4:4">
      <c r="D2384" s="16"/>
    </row>
    <row r="2385" spans="4:4">
      <c r="D2385" s="16"/>
    </row>
    <row r="2386" spans="4:4">
      <c r="D2386" s="16"/>
    </row>
    <row r="2387" spans="4:4">
      <c r="D2387" s="16"/>
    </row>
    <row r="2388" spans="4:4">
      <c r="D2388" s="16"/>
    </row>
    <row r="2389" spans="4:4">
      <c r="D2389" s="16"/>
    </row>
    <row r="2390" spans="4:4">
      <c r="D2390" s="16"/>
    </row>
    <row r="2391" spans="4:4">
      <c r="D2391" s="16"/>
    </row>
    <row r="2392" spans="4:4">
      <c r="D2392" s="16"/>
    </row>
    <row r="2393" spans="4:4">
      <c r="D2393" s="16"/>
    </row>
    <row r="2394" spans="4:4">
      <c r="D2394" s="16"/>
    </row>
    <row r="2395" spans="4:4">
      <c r="D2395" s="16"/>
    </row>
    <row r="2396" spans="4:4">
      <c r="D2396" s="16"/>
    </row>
    <row r="2397" spans="4:4">
      <c r="D2397" s="16"/>
    </row>
    <row r="2398" spans="4:4">
      <c r="D2398" s="16"/>
    </row>
    <row r="2399" spans="4:4">
      <c r="D2399" s="16"/>
    </row>
    <row r="2400" spans="4:4">
      <c r="D2400" s="16"/>
    </row>
    <row r="2401" spans="4:4">
      <c r="D2401" s="16"/>
    </row>
    <row r="2402" spans="4:4">
      <c r="D2402" s="16"/>
    </row>
    <row r="2403" spans="4:4">
      <c r="D2403" s="16"/>
    </row>
    <row r="2404" spans="4:4">
      <c r="D2404" s="16"/>
    </row>
    <row r="2405" spans="4:4">
      <c r="D2405" s="16"/>
    </row>
    <row r="2406" spans="4:4">
      <c r="D2406" s="16"/>
    </row>
    <row r="2407" spans="4:4">
      <c r="D2407" s="16"/>
    </row>
    <row r="2408" spans="4:4">
      <c r="D2408" s="16"/>
    </row>
    <row r="2409" spans="4:4">
      <c r="D2409" s="16"/>
    </row>
    <row r="2410" spans="4:4">
      <c r="D2410" s="16"/>
    </row>
    <row r="2411" spans="4:4">
      <c r="D2411" s="16"/>
    </row>
    <row r="2412" spans="4:4">
      <c r="D2412" s="16"/>
    </row>
    <row r="2413" spans="4:4">
      <c r="D2413" s="16"/>
    </row>
    <row r="2414" spans="4:4">
      <c r="D2414" s="16"/>
    </row>
    <row r="2415" spans="4:4">
      <c r="D2415" s="16"/>
    </row>
    <row r="2416" spans="4:4">
      <c r="D2416" s="16"/>
    </row>
    <row r="2417" spans="4:4">
      <c r="D2417" s="16"/>
    </row>
    <row r="2418" spans="4:4">
      <c r="D2418" s="16"/>
    </row>
    <row r="2419" spans="4:4">
      <c r="D2419" s="16"/>
    </row>
    <row r="2420" spans="4:4">
      <c r="D2420" s="16"/>
    </row>
    <row r="2421" spans="4:4">
      <c r="D2421" s="16"/>
    </row>
    <row r="2422" spans="4:4">
      <c r="D2422" s="16"/>
    </row>
    <row r="2423" spans="4:4">
      <c r="D2423" s="16"/>
    </row>
    <row r="2424" spans="4:4">
      <c r="D2424" s="16"/>
    </row>
    <row r="2425" spans="4:4">
      <c r="D2425" s="16"/>
    </row>
    <row r="2426" spans="4:4">
      <c r="D2426" s="16"/>
    </row>
    <row r="2427" spans="4:4">
      <c r="D2427" s="16"/>
    </row>
    <row r="2428" spans="4:4">
      <c r="D2428" s="16"/>
    </row>
    <row r="2429" spans="4:4">
      <c r="D2429" s="16"/>
    </row>
    <row r="2430" spans="4:4">
      <c r="D2430" s="16"/>
    </row>
    <row r="2431" spans="4:4">
      <c r="D2431" s="16"/>
    </row>
    <row r="2432" spans="4:4">
      <c r="D2432" s="16"/>
    </row>
    <row r="2433" spans="4:4">
      <c r="D2433" s="16"/>
    </row>
    <row r="2434" spans="4:4">
      <c r="D2434" s="16"/>
    </row>
    <row r="2435" spans="4:4">
      <c r="D2435" s="16"/>
    </row>
    <row r="2436" spans="4:4">
      <c r="D2436" s="16"/>
    </row>
    <row r="2437" spans="4:4">
      <c r="D2437" s="16"/>
    </row>
    <row r="2438" spans="4:4">
      <c r="D2438" s="16"/>
    </row>
    <row r="2439" spans="4:4">
      <c r="D2439" s="16"/>
    </row>
    <row r="2440" spans="4:4">
      <c r="D2440" s="16"/>
    </row>
    <row r="2441" spans="4:4">
      <c r="D2441" s="16"/>
    </row>
    <row r="2442" spans="4:4">
      <c r="D2442" s="16"/>
    </row>
    <row r="2443" spans="4:4">
      <c r="D2443" s="16"/>
    </row>
    <row r="2444" spans="4:4">
      <c r="D2444" s="16"/>
    </row>
    <row r="2445" spans="4:4">
      <c r="D2445" s="16"/>
    </row>
    <row r="2446" spans="4:4">
      <c r="D2446" s="16"/>
    </row>
    <row r="2447" spans="4:4">
      <c r="D2447" s="16"/>
    </row>
    <row r="2448" spans="4:4">
      <c r="D2448" s="16"/>
    </row>
    <row r="2449" spans="4:4">
      <c r="D2449" s="16"/>
    </row>
    <row r="2450" spans="4:4">
      <c r="D2450" s="16"/>
    </row>
    <row r="2451" spans="4:4">
      <c r="D2451" s="16"/>
    </row>
    <row r="2452" spans="4:4">
      <c r="D2452" s="16"/>
    </row>
    <row r="2453" spans="4:4">
      <c r="D2453" s="16"/>
    </row>
    <row r="2454" spans="4:4">
      <c r="D2454" s="16"/>
    </row>
    <row r="2455" spans="4:4">
      <c r="D2455" s="16"/>
    </row>
    <row r="2456" spans="4:4">
      <c r="D2456" s="16"/>
    </row>
    <row r="2457" spans="4:4">
      <c r="D2457" s="16"/>
    </row>
    <row r="2458" spans="4:4">
      <c r="D2458" s="16"/>
    </row>
    <row r="2459" spans="4:4">
      <c r="D2459" s="16"/>
    </row>
    <row r="2460" spans="4:4">
      <c r="D2460" s="16"/>
    </row>
    <row r="2461" spans="4:4">
      <c r="D2461" s="16"/>
    </row>
    <row r="2462" spans="4:4">
      <c r="D2462" s="16"/>
    </row>
    <row r="2463" spans="4:4">
      <c r="D2463" s="16"/>
    </row>
    <row r="2464" spans="4:4">
      <c r="D2464" s="16"/>
    </row>
    <row r="2465" spans="4:4">
      <c r="D2465" s="16"/>
    </row>
    <row r="2466" spans="4:4">
      <c r="D2466" s="16"/>
    </row>
    <row r="2467" spans="4:4">
      <c r="D2467" s="16"/>
    </row>
    <row r="2468" spans="4:4">
      <c r="D2468" s="16"/>
    </row>
    <row r="2469" spans="4:4">
      <c r="D2469" s="16"/>
    </row>
    <row r="2470" spans="4:4">
      <c r="D2470" s="16"/>
    </row>
    <row r="2471" spans="4:4">
      <c r="D2471" s="16"/>
    </row>
    <row r="2472" spans="4:4">
      <c r="D2472" s="16"/>
    </row>
    <row r="2473" spans="4:4">
      <c r="D2473" s="16"/>
    </row>
    <row r="2474" spans="4:4">
      <c r="D2474" s="16"/>
    </row>
    <row r="2475" spans="4:4">
      <c r="D2475" s="16"/>
    </row>
    <row r="2476" spans="4:4">
      <c r="D2476" s="16"/>
    </row>
    <row r="2477" spans="4:4">
      <c r="D2477" s="16"/>
    </row>
    <row r="2478" spans="4:4">
      <c r="D2478" s="16"/>
    </row>
    <row r="2479" spans="4:4">
      <c r="D2479" s="16"/>
    </row>
    <row r="2480" spans="4:4">
      <c r="D2480" s="16"/>
    </row>
    <row r="2481" spans="4:4">
      <c r="D2481" s="16"/>
    </row>
    <row r="2482" spans="4:4">
      <c r="D2482" s="16"/>
    </row>
    <row r="2483" spans="4:4">
      <c r="D2483" s="16"/>
    </row>
    <row r="2484" spans="4:4">
      <c r="D2484" s="16"/>
    </row>
    <row r="2485" spans="4:4">
      <c r="D2485" s="16"/>
    </row>
    <row r="2486" spans="4:4">
      <c r="D2486" s="16"/>
    </row>
    <row r="2487" spans="4:4">
      <c r="D2487" s="16"/>
    </row>
    <row r="2488" spans="4:4">
      <c r="D2488" s="16"/>
    </row>
    <row r="2489" spans="4:4">
      <c r="D2489" s="16"/>
    </row>
    <row r="2490" spans="4:4">
      <c r="D2490" s="16"/>
    </row>
    <row r="2491" spans="4:4">
      <c r="D2491" s="16"/>
    </row>
    <row r="2492" spans="4:4">
      <c r="D2492" s="16"/>
    </row>
    <row r="2493" spans="4:4">
      <c r="D2493" s="16"/>
    </row>
    <row r="2494" spans="4:4">
      <c r="D2494" s="16"/>
    </row>
    <row r="2495" spans="4:4">
      <c r="D2495" s="16"/>
    </row>
    <row r="2496" spans="4:4">
      <c r="D2496" s="16"/>
    </row>
    <row r="2497" spans="4:4">
      <c r="D2497" s="16"/>
    </row>
    <row r="2498" spans="4:4">
      <c r="D2498" s="16"/>
    </row>
    <row r="2499" spans="4:4">
      <c r="D2499" s="16"/>
    </row>
    <row r="2500" spans="4:4">
      <c r="D2500" s="16"/>
    </row>
    <row r="2501" spans="4:4">
      <c r="D2501" s="16"/>
    </row>
    <row r="2502" spans="4:4">
      <c r="D2502" s="16"/>
    </row>
    <row r="2503" spans="4:4">
      <c r="D2503" s="16"/>
    </row>
    <row r="2504" spans="4:4">
      <c r="D2504" s="16"/>
    </row>
    <row r="2505" spans="4:4">
      <c r="D2505" s="16"/>
    </row>
    <row r="2506" spans="4:4">
      <c r="D2506" s="16"/>
    </row>
    <row r="2507" spans="4:4">
      <c r="D2507" s="16"/>
    </row>
    <row r="2508" spans="4:4">
      <c r="D2508" s="16"/>
    </row>
    <row r="2509" spans="4:4">
      <c r="D2509" s="16"/>
    </row>
    <row r="2510" spans="4:4">
      <c r="D2510" s="16"/>
    </row>
    <row r="2511" spans="4:4">
      <c r="D2511" s="16"/>
    </row>
    <row r="2512" spans="4:4">
      <c r="D2512" s="16"/>
    </row>
    <row r="2513" spans="4:4">
      <c r="D2513" s="16"/>
    </row>
    <row r="2514" spans="4:4">
      <c r="D2514" s="16"/>
    </row>
    <row r="2515" spans="4:4">
      <c r="D2515" s="16"/>
    </row>
    <row r="2516" spans="4:4">
      <c r="D2516" s="16"/>
    </row>
    <row r="2517" spans="4:4">
      <c r="D2517" s="16"/>
    </row>
    <row r="2518" spans="4:4">
      <c r="D2518" s="16"/>
    </row>
    <row r="2519" spans="4:4">
      <c r="D2519" s="16"/>
    </row>
    <row r="2520" spans="4:4">
      <c r="D2520" s="16"/>
    </row>
    <row r="2521" spans="4:4">
      <c r="D2521" s="16"/>
    </row>
    <row r="2522" spans="4:4">
      <c r="D2522" s="16"/>
    </row>
    <row r="2523" spans="4:4">
      <c r="D2523" s="16"/>
    </row>
    <row r="2524" spans="4:4">
      <c r="D2524" s="16"/>
    </row>
    <row r="2525" spans="4:4">
      <c r="D2525" s="16"/>
    </row>
    <row r="2526" spans="4:4">
      <c r="D2526" s="16"/>
    </row>
    <row r="2527" spans="4:4">
      <c r="D2527" s="16"/>
    </row>
    <row r="2528" spans="4:4">
      <c r="D2528" s="16"/>
    </row>
    <row r="2529" spans="4:4">
      <c r="D2529" s="16"/>
    </row>
    <row r="2530" spans="4:4">
      <c r="D2530" s="16"/>
    </row>
    <row r="2531" spans="4:4">
      <c r="D2531" s="16"/>
    </row>
    <row r="2532" spans="4:4">
      <c r="D2532" s="16"/>
    </row>
    <row r="2533" spans="4:4">
      <c r="D2533" s="16"/>
    </row>
    <row r="2534" spans="4:4">
      <c r="D2534" s="16"/>
    </row>
    <row r="2535" spans="4:4">
      <c r="D2535" s="16"/>
    </row>
    <row r="2536" spans="4:4">
      <c r="D2536" s="16"/>
    </row>
    <row r="2537" spans="4:4">
      <c r="D2537" s="16"/>
    </row>
    <row r="2538" spans="4:4">
      <c r="D2538" s="16"/>
    </row>
    <row r="2539" spans="4:4">
      <c r="D2539" s="16"/>
    </row>
    <row r="2540" spans="4:4">
      <c r="D2540" s="16"/>
    </row>
    <row r="2541" spans="4:4">
      <c r="D2541" s="16"/>
    </row>
    <row r="2542" spans="4:4">
      <c r="D2542" s="16"/>
    </row>
    <row r="2543" spans="4:4">
      <c r="D2543" s="16"/>
    </row>
    <row r="2544" spans="4:4">
      <c r="D2544" s="16"/>
    </row>
    <row r="2545" spans="4:4">
      <c r="D2545" s="16"/>
    </row>
    <row r="2546" spans="4:4">
      <c r="D2546" s="16"/>
    </row>
    <row r="2547" spans="4:4">
      <c r="D2547" s="16"/>
    </row>
    <row r="2548" spans="4:4">
      <c r="D2548" s="16"/>
    </row>
    <row r="2549" spans="4:4">
      <c r="D2549" s="16"/>
    </row>
    <row r="2550" spans="4:4">
      <c r="D2550" s="16"/>
    </row>
    <row r="2551" spans="4:4">
      <c r="D2551" s="16"/>
    </row>
    <row r="2552" spans="4:4">
      <c r="D2552" s="16"/>
    </row>
    <row r="2553" spans="4:4">
      <c r="D2553" s="16"/>
    </row>
    <row r="2554" spans="4:4">
      <c r="D2554" s="16"/>
    </row>
    <row r="2555" spans="4:4">
      <c r="D2555" s="16"/>
    </row>
    <row r="2556" spans="4:4">
      <c r="D2556" s="16"/>
    </row>
    <row r="2557" spans="4:4">
      <c r="D2557" s="16"/>
    </row>
    <row r="2558" spans="4:4">
      <c r="D2558" s="16"/>
    </row>
    <row r="2559" spans="4:4">
      <c r="D2559" s="16"/>
    </row>
    <row r="2560" spans="4:4">
      <c r="D2560" s="16"/>
    </row>
    <row r="2561" spans="4:4">
      <c r="D2561" s="16"/>
    </row>
    <row r="2562" spans="4:4">
      <c r="D2562" s="16"/>
    </row>
    <row r="2563" spans="4:4">
      <c r="D2563" s="16"/>
    </row>
    <row r="2564" spans="4:4">
      <c r="D2564" s="16"/>
    </row>
    <row r="2565" spans="4:4">
      <c r="D2565" s="16"/>
    </row>
    <row r="2566" spans="4:4">
      <c r="D2566" s="16"/>
    </row>
    <row r="2567" spans="4:4">
      <c r="D2567" s="16"/>
    </row>
    <row r="2568" spans="4:4">
      <c r="D2568" s="16"/>
    </row>
    <row r="2569" spans="4:4">
      <c r="D2569" s="16"/>
    </row>
    <row r="2570" spans="4:4">
      <c r="D2570" s="16"/>
    </row>
    <row r="2571" spans="4:4">
      <c r="D2571" s="16"/>
    </row>
    <row r="2572" spans="4:4">
      <c r="D2572" s="16"/>
    </row>
    <row r="2573" spans="4:4">
      <c r="D2573" s="16"/>
    </row>
    <row r="2574" spans="4:4">
      <c r="D2574" s="16"/>
    </row>
    <row r="2575" spans="4:4">
      <c r="D2575" s="16"/>
    </row>
    <row r="2576" spans="4:4">
      <c r="D2576" s="16"/>
    </row>
    <row r="2577" spans="4:4">
      <c r="D2577" s="16"/>
    </row>
    <row r="2578" spans="4:4">
      <c r="D2578" s="16"/>
    </row>
    <row r="2579" spans="4:4">
      <c r="D2579" s="16"/>
    </row>
    <row r="2580" spans="4:4">
      <c r="D2580" s="16"/>
    </row>
    <row r="2581" spans="4:4">
      <c r="D2581" s="16"/>
    </row>
    <row r="2582" spans="4:4">
      <c r="D2582" s="16"/>
    </row>
    <row r="2583" spans="4:4">
      <c r="D2583" s="16"/>
    </row>
    <row r="2584" spans="4:4">
      <c r="D2584" s="16"/>
    </row>
    <row r="2585" spans="4:4">
      <c r="D2585" s="16"/>
    </row>
    <row r="2586" spans="4:4">
      <c r="D2586" s="16"/>
    </row>
    <row r="2587" spans="4:4">
      <c r="D2587" s="16"/>
    </row>
    <row r="2588" spans="4:4">
      <c r="D2588" s="16"/>
    </row>
    <row r="2589" spans="4:4">
      <c r="D2589" s="16"/>
    </row>
    <row r="2590" spans="4:4">
      <c r="D2590" s="16"/>
    </row>
    <row r="2591" spans="4:4">
      <c r="D2591" s="16"/>
    </row>
    <row r="2592" spans="4:4">
      <c r="D2592" s="16"/>
    </row>
    <row r="2593" spans="4:4">
      <c r="D2593" s="16"/>
    </row>
    <row r="2594" spans="4:4">
      <c r="D2594" s="16"/>
    </row>
    <row r="2595" spans="4:4">
      <c r="D2595" s="16"/>
    </row>
    <row r="2596" spans="4:4">
      <c r="D2596" s="16"/>
    </row>
    <row r="2597" spans="4:4">
      <c r="D2597" s="16"/>
    </row>
    <row r="2598" spans="4:4">
      <c r="D2598" s="16"/>
    </row>
    <row r="2599" spans="4:4">
      <c r="D2599" s="16"/>
    </row>
    <row r="2600" spans="4:4">
      <c r="D2600" s="16"/>
    </row>
    <row r="2601" spans="4:4">
      <c r="D2601" s="16"/>
    </row>
    <row r="2602" spans="4:4">
      <c r="D2602" s="16"/>
    </row>
    <row r="2603" spans="4:4">
      <c r="D2603" s="16"/>
    </row>
    <row r="2604" spans="4:4">
      <c r="D2604" s="16"/>
    </row>
    <row r="2605" spans="4:4">
      <c r="D2605" s="16"/>
    </row>
    <row r="2606" spans="4:4">
      <c r="D2606" s="16"/>
    </row>
    <row r="2607" spans="4:4">
      <c r="D2607" s="16"/>
    </row>
    <row r="2608" spans="4:4">
      <c r="D2608" s="16"/>
    </row>
    <row r="2609" spans="4:4">
      <c r="D2609" s="16"/>
    </row>
    <row r="2610" spans="4:4">
      <c r="D2610" s="16"/>
    </row>
    <row r="2611" spans="4:4">
      <c r="D2611" s="16"/>
    </row>
    <row r="2612" spans="4:4">
      <c r="D2612" s="16"/>
    </row>
    <row r="2613" spans="4:4">
      <c r="D2613" s="16"/>
    </row>
    <row r="2614" spans="4:4">
      <c r="D2614" s="16"/>
    </row>
    <row r="2615" spans="4:4">
      <c r="D2615" s="16"/>
    </row>
    <row r="2616" spans="4:4">
      <c r="D2616" s="16"/>
    </row>
    <row r="2617" spans="4:4">
      <c r="D2617" s="16"/>
    </row>
    <row r="2618" spans="4:4">
      <c r="D2618" s="16"/>
    </row>
    <row r="2619" spans="4:4">
      <c r="D2619" s="16"/>
    </row>
    <row r="2620" spans="4:4">
      <c r="D2620" s="16"/>
    </row>
    <row r="2621" spans="4:4">
      <c r="D2621" s="16"/>
    </row>
    <row r="2622" spans="4:4">
      <c r="D2622" s="16"/>
    </row>
    <row r="2623" spans="4:4">
      <c r="D2623" s="16"/>
    </row>
    <row r="2624" spans="4:4">
      <c r="D2624" s="16"/>
    </row>
    <row r="2625" spans="4:4">
      <c r="D2625" s="16"/>
    </row>
    <row r="2626" spans="4:4">
      <c r="D2626" s="16"/>
    </row>
    <row r="2627" spans="4:4">
      <c r="D2627" s="16"/>
    </row>
    <row r="2628" spans="4:4">
      <c r="D2628" s="16"/>
    </row>
    <row r="2629" spans="4:4">
      <c r="D2629" s="16"/>
    </row>
    <row r="2630" spans="4:4">
      <c r="D2630" s="16"/>
    </row>
    <row r="2631" spans="4:4">
      <c r="D2631" s="16"/>
    </row>
    <row r="2632" spans="4:4">
      <c r="D2632" s="16"/>
    </row>
    <row r="2633" spans="4:4">
      <c r="D2633" s="16"/>
    </row>
    <row r="2634" spans="4:4">
      <c r="D2634" s="16"/>
    </row>
    <row r="2635" spans="4:4">
      <c r="D2635" s="16"/>
    </row>
    <row r="2636" spans="4:4">
      <c r="D2636" s="16"/>
    </row>
    <row r="2637" spans="4:4">
      <c r="D2637" s="16"/>
    </row>
    <row r="2638" spans="4:4">
      <c r="D2638" s="16"/>
    </row>
    <row r="2639" spans="4:4">
      <c r="D2639" s="16"/>
    </row>
    <row r="2640" spans="4:4">
      <c r="D2640" s="16"/>
    </row>
    <row r="2641" spans="4:4">
      <c r="D2641" s="16"/>
    </row>
    <row r="2642" spans="4:4">
      <c r="D2642" s="16"/>
    </row>
    <row r="2643" spans="4:4">
      <c r="D2643" s="16"/>
    </row>
    <row r="2644" spans="4:4">
      <c r="D2644" s="16"/>
    </row>
    <row r="2645" spans="4:4">
      <c r="D2645" s="16"/>
    </row>
    <row r="2646" spans="4:4">
      <c r="D2646" s="16"/>
    </row>
    <row r="2647" spans="4:4">
      <c r="D2647" s="16"/>
    </row>
    <row r="2648" spans="4:4">
      <c r="D2648" s="16"/>
    </row>
    <row r="2649" spans="4:4">
      <c r="D2649" s="16"/>
    </row>
    <row r="2650" spans="4:4">
      <c r="D2650" s="16"/>
    </row>
    <row r="2651" spans="4:4">
      <c r="D2651" s="16"/>
    </row>
    <row r="2652" spans="4:4">
      <c r="D2652" s="16"/>
    </row>
    <row r="2653" spans="4:4">
      <c r="D2653" s="16"/>
    </row>
    <row r="2654" spans="4:4">
      <c r="D2654" s="16"/>
    </row>
    <row r="2655" spans="4:4">
      <c r="D2655" s="16"/>
    </row>
    <row r="2656" spans="4:4">
      <c r="D2656" s="16"/>
    </row>
    <row r="2657" spans="4:4">
      <c r="D2657" s="16"/>
    </row>
    <row r="2658" spans="4:4">
      <c r="D2658" s="16"/>
    </row>
    <row r="2659" spans="4:4">
      <c r="D2659" s="16"/>
    </row>
    <row r="2660" spans="4:4">
      <c r="D2660" s="16"/>
    </row>
    <row r="2661" spans="4:4">
      <c r="D2661" s="16"/>
    </row>
    <row r="2662" spans="4:4">
      <c r="D2662" s="16"/>
    </row>
    <row r="2663" spans="4:4">
      <c r="D2663" s="16"/>
    </row>
    <row r="2664" spans="4:4">
      <c r="D2664" s="16"/>
    </row>
    <row r="2665" spans="4:4">
      <c r="D2665" s="16"/>
    </row>
    <row r="2666" spans="4:4">
      <c r="D2666" s="16"/>
    </row>
    <row r="2667" spans="4:4">
      <c r="D2667" s="16"/>
    </row>
    <row r="2668" spans="4:4">
      <c r="D2668" s="16"/>
    </row>
    <row r="2669" spans="4:4">
      <c r="D2669" s="16"/>
    </row>
    <row r="2670" spans="4:4">
      <c r="D2670" s="16"/>
    </row>
    <row r="2671" spans="4:4">
      <c r="D2671" s="16"/>
    </row>
    <row r="2672" spans="4:4">
      <c r="D2672" s="16"/>
    </row>
    <row r="2673" spans="4:4">
      <c r="D2673" s="16"/>
    </row>
    <row r="2674" spans="4:4">
      <c r="D2674" s="16"/>
    </row>
    <row r="2675" spans="4:4">
      <c r="D2675" s="16"/>
    </row>
    <row r="2676" spans="4:4">
      <c r="D2676" s="16"/>
    </row>
    <row r="2677" spans="4:4">
      <c r="D2677" s="16"/>
    </row>
    <row r="2678" spans="4:4">
      <c r="D2678" s="16"/>
    </row>
    <row r="2679" spans="4:4">
      <c r="D2679" s="16"/>
    </row>
    <row r="2680" spans="4:4">
      <c r="D2680" s="16"/>
    </row>
    <row r="2681" spans="4:4">
      <c r="D2681" s="16"/>
    </row>
    <row r="2682" spans="4:4">
      <c r="D2682" s="16"/>
    </row>
    <row r="2683" spans="4:4">
      <c r="D2683" s="16"/>
    </row>
    <row r="2684" spans="4:4">
      <c r="D2684" s="16"/>
    </row>
    <row r="2685" spans="4:4">
      <c r="D2685" s="16"/>
    </row>
    <row r="2686" spans="4:4">
      <c r="D2686" s="16"/>
    </row>
    <row r="2687" spans="4:4">
      <c r="D2687" s="16"/>
    </row>
    <row r="2688" spans="4:4">
      <c r="D2688" s="16"/>
    </row>
    <row r="2689" spans="4:4">
      <c r="D2689" s="16"/>
    </row>
    <row r="2690" spans="4:4">
      <c r="D2690" s="16"/>
    </row>
    <row r="2691" spans="4:4">
      <c r="D2691" s="16"/>
    </row>
    <row r="2692" spans="4:4">
      <c r="D2692" s="16"/>
    </row>
    <row r="2693" spans="4:4">
      <c r="D2693" s="16"/>
    </row>
    <row r="2694" spans="4:4">
      <c r="D2694" s="16"/>
    </row>
    <row r="2695" spans="4:4">
      <c r="D2695" s="16"/>
    </row>
    <row r="2696" spans="4:4">
      <c r="D2696" s="16"/>
    </row>
    <row r="2697" spans="4:4">
      <c r="D2697" s="16"/>
    </row>
    <row r="2698" spans="4:4">
      <c r="D2698" s="16"/>
    </row>
    <row r="2699" spans="4:4">
      <c r="D2699" s="16"/>
    </row>
    <row r="2700" spans="4:4">
      <c r="D2700" s="16"/>
    </row>
    <row r="2701" spans="4:4">
      <c r="D2701" s="16"/>
    </row>
    <row r="2702" spans="4:4">
      <c r="D2702" s="16"/>
    </row>
    <row r="2703" spans="4:4">
      <c r="D2703" s="16"/>
    </row>
    <row r="2704" spans="4:4">
      <c r="D2704" s="16"/>
    </row>
    <row r="2705" spans="4:4">
      <c r="D2705" s="16"/>
    </row>
    <row r="2706" spans="4:4">
      <c r="D2706" s="16"/>
    </row>
    <row r="2707" spans="4:4">
      <c r="D2707" s="16"/>
    </row>
    <row r="2708" spans="4:4">
      <c r="D2708" s="16"/>
    </row>
    <row r="2709" spans="4:4">
      <c r="D2709" s="16"/>
    </row>
    <row r="2710" spans="4:4">
      <c r="D2710" s="16"/>
    </row>
    <row r="2711" spans="4:4">
      <c r="D2711" s="16"/>
    </row>
    <row r="2712" spans="4:4">
      <c r="D2712" s="16"/>
    </row>
    <row r="2713" spans="4:4">
      <c r="D2713" s="16"/>
    </row>
    <row r="2714" spans="4:4">
      <c r="D2714" s="16"/>
    </row>
    <row r="2715" spans="4:4">
      <c r="D2715" s="16"/>
    </row>
    <row r="2716" spans="4:4">
      <c r="D2716" s="16"/>
    </row>
    <row r="2717" spans="4:4">
      <c r="D2717" s="16"/>
    </row>
    <row r="2718" spans="4:4">
      <c r="D2718" s="16"/>
    </row>
    <row r="2719" spans="4:4">
      <c r="D2719" s="16"/>
    </row>
    <row r="2720" spans="4:4">
      <c r="D2720" s="16"/>
    </row>
    <row r="2721" spans="4:4">
      <c r="D2721" s="16"/>
    </row>
    <row r="2722" spans="4:4">
      <c r="D2722" s="16"/>
    </row>
    <row r="2723" spans="4:4">
      <c r="D2723" s="16"/>
    </row>
    <row r="2724" spans="4:4">
      <c r="D2724" s="16"/>
    </row>
    <row r="2725" spans="4:4">
      <c r="D2725" s="16"/>
    </row>
    <row r="2726" spans="4:4">
      <c r="D2726" s="16"/>
    </row>
    <row r="2727" spans="4:4">
      <c r="D2727" s="16"/>
    </row>
    <row r="2728" spans="4:4">
      <c r="D2728" s="16"/>
    </row>
    <row r="2729" spans="4:4">
      <c r="D2729" s="16"/>
    </row>
    <row r="2730" spans="4:4">
      <c r="D2730" s="16"/>
    </row>
    <row r="2731" spans="4:4">
      <c r="D2731" s="16"/>
    </row>
    <row r="2732" spans="4:4">
      <c r="D2732" s="16"/>
    </row>
    <row r="2733" spans="4:4">
      <c r="D2733" s="16"/>
    </row>
    <row r="2734" spans="4:4">
      <c r="D2734" s="16"/>
    </row>
    <row r="2735" spans="4:4">
      <c r="D2735" s="16"/>
    </row>
    <row r="2736" spans="4:4">
      <c r="D2736" s="16"/>
    </row>
    <row r="2737" spans="4:4">
      <c r="D2737" s="16"/>
    </row>
    <row r="2738" spans="4:4">
      <c r="D2738" s="16"/>
    </row>
    <row r="2739" spans="4:4">
      <c r="D2739" s="16"/>
    </row>
    <row r="2740" spans="4:4">
      <c r="D2740" s="16"/>
    </row>
    <row r="2741" spans="4:4">
      <c r="D2741" s="16"/>
    </row>
    <row r="2742" spans="4:4">
      <c r="D2742" s="16"/>
    </row>
    <row r="2743" spans="4:4">
      <c r="D2743" s="16"/>
    </row>
    <row r="2744" spans="4:4">
      <c r="D2744" s="16"/>
    </row>
    <row r="2745" spans="4:4">
      <c r="D2745" s="16"/>
    </row>
    <row r="2746" spans="4:4">
      <c r="D2746" s="16"/>
    </row>
    <row r="2747" spans="4:4">
      <c r="D2747" s="16"/>
    </row>
    <row r="2748" spans="4:4">
      <c r="D2748" s="16"/>
    </row>
    <row r="2749" spans="4:4">
      <c r="D2749" s="16"/>
    </row>
    <row r="2750" spans="4:4">
      <c r="D2750" s="16"/>
    </row>
    <row r="2751" spans="4:4">
      <c r="D2751" s="16"/>
    </row>
    <row r="2752" spans="4:4">
      <c r="D2752" s="16"/>
    </row>
    <row r="2753" spans="4:4">
      <c r="D2753" s="16"/>
    </row>
    <row r="2754" spans="4:4">
      <c r="D2754" s="16"/>
    </row>
    <row r="2755" spans="4:4">
      <c r="D2755" s="16"/>
    </row>
    <row r="2756" spans="4:4">
      <c r="D2756" s="16"/>
    </row>
    <row r="2757" spans="4:4">
      <c r="D2757" s="16"/>
    </row>
    <row r="2758" spans="4:4">
      <c r="D2758" s="16"/>
    </row>
    <row r="2759" spans="4:4">
      <c r="D2759" s="16"/>
    </row>
    <row r="2760" spans="4:4">
      <c r="D2760" s="16"/>
    </row>
    <row r="2761" spans="4:4">
      <c r="D2761" s="16"/>
    </row>
    <row r="2762" spans="4:4">
      <c r="D2762" s="16"/>
    </row>
    <row r="2763" spans="4:4">
      <c r="D2763" s="16"/>
    </row>
    <row r="2764" spans="4:4">
      <c r="D2764" s="16"/>
    </row>
    <row r="2765" spans="4:4">
      <c r="D2765" s="16"/>
    </row>
    <row r="2766" spans="4:4">
      <c r="D2766" s="16"/>
    </row>
    <row r="2767" spans="4:4">
      <c r="D2767" s="16"/>
    </row>
    <row r="2768" spans="4:4">
      <c r="D2768" s="16"/>
    </row>
    <row r="2769" spans="4:4">
      <c r="D2769" s="16"/>
    </row>
    <row r="2770" spans="4:4">
      <c r="D2770" s="16"/>
    </row>
    <row r="2771" spans="4:4">
      <c r="D2771" s="16"/>
    </row>
    <row r="2772" spans="4:4">
      <c r="D2772" s="16"/>
    </row>
    <row r="2773" spans="4:4">
      <c r="D2773" s="16"/>
    </row>
    <row r="2774" spans="4:4">
      <c r="D2774" s="16"/>
    </row>
    <row r="2775" spans="4:4">
      <c r="D2775" s="16"/>
    </row>
    <row r="2776" spans="4:4">
      <c r="D2776" s="16"/>
    </row>
    <row r="2777" spans="4:4">
      <c r="D2777" s="16"/>
    </row>
    <row r="2778" spans="4:4">
      <c r="D2778" s="16"/>
    </row>
    <row r="2779" spans="4:4">
      <c r="D2779" s="16"/>
    </row>
    <row r="2780" spans="4:4">
      <c r="D2780" s="16"/>
    </row>
    <row r="2781" spans="4:4">
      <c r="D2781" s="16"/>
    </row>
    <row r="2782" spans="4:4">
      <c r="D2782" s="16"/>
    </row>
    <row r="2783" spans="4:4">
      <c r="D2783" s="16"/>
    </row>
    <row r="2784" spans="4:4">
      <c r="D2784" s="16"/>
    </row>
    <row r="2785" spans="4:4">
      <c r="D2785" s="16"/>
    </row>
    <row r="2786" spans="4:4">
      <c r="D2786" s="16"/>
    </row>
    <row r="2787" spans="4:4">
      <c r="D2787" s="16"/>
    </row>
    <row r="2788" spans="4:4">
      <c r="D2788" s="16"/>
    </row>
    <row r="2789" spans="4:4">
      <c r="D2789" s="16"/>
    </row>
    <row r="2790" spans="4:4">
      <c r="D2790" s="16"/>
    </row>
    <row r="2791" spans="4:4">
      <c r="D2791" s="16"/>
    </row>
    <row r="2792" spans="4:4">
      <c r="D2792" s="16"/>
    </row>
    <row r="2793" spans="4:4">
      <c r="D2793" s="16"/>
    </row>
    <row r="2794" spans="4:4">
      <c r="D2794" s="16"/>
    </row>
    <row r="2795" spans="4:4">
      <c r="D2795" s="16"/>
    </row>
    <row r="2796" spans="4:4">
      <c r="D2796" s="16"/>
    </row>
    <row r="2797" spans="4:4">
      <c r="D2797" s="16"/>
    </row>
    <row r="2798" spans="4:4">
      <c r="D2798" s="16"/>
    </row>
    <row r="2799" spans="4:4">
      <c r="D2799" s="16"/>
    </row>
    <row r="2800" spans="4:4">
      <c r="D2800" s="16"/>
    </row>
    <row r="2801" spans="4:4">
      <c r="D2801" s="16"/>
    </row>
    <row r="2802" spans="4:4">
      <c r="D2802" s="16"/>
    </row>
    <row r="2803" spans="4:4">
      <c r="D2803" s="16"/>
    </row>
    <row r="2804" spans="4:4">
      <c r="D2804" s="16"/>
    </row>
    <row r="2805" spans="4:4">
      <c r="D2805" s="16"/>
    </row>
    <row r="2806" spans="4:4">
      <c r="D2806" s="16"/>
    </row>
    <row r="2807" spans="4:4">
      <c r="D2807" s="16"/>
    </row>
    <row r="2808" spans="4:4">
      <c r="D2808" s="16"/>
    </row>
    <row r="2809" spans="4:4">
      <c r="D2809" s="16"/>
    </row>
    <row r="2810" spans="4:4">
      <c r="D2810" s="16"/>
    </row>
    <row r="2811" spans="4:4">
      <c r="D2811" s="16"/>
    </row>
    <row r="2812" spans="4:4">
      <c r="D2812" s="16"/>
    </row>
    <row r="2813" spans="4:4">
      <c r="D2813" s="16"/>
    </row>
    <row r="2814" spans="4:4">
      <c r="D2814" s="16"/>
    </row>
    <row r="2815" spans="4:4">
      <c r="D2815" s="16"/>
    </row>
    <row r="2816" spans="4:4">
      <c r="D2816" s="16"/>
    </row>
    <row r="2817" spans="4:4">
      <c r="D2817" s="16"/>
    </row>
    <row r="2818" spans="4:4">
      <c r="D2818" s="16"/>
    </row>
    <row r="2819" spans="4:4">
      <c r="D2819" s="16"/>
    </row>
    <row r="2820" spans="4:4">
      <c r="D2820" s="16"/>
    </row>
    <row r="2821" spans="4:4">
      <c r="D2821" s="16"/>
    </row>
    <row r="2822" spans="4:4">
      <c r="D2822" s="16"/>
    </row>
    <row r="2823" spans="4:4">
      <c r="D2823" s="16"/>
    </row>
    <row r="2824" spans="4:4">
      <c r="D2824" s="16"/>
    </row>
    <row r="2825" spans="4:4">
      <c r="D2825" s="16"/>
    </row>
    <row r="2826" spans="4:4">
      <c r="D2826" s="16"/>
    </row>
    <row r="2827" spans="4:4">
      <c r="D2827" s="16"/>
    </row>
    <row r="2828" spans="4:4">
      <c r="D2828" s="16"/>
    </row>
    <row r="2829" spans="4:4">
      <c r="D2829" s="16"/>
    </row>
    <row r="2830" spans="4:4">
      <c r="D2830" s="16"/>
    </row>
    <row r="2831" spans="4:4">
      <c r="D2831" s="16"/>
    </row>
    <row r="2832" spans="4:4">
      <c r="D2832" s="16"/>
    </row>
    <row r="2833" spans="4:4">
      <c r="D2833" s="16"/>
    </row>
    <row r="2834" spans="4:4">
      <c r="D2834" s="16"/>
    </row>
    <row r="2835" spans="4:4">
      <c r="D2835" s="16"/>
    </row>
    <row r="2836" spans="4:4">
      <c r="D2836" s="16"/>
    </row>
    <row r="2837" spans="4:4">
      <c r="D2837" s="16"/>
    </row>
    <row r="2838" spans="4:4">
      <c r="D2838" s="16"/>
    </row>
    <row r="2839" spans="4:4">
      <c r="D2839" s="16"/>
    </row>
    <row r="2840" spans="4:4">
      <c r="D2840" s="16"/>
    </row>
    <row r="2841" spans="4:4">
      <c r="D2841" s="16"/>
    </row>
    <row r="2842" spans="4:4">
      <c r="D2842" s="16"/>
    </row>
    <row r="2843" spans="4:4">
      <c r="D2843" s="16"/>
    </row>
    <row r="2844" spans="4:4">
      <c r="D2844" s="16"/>
    </row>
    <row r="2845" spans="4:4">
      <c r="D2845" s="16"/>
    </row>
    <row r="2846" spans="4:4">
      <c r="D2846" s="16"/>
    </row>
    <row r="2847" spans="4:4">
      <c r="D2847" s="16"/>
    </row>
    <row r="2848" spans="4:4">
      <c r="D2848" s="16"/>
    </row>
    <row r="2849" spans="4:4">
      <c r="D2849" s="16"/>
    </row>
    <row r="2850" spans="4:4">
      <c r="D2850" s="16"/>
    </row>
    <row r="2851" spans="4:4">
      <c r="D2851" s="16"/>
    </row>
    <row r="2852" spans="4:4">
      <c r="D2852" s="16"/>
    </row>
    <row r="2853" spans="4:4">
      <c r="D2853" s="16"/>
    </row>
    <row r="2854" spans="4:4">
      <c r="D2854" s="16"/>
    </row>
    <row r="2855" spans="4:4">
      <c r="D2855" s="16"/>
    </row>
    <row r="2856" spans="4:4">
      <c r="D2856" s="16"/>
    </row>
    <row r="2857" spans="4:4">
      <c r="D2857" s="16"/>
    </row>
    <row r="2858" spans="4:4">
      <c r="D2858" s="16"/>
    </row>
    <row r="2859" spans="4:4">
      <c r="D2859" s="16"/>
    </row>
    <row r="2860" spans="4:4">
      <c r="D2860" s="16"/>
    </row>
    <row r="2861" spans="4:4">
      <c r="D2861" s="16"/>
    </row>
    <row r="2862" spans="4:4">
      <c r="D2862" s="16"/>
    </row>
    <row r="2863" spans="4:4">
      <c r="D2863" s="16"/>
    </row>
    <row r="2864" spans="4:4">
      <c r="D2864" s="16"/>
    </row>
    <row r="2865" spans="4:4">
      <c r="D2865" s="16"/>
    </row>
    <row r="2866" spans="4:4">
      <c r="D2866" s="16"/>
    </row>
    <row r="2867" spans="4:4">
      <c r="D2867" s="16"/>
    </row>
    <row r="2868" spans="4:4">
      <c r="D2868" s="16"/>
    </row>
    <row r="2869" spans="4:4">
      <c r="D2869" s="16"/>
    </row>
    <row r="2870" spans="4:4">
      <c r="D2870" s="16"/>
    </row>
    <row r="2871" spans="4:4">
      <c r="D2871" s="16"/>
    </row>
    <row r="2872" spans="4:4">
      <c r="D2872" s="16"/>
    </row>
    <row r="2873" spans="4:4">
      <c r="D2873" s="16"/>
    </row>
    <row r="2874" spans="4:4">
      <c r="D2874" s="16"/>
    </row>
    <row r="2875" spans="4:4">
      <c r="D2875" s="16"/>
    </row>
    <row r="2876" spans="4:4">
      <c r="D2876" s="16"/>
    </row>
    <row r="2877" spans="4:4">
      <c r="D2877" s="16"/>
    </row>
    <row r="2878" spans="4:4">
      <c r="D2878" s="16"/>
    </row>
    <row r="2879" spans="4:4">
      <c r="D2879" s="16"/>
    </row>
    <row r="2880" spans="4:4">
      <c r="D2880" s="16"/>
    </row>
    <row r="2881" spans="4:4">
      <c r="D2881" s="16"/>
    </row>
    <row r="2882" spans="4:4">
      <c r="D2882" s="16"/>
    </row>
    <row r="2883" spans="4:4">
      <c r="D2883" s="16"/>
    </row>
    <row r="2884" spans="4:4">
      <c r="D2884" s="16"/>
    </row>
    <row r="2885" spans="4:4">
      <c r="D2885" s="16"/>
    </row>
    <row r="2886" spans="4:4">
      <c r="D2886" s="16"/>
    </row>
    <row r="2887" spans="4:4">
      <c r="D2887" s="16"/>
    </row>
    <row r="2888" spans="4:4">
      <c r="D2888" s="16"/>
    </row>
    <row r="2889" spans="4:4">
      <c r="D2889" s="16"/>
    </row>
    <row r="2890" spans="4:4">
      <c r="D2890" s="16"/>
    </row>
    <row r="2891" spans="4:4">
      <c r="D2891" s="16"/>
    </row>
    <row r="2892" spans="4:4">
      <c r="D2892" s="16"/>
    </row>
    <row r="2893" spans="4:4">
      <c r="D2893" s="16"/>
    </row>
    <row r="2894" spans="4:4">
      <c r="D2894" s="16"/>
    </row>
    <row r="2895" spans="4:4">
      <c r="D2895" s="16"/>
    </row>
    <row r="2896" spans="4:4">
      <c r="D2896" s="16"/>
    </row>
    <row r="2897" spans="4:4">
      <c r="D2897" s="16"/>
    </row>
    <row r="2898" spans="4:4">
      <c r="D2898" s="16"/>
    </row>
    <row r="2899" spans="4:4">
      <c r="D2899" s="16"/>
    </row>
    <row r="2900" spans="4:4">
      <c r="D2900" s="16"/>
    </row>
    <row r="2901" spans="4:4">
      <c r="D2901" s="16"/>
    </row>
    <row r="2902" spans="4:4">
      <c r="D2902" s="16"/>
    </row>
    <row r="2903" spans="4:4">
      <c r="D2903" s="16"/>
    </row>
    <row r="2904" spans="4:4">
      <c r="D2904" s="16"/>
    </row>
    <row r="2905" spans="4:4">
      <c r="D2905" s="16"/>
    </row>
    <row r="2906" spans="4:4">
      <c r="D2906" s="16"/>
    </row>
    <row r="2907" spans="4:4">
      <c r="D2907" s="16"/>
    </row>
    <row r="2908" spans="4:4">
      <c r="D2908" s="16"/>
    </row>
    <row r="2909" spans="4:4">
      <c r="D2909" s="16"/>
    </row>
    <row r="2910" spans="4:4">
      <c r="D2910" s="16"/>
    </row>
    <row r="2911" spans="4:4">
      <c r="D2911" s="16"/>
    </row>
    <row r="2912" spans="4:4">
      <c r="D2912" s="16"/>
    </row>
    <row r="2913" spans="4:4">
      <c r="D2913" s="16"/>
    </row>
    <row r="2914" spans="4:4">
      <c r="D2914" s="16"/>
    </row>
    <row r="2915" spans="4:4">
      <c r="D2915" s="16"/>
    </row>
    <row r="2916" spans="4:4">
      <c r="D2916" s="16"/>
    </row>
    <row r="2917" spans="4:4">
      <c r="D2917" s="16"/>
    </row>
    <row r="2918" spans="4:4">
      <c r="D2918" s="16"/>
    </row>
    <row r="2919" spans="4:4">
      <c r="D2919" s="16"/>
    </row>
    <row r="2920" spans="4:4">
      <c r="D2920" s="16"/>
    </row>
    <row r="2921" spans="4:4">
      <c r="D2921" s="16"/>
    </row>
    <row r="2922" spans="4:4">
      <c r="D2922" s="16"/>
    </row>
    <row r="2923" spans="4:4">
      <c r="D2923" s="16"/>
    </row>
    <row r="2924" spans="4:4">
      <c r="D2924" s="16"/>
    </row>
    <row r="2925" spans="4:4">
      <c r="D2925" s="16"/>
    </row>
    <row r="2926" spans="4:4">
      <c r="D2926" s="16"/>
    </row>
    <row r="2927" spans="4:4">
      <c r="D2927" s="16"/>
    </row>
    <row r="2928" spans="4:4">
      <c r="D2928" s="16"/>
    </row>
    <row r="2929" spans="4:4">
      <c r="D2929" s="16"/>
    </row>
    <row r="2930" spans="4:4">
      <c r="D2930" s="16"/>
    </row>
    <row r="2931" spans="4:4">
      <c r="D2931" s="16"/>
    </row>
    <row r="2932" spans="4:4">
      <c r="D2932" s="16"/>
    </row>
    <row r="2933" spans="4:4">
      <c r="D2933" s="16"/>
    </row>
    <row r="2934" spans="4:4">
      <c r="D2934" s="16"/>
    </row>
    <row r="2935" spans="4:4">
      <c r="D2935" s="16"/>
    </row>
    <row r="2936" spans="4:4">
      <c r="D2936" s="16"/>
    </row>
    <row r="2937" spans="4:4">
      <c r="D2937" s="16"/>
    </row>
    <row r="2938" spans="4:4">
      <c r="D2938" s="16"/>
    </row>
    <row r="2939" spans="4:4">
      <c r="D2939" s="16"/>
    </row>
    <row r="2940" spans="4:4">
      <c r="D2940" s="16"/>
    </row>
    <row r="2941" spans="4:4">
      <c r="D2941" s="16"/>
    </row>
    <row r="2942" spans="4:4">
      <c r="D2942" s="16"/>
    </row>
    <row r="2943" spans="4:4">
      <c r="D2943" s="16"/>
    </row>
    <row r="2944" spans="4:4">
      <c r="D2944" s="16"/>
    </row>
    <row r="2945" spans="4:4">
      <c r="D2945" s="16"/>
    </row>
    <row r="2946" spans="4:4">
      <c r="D2946" s="16"/>
    </row>
    <row r="2947" spans="4:4">
      <c r="D2947" s="16"/>
    </row>
    <row r="2948" spans="4:4">
      <c r="D2948" s="16"/>
    </row>
    <row r="2949" spans="4:4">
      <c r="D2949" s="16"/>
    </row>
    <row r="2950" spans="4:4">
      <c r="D2950" s="16"/>
    </row>
    <row r="2951" spans="4:4">
      <c r="D2951" s="16"/>
    </row>
    <row r="2952" spans="4:4">
      <c r="D2952" s="16"/>
    </row>
    <row r="2953" spans="4:4">
      <c r="D2953" s="16"/>
    </row>
    <row r="2954" spans="4:4">
      <c r="D2954" s="16"/>
    </row>
    <row r="2955" spans="4:4">
      <c r="D2955" s="16"/>
    </row>
    <row r="2956" spans="4:4">
      <c r="D2956" s="16"/>
    </row>
    <row r="2957" spans="4:4">
      <c r="D2957" s="16"/>
    </row>
    <row r="2958" spans="4:4">
      <c r="D2958" s="16"/>
    </row>
    <row r="2959" spans="4:4">
      <c r="D2959" s="16"/>
    </row>
    <row r="2960" spans="4:4">
      <c r="D2960" s="16"/>
    </row>
    <row r="2961" spans="4:4">
      <c r="D2961" s="16"/>
    </row>
    <row r="2962" spans="4:4">
      <c r="D2962" s="16"/>
    </row>
    <row r="2963" spans="4:4">
      <c r="D2963" s="16"/>
    </row>
    <row r="2964" spans="4:4">
      <c r="D2964" s="16"/>
    </row>
    <row r="2965" spans="4:4">
      <c r="D2965" s="16"/>
    </row>
    <row r="2966" spans="4:4">
      <c r="D2966" s="16"/>
    </row>
    <row r="2967" spans="4:4">
      <c r="D2967" s="16"/>
    </row>
    <row r="2968" spans="4:4">
      <c r="D2968" s="16"/>
    </row>
    <row r="2969" spans="4:4">
      <c r="D2969" s="16"/>
    </row>
    <row r="2970" spans="4:4">
      <c r="D2970" s="16"/>
    </row>
    <row r="2971" spans="4:4">
      <c r="D2971" s="16"/>
    </row>
    <row r="2972" spans="4:4">
      <c r="D2972" s="16"/>
    </row>
    <row r="2973" spans="4:4">
      <c r="D2973" s="16"/>
    </row>
    <row r="2974" spans="4:4">
      <c r="D2974" s="16"/>
    </row>
    <row r="2975" spans="4:4">
      <c r="D2975" s="16"/>
    </row>
    <row r="2976" spans="4:4">
      <c r="D2976" s="16"/>
    </row>
    <row r="2977" spans="4:4">
      <c r="D2977" s="16"/>
    </row>
    <row r="2978" spans="4:4">
      <c r="D2978" s="16"/>
    </row>
    <row r="2979" spans="4:4">
      <c r="D2979" s="16"/>
    </row>
    <row r="2980" spans="4:4">
      <c r="D2980" s="16"/>
    </row>
    <row r="2981" spans="4:4">
      <c r="D2981" s="16"/>
    </row>
    <row r="2982" spans="4:4">
      <c r="D2982" s="16"/>
    </row>
    <row r="2983" spans="4:4">
      <c r="D2983" s="16"/>
    </row>
    <row r="2984" spans="4:4">
      <c r="D2984" s="16"/>
    </row>
    <row r="2985" spans="4:4">
      <c r="D2985" s="16"/>
    </row>
    <row r="2986" spans="4:4">
      <c r="D2986" s="16"/>
    </row>
    <row r="2987" spans="4:4">
      <c r="D2987" s="16"/>
    </row>
    <row r="2988" spans="4:4">
      <c r="D2988" s="16"/>
    </row>
    <row r="2989" spans="4:4">
      <c r="D2989" s="16"/>
    </row>
    <row r="2990" spans="4:4">
      <c r="D2990" s="16"/>
    </row>
    <row r="2991" spans="4:4">
      <c r="D2991" s="16"/>
    </row>
    <row r="2992" spans="4:4">
      <c r="D2992" s="16"/>
    </row>
    <row r="2993" spans="4:4">
      <c r="D2993" s="16"/>
    </row>
    <row r="2994" spans="4:4">
      <c r="D2994" s="16"/>
    </row>
    <row r="2995" spans="4:4">
      <c r="D2995" s="16"/>
    </row>
    <row r="2996" spans="4:4">
      <c r="D2996" s="16"/>
    </row>
    <row r="2997" spans="4:4">
      <c r="D2997" s="16"/>
    </row>
    <row r="2998" spans="4:4">
      <c r="D2998" s="16"/>
    </row>
    <row r="2999" spans="4:4">
      <c r="D2999" s="16"/>
    </row>
    <row r="3000" spans="4:4">
      <c r="D3000" s="16"/>
    </row>
    <row r="3001" spans="4:4">
      <c r="D3001" s="16"/>
    </row>
    <row r="3002" spans="4:4">
      <c r="D3002" s="16"/>
    </row>
    <row r="3003" spans="4:4">
      <c r="D3003" s="16"/>
    </row>
    <row r="3004" spans="4:4">
      <c r="D3004" s="16"/>
    </row>
    <row r="3005" spans="4:4">
      <c r="D3005" s="16"/>
    </row>
    <row r="3006" spans="4:4">
      <c r="D3006" s="16"/>
    </row>
    <row r="3007" spans="4:4">
      <c r="D3007" s="16"/>
    </row>
    <row r="3008" spans="4:4">
      <c r="D3008" s="16"/>
    </row>
    <row r="3009" spans="4:4">
      <c r="D3009" s="16"/>
    </row>
    <row r="3010" spans="4:4">
      <c r="D3010" s="16"/>
    </row>
    <row r="3011" spans="4:4">
      <c r="D3011" s="16"/>
    </row>
    <row r="3012" spans="4:4">
      <c r="D3012" s="16"/>
    </row>
    <row r="3013" spans="4:4">
      <c r="D3013" s="16"/>
    </row>
    <row r="3014" spans="4:4">
      <c r="D3014" s="16"/>
    </row>
    <row r="3015" spans="4:4">
      <c r="D3015" s="16"/>
    </row>
    <row r="3016" spans="4:4">
      <c r="D3016" s="16"/>
    </row>
    <row r="3017" spans="4:4">
      <c r="D3017" s="16"/>
    </row>
    <row r="3018" spans="4:4">
      <c r="D3018" s="16"/>
    </row>
    <row r="3019" spans="4:4">
      <c r="D3019" s="16"/>
    </row>
    <row r="3020" spans="4:4">
      <c r="D3020" s="16"/>
    </row>
    <row r="3021" spans="4:4">
      <c r="D3021" s="16"/>
    </row>
    <row r="3022" spans="4:4">
      <c r="D3022" s="16"/>
    </row>
    <row r="3023" spans="4:4">
      <c r="D3023" s="16"/>
    </row>
    <row r="3024" spans="4:4">
      <c r="D3024" s="16"/>
    </row>
    <row r="3025" spans="4:4">
      <c r="D3025" s="16"/>
    </row>
    <row r="3026" spans="4:4">
      <c r="D3026" s="16"/>
    </row>
    <row r="3027" spans="4:4">
      <c r="D3027" s="16"/>
    </row>
    <row r="3028" spans="4:4">
      <c r="D3028" s="16"/>
    </row>
    <row r="3029" spans="4:4">
      <c r="D3029" s="16"/>
    </row>
    <row r="3030" spans="4:4">
      <c r="D3030" s="16"/>
    </row>
    <row r="3031" spans="4:4">
      <c r="D3031" s="16"/>
    </row>
    <row r="3032" spans="4:4">
      <c r="D3032" s="16"/>
    </row>
    <row r="3033" spans="4:4">
      <c r="D3033" s="16"/>
    </row>
    <row r="3034" spans="4:4">
      <c r="D3034" s="16"/>
    </row>
    <row r="3035" spans="4:4">
      <c r="D3035" s="16"/>
    </row>
    <row r="3036" spans="4:4">
      <c r="D3036" s="16"/>
    </row>
    <row r="3037" spans="4:4">
      <c r="D3037" s="16"/>
    </row>
    <row r="3038" spans="4:4">
      <c r="D3038" s="16"/>
    </row>
    <row r="3039" spans="4:4">
      <c r="D3039" s="16"/>
    </row>
    <row r="3040" spans="4:4">
      <c r="D3040" s="16"/>
    </row>
    <row r="3041" spans="4:4">
      <c r="D3041" s="16"/>
    </row>
    <row r="3042" spans="4:4">
      <c r="D3042" s="16"/>
    </row>
    <row r="3043" spans="4:4">
      <c r="D3043" s="16"/>
    </row>
    <row r="3044" spans="4:4">
      <c r="D3044" s="16"/>
    </row>
    <row r="3045" spans="4:4">
      <c r="D3045" s="16"/>
    </row>
    <row r="3046" spans="4:4">
      <c r="D3046" s="16"/>
    </row>
    <row r="3047" spans="4:4">
      <c r="D3047" s="16"/>
    </row>
    <row r="3048" spans="4:4">
      <c r="D3048" s="16"/>
    </row>
    <row r="3049" spans="4:4">
      <c r="D3049" s="16"/>
    </row>
    <row r="3050" spans="4:4">
      <c r="D3050" s="16"/>
    </row>
    <row r="3051" spans="4:4">
      <c r="D3051" s="16"/>
    </row>
    <row r="3052" spans="4:4">
      <c r="D3052" s="16"/>
    </row>
    <row r="3053" spans="4:4">
      <c r="D3053" s="16"/>
    </row>
    <row r="3054" spans="4:4">
      <c r="D3054" s="16"/>
    </row>
    <row r="3055" spans="4:4">
      <c r="D3055" s="16"/>
    </row>
    <row r="3056" spans="4:4">
      <c r="D3056" s="16"/>
    </row>
    <row r="3057" spans="4:4">
      <c r="D3057" s="16"/>
    </row>
    <row r="3058" spans="4:4">
      <c r="D3058" s="16"/>
    </row>
    <row r="3059" spans="4:4">
      <c r="D3059" s="16"/>
    </row>
    <row r="3060" spans="4:4">
      <c r="D3060" s="16"/>
    </row>
    <row r="3061" spans="4:4">
      <c r="D3061" s="16"/>
    </row>
    <row r="3062" spans="4:4">
      <c r="D3062" s="16"/>
    </row>
    <row r="3063" spans="4:4">
      <c r="D3063" s="16"/>
    </row>
    <row r="3064" spans="4:4">
      <c r="D3064" s="16"/>
    </row>
    <row r="3065" spans="4:4">
      <c r="D3065" s="16"/>
    </row>
    <row r="3066" spans="4:4">
      <c r="D3066" s="16"/>
    </row>
    <row r="3067" spans="4:4">
      <c r="D3067" s="16"/>
    </row>
    <row r="3068" spans="4:4">
      <c r="D3068" s="16"/>
    </row>
    <row r="3069" spans="4:4">
      <c r="D3069" s="16"/>
    </row>
    <row r="3070" spans="4:4">
      <c r="D3070" s="16"/>
    </row>
    <row r="3071" spans="4:4">
      <c r="D3071" s="16"/>
    </row>
    <row r="3072" spans="4:4">
      <c r="D3072" s="16"/>
    </row>
    <row r="3073" spans="4:4">
      <c r="D3073" s="16"/>
    </row>
    <row r="3074" spans="4:4">
      <c r="D3074" s="16"/>
    </row>
    <row r="3075" spans="4:4">
      <c r="D3075" s="16"/>
    </row>
    <row r="3076" spans="4:4">
      <c r="D3076" s="16"/>
    </row>
    <row r="3077" spans="4:4">
      <c r="D3077" s="16"/>
    </row>
    <row r="3078" spans="4:4">
      <c r="D3078" s="16"/>
    </row>
    <row r="3079" spans="4:4">
      <c r="D3079" s="16"/>
    </row>
    <row r="3080" spans="4:4">
      <c r="D3080" s="16"/>
    </row>
    <row r="3081" spans="4:4">
      <c r="D3081" s="16"/>
    </row>
    <row r="3082" spans="4:4">
      <c r="D3082" s="16"/>
    </row>
    <row r="3083" spans="4:4">
      <c r="D3083" s="16"/>
    </row>
    <row r="3084" spans="4:4">
      <c r="D3084" s="16"/>
    </row>
    <row r="3085" spans="4:4">
      <c r="D3085" s="16"/>
    </row>
    <row r="3086" spans="4:4">
      <c r="D3086" s="16"/>
    </row>
    <row r="3087" spans="4:4">
      <c r="D3087" s="16"/>
    </row>
    <row r="3088" spans="4:4">
      <c r="D3088" s="16"/>
    </row>
    <row r="3089" spans="4:4">
      <c r="D3089" s="16"/>
    </row>
    <row r="3090" spans="4:4">
      <c r="D3090" s="16"/>
    </row>
    <row r="3091" spans="4:4">
      <c r="D3091" s="16"/>
    </row>
    <row r="3092" spans="4:4">
      <c r="D3092" s="16"/>
    </row>
    <row r="3093" spans="4:4">
      <c r="D3093" s="16"/>
    </row>
    <row r="3094" spans="4:4">
      <c r="D3094" s="16"/>
    </row>
    <row r="3095" spans="4:4">
      <c r="D3095" s="16"/>
    </row>
    <row r="3096" spans="4:4">
      <c r="D3096" s="16"/>
    </row>
    <row r="3097" spans="4:4">
      <c r="D3097" s="16"/>
    </row>
    <row r="3098" spans="4:4">
      <c r="D3098" s="16"/>
    </row>
    <row r="3099" spans="4:4">
      <c r="D3099" s="16"/>
    </row>
    <row r="3100" spans="4:4">
      <c r="D3100" s="16"/>
    </row>
    <row r="3101" spans="4:4">
      <c r="D3101" s="16"/>
    </row>
    <row r="3102" spans="4:4">
      <c r="D3102" s="16"/>
    </row>
    <row r="3103" spans="4:4">
      <c r="D3103" s="16"/>
    </row>
    <row r="3104" spans="4:4">
      <c r="D3104" s="16"/>
    </row>
    <row r="3105" spans="4:4">
      <c r="D3105" s="16"/>
    </row>
    <row r="3106" spans="4:4">
      <c r="D3106" s="16"/>
    </row>
    <row r="3107" spans="4:4">
      <c r="D3107" s="16"/>
    </row>
    <row r="3108" spans="4:4">
      <c r="D3108" s="16"/>
    </row>
    <row r="3109" spans="4:4">
      <c r="D3109" s="16"/>
    </row>
    <row r="3110" spans="4:4">
      <c r="D3110" s="16"/>
    </row>
    <row r="3111" spans="4:4">
      <c r="D3111" s="16"/>
    </row>
    <row r="3112" spans="4:4">
      <c r="D3112" s="16"/>
    </row>
    <row r="3113" spans="4:4">
      <c r="D3113" s="16"/>
    </row>
    <row r="3114" spans="4:4">
      <c r="D3114" s="16"/>
    </row>
    <row r="3115" spans="4:4">
      <c r="D3115" s="16"/>
    </row>
    <row r="3116" spans="4:4">
      <c r="D3116" s="16"/>
    </row>
    <row r="3117" spans="4:4">
      <c r="D3117" s="16"/>
    </row>
    <row r="3118" spans="4:4">
      <c r="D3118" s="16"/>
    </row>
    <row r="3119" spans="4:4">
      <c r="D3119" s="16"/>
    </row>
    <row r="3120" spans="4:4">
      <c r="D3120" s="16"/>
    </row>
    <row r="3121" spans="4:4">
      <c r="D3121" s="16"/>
    </row>
    <row r="3122" spans="4:4">
      <c r="D3122" s="16"/>
    </row>
    <row r="3123" spans="4:4">
      <c r="D3123" s="16"/>
    </row>
    <row r="3124" spans="4:4">
      <c r="D3124" s="16"/>
    </row>
    <row r="3125" spans="4:4">
      <c r="D3125" s="16"/>
    </row>
    <row r="3126" spans="4:4">
      <c r="D3126" s="16"/>
    </row>
    <row r="3127" spans="4:4">
      <c r="D3127" s="16"/>
    </row>
    <row r="3128" spans="4:4">
      <c r="D3128" s="16"/>
    </row>
    <row r="3129" spans="4:4">
      <c r="D3129" s="16"/>
    </row>
    <row r="3130" spans="4:4">
      <c r="D3130" s="16"/>
    </row>
    <row r="3131" spans="4:4">
      <c r="D3131" s="16"/>
    </row>
    <row r="3132" spans="4:4">
      <c r="D3132" s="16"/>
    </row>
    <row r="3133" spans="4:4">
      <c r="D3133" s="16"/>
    </row>
    <row r="3134" spans="4:4">
      <c r="D3134" s="16"/>
    </row>
    <row r="3135" spans="4:4">
      <c r="D3135" s="16"/>
    </row>
    <row r="3136" spans="4:4">
      <c r="D3136" s="16"/>
    </row>
    <row r="3137" spans="4:4">
      <c r="D3137" s="16"/>
    </row>
    <row r="3138" spans="4:4">
      <c r="D3138" s="16"/>
    </row>
    <row r="3139" spans="4:4">
      <c r="D3139" s="16"/>
    </row>
    <row r="3140" spans="4:4">
      <c r="D3140" s="16"/>
    </row>
    <row r="3141" spans="4:4">
      <c r="D3141" s="16"/>
    </row>
    <row r="3142" spans="4:4">
      <c r="D3142" s="16"/>
    </row>
    <row r="3143" spans="4:4">
      <c r="D3143" s="16"/>
    </row>
    <row r="3144" spans="4:4">
      <c r="D3144" s="16"/>
    </row>
    <row r="3145" spans="4:4">
      <c r="D3145" s="16"/>
    </row>
    <row r="3146" spans="4:4">
      <c r="D3146" s="16"/>
    </row>
    <row r="3147" spans="4:4">
      <c r="D3147" s="16"/>
    </row>
    <row r="3148" spans="4:4">
      <c r="D3148" s="16"/>
    </row>
    <row r="3149" spans="4:4">
      <c r="D3149" s="16"/>
    </row>
    <row r="3150" spans="4:4">
      <c r="D3150" s="16"/>
    </row>
    <row r="3151" spans="4:4">
      <c r="D3151" s="16"/>
    </row>
    <row r="3152" spans="4:4">
      <c r="D3152" s="16"/>
    </row>
    <row r="3153" spans="4:4">
      <c r="D3153" s="16"/>
    </row>
    <row r="3154" spans="4:4">
      <c r="D3154" s="16"/>
    </row>
    <row r="3155" spans="4:4">
      <c r="D3155" s="16"/>
    </row>
    <row r="3156" spans="4:4">
      <c r="D3156" s="16"/>
    </row>
    <row r="3157" spans="4:4">
      <c r="D3157" s="16"/>
    </row>
    <row r="3158" spans="4:4">
      <c r="D3158" s="16"/>
    </row>
    <row r="3159" spans="4:4">
      <c r="D3159" s="16"/>
    </row>
    <row r="3160" spans="4:4">
      <c r="D3160" s="16"/>
    </row>
    <row r="3161" spans="4:4">
      <c r="D3161" s="16"/>
    </row>
    <row r="3162" spans="4:4">
      <c r="D3162" s="16"/>
    </row>
    <row r="3163" spans="4:4">
      <c r="D3163" s="16"/>
    </row>
    <row r="3164" spans="4:4">
      <c r="D3164" s="16"/>
    </row>
    <row r="3165" spans="4:4">
      <c r="D3165" s="16"/>
    </row>
    <row r="3166" spans="4:4">
      <c r="D3166" s="16"/>
    </row>
    <row r="3167" spans="4:4">
      <c r="D3167" s="16"/>
    </row>
    <row r="3168" spans="4:4">
      <c r="D3168" s="16"/>
    </row>
    <row r="3169" spans="4:4">
      <c r="D3169" s="16"/>
    </row>
    <row r="3170" spans="4:4">
      <c r="D3170" s="16"/>
    </row>
    <row r="3171" spans="4:4">
      <c r="D3171" s="16"/>
    </row>
    <row r="3172" spans="4:4">
      <c r="D3172" s="16"/>
    </row>
    <row r="3173" spans="4:4">
      <c r="D3173" s="16"/>
    </row>
    <row r="3174" spans="4:4">
      <c r="D3174" s="16"/>
    </row>
    <row r="3175" spans="4:4">
      <c r="D3175" s="16"/>
    </row>
    <row r="3176" spans="4:4">
      <c r="D3176" s="16"/>
    </row>
    <row r="3177" spans="4:4">
      <c r="D3177" s="16"/>
    </row>
    <row r="3178" spans="4:4">
      <c r="D3178" s="16"/>
    </row>
    <row r="3179" spans="4:4">
      <c r="D3179" s="16"/>
    </row>
    <row r="3180" spans="4:4">
      <c r="D3180" s="16"/>
    </row>
    <row r="3181" spans="4:4">
      <c r="D3181" s="16"/>
    </row>
    <row r="3182" spans="4:4">
      <c r="D3182" s="16"/>
    </row>
    <row r="3183" spans="4:4">
      <c r="D3183" s="16"/>
    </row>
    <row r="3184" spans="4:4">
      <c r="D3184" s="16"/>
    </row>
    <row r="3185" spans="4:4">
      <c r="D3185" s="16"/>
    </row>
    <row r="3186" spans="4:4">
      <c r="D3186" s="16"/>
    </row>
    <row r="3187" spans="4:4">
      <c r="D3187" s="16"/>
    </row>
    <row r="3188" spans="4:4">
      <c r="D3188" s="16"/>
    </row>
    <row r="3189" spans="4:4">
      <c r="D3189" s="16"/>
    </row>
    <row r="3190" spans="4:4">
      <c r="D3190" s="16"/>
    </row>
    <row r="3191" spans="4:4">
      <c r="D3191" s="16"/>
    </row>
    <row r="3192" spans="4:4">
      <c r="D3192" s="16"/>
    </row>
    <row r="3193" spans="4:4">
      <c r="D3193" s="16"/>
    </row>
    <row r="3194" spans="4:4">
      <c r="D3194" s="16"/>
    </row>
    <row r="3195" spans="4:4">
      <c r="D3195" s="16"/>
    </row>
    <row r="3196" spans="4:4">
      <c r="D3196" s="16"/>
    </row>
    <row r="3197" spans="4:4">
      <c r="D3197" s="16"/>
    </row>
    <row r="3198" spans="4:4">
      <c r="D3198" s="16"/>
    </row>
    <row r="3199" spans="4:4">
      <c r="D3199" s="16"/>
    </row>
    <row r="3200" spans="4:4">
      <c r="D3200" s="16"/>
    </row>
    <row r="3201" spans="4:4">
      <c r="D3201" s="16"/>
    </row>
    <row r="3202" spans="4:4">
      <c r="D3202" s="16"/>
    </row>
    <row r="3203" spans="4:4">
      <c r="D3203" s="16"/>
    </row>
    <row r="3204" spans="4:4">
      <c r="D3204" s="16"/>
    </row>
    <row r="3205" spans="4:4">
      <c r="D3205" s="16"/>
    </row>
    <row r="3206" spans="4:4">
      <c r="D3206" s="16"/>
    </row>
    <row r="3207" spans="4:4">
      <c r="D3207" s="16"/>
    </row>
    <row r="3208" spans="4:4">
      <c r="D3208" s="16"/>
    </row>
    <row r="3209" spans="4:4">
      <c r="D3209" s="16"/>
    </row>
    <row r="3210" spans="4:4">
      <c r="D3210" s="16"/>
    </row>
    <row r="3211" spans="4:4">
      <c r="D3211" s="16"/>
    </row>
    <row r="3212" spans="4:4">
      <c r="D3212" s="16"/>
    </row>
    <row r="3213" spans="4:4">
      <c r="D3213" s="16"/>
    </row>
    <row r="3214" spans="4:4">
      <c r="D3214" s="16"/>
    </row>
    <row r="3215" spans="4:4">
      <c r="D3215" s="16"/>
    </row>
    <row r="3216" spans="4:4">
      <c r="D3216" s="16"/>
    </row>
    <row r="3217" spans="4:4">
      <c r="D3217" s="16"/>
    </row>
    <row r="3218" spans="4:4">
      <c r="D3218" s="16"/>
    </row>
    <row r="3219" spans="4:4">
      <c r="D3219" s="16"/>
    </row>
    <row r="3220" spans="4:4">
      <c r="D3220" s="16"/>
    </row>
    <row r="3221" spans="4:4">
      <c r="D3221" s="16"/>
    </row>
    <row r="3222" spans="4:4">
      <c r="D3222" s="16"/>
    </row>
    <row r="3223" spans="4:4">
      <c r="D3223" s="16"/>
    </row>
    <row r="3224" spans="4:4">
      <c r="D3224" s="16"/>
    </row>
    <row r="3225" spans="4:4">
      <c r="D3225" s="16"/>
    </row>
    <row r="3226" spans="4:4">
      <c r="D3226" s="16"/>
    </row>
    <row r="3227" spans="4:4">
      <c r="D3227" s="16"/>
    </row>
    <row r="3228" spans="4:4">
      <c r="D3228" s="16"/>
    </row>
    <row r="3229" spans="4:4">
      <c r="D3229" s="16"/>
    </row>
    <row r="3230" spans="4:4">
      <c r="D3230" s="16"/>
    </row>
    <row r="3231" spans="4:4">
      <c r="D3231" s="16"/>
    </row>
    <row r="3232" spans="4:4">
      <c r="D3232" s="16"/>
    </row>
    <row r="3233" spans="4:4">
      <c r="D3233" s="16"/>
    </row>
    <row r="3234" spans="4:4">
      <c r="D3234" s="16"/>
    </row>
    <row r="3235" spans="4:4">
      <c r="D3235" s="16"/>
    </row>
    <row r="3236" spans="4:4">
      <c r="D3236" s="16"/>
    </row>
    <row r="3237" spans="4:4">
      <c r="D3237" s="16"/>
    </row>
    <row r="3238" spans="4:4">
      <c r="D3238" s="16"/>
    </row>
    <row r="3239" spans="4:4">
      <c r="D3239" s="16"/>
    </row>
    <row r="3240" spans="4:4">
      <c r="D3240" s="16"/>
    </row>
    <row r="3241" spans="4:4">
      <c r="D3241" s="16"/>
    </row>
    <row r="3242" spans="4:4">
      <c r="D3242" s="16"/>
    </row>
    <row r="3243" spans="4:4">
      <c r="D3243" s="16"/>
    </row>
    <row r="3244" spans="4:4">
      <c r="D3244" s="16"/>
    </row>
    <row r="3245" spans="4:4">
      <c r="D3245" s="16"/>
    </row>
    <row r="3246" spans="4:4">
      <c r="D3246" s="16"/>
    </row>
    <row r="3247" spans="4:4">
      <c r="D3247" s="16"/>
    </row>
    <row r="3248" spans="4:4">
      <c r="D3248" s="16"/>
    </row>
    <row r="3249" spans="4:4">
      <c r="D3249" s="16"/>
    </row>
    <row r="3250" spans="4:4">
      <c r="D3250" s="16"/>
    </row>
    <row r="3251" spans="4:4">
      <c r="D3251" s="16"/>
    </row>
    <row r="3252" spans="4:4">
      <c r="D3252" s="16"/>
    </row>
    <row r="3253" spans="4:4">
      <c r="D3253" s="16"/>
    </row>
    <row r="3254" spans="4:4">
      <c r="D3254" s="16"/>
    </row>
    <row r="3255" spans="4:4">
      <c r="D3255" s="16"/>
    </row>
    <row r="3256" spans="4:4">
      <c r="D3256" s="16"/>
    </row>
    <row r="3257" spans="4:4">
      <c r="D3257" s="16"/>
    </row>
    <row r="3258" spans="4:4">
      <c r="D3258" s="16"/>
    </row>
    <row r="3259" spans="4:4">
      <c r="D3259" s="16"/>
    </row>
    <row r="3260" spans="4:4">
      <c r="D3260" s="16"/>
    </row>
    <row r="3261" spans="4:4">
      <c r="D3261" s="16"/>
    </row>
    <row r="3262" spans="4:4">
      <c r="D3262" s="16"/>
    </row>
    <row r="3263" spans="4:4">
      <c r="D3263" s="16"/>
    </row>
    <row r="3264" spans="4:4">
      <c r="D3264" s="16"/>
    </row>
    <row r="3265" spans="4:4">
      <c r="D3265" s="16"/>
    </row>
    <row r="3266" spans="4:4">
      <c r="D3266" s="16"/>
    </row>
    <row r="3267" spans="4:4">
      <c r="D3267" s="16"/>
    </row>
    <row r="3268" spans="4:4">
      <c r="D3268" s="16"/>
    </row>
    <row r="3269" spans="4:4">
      <c r="D3269" s="16"/>
    </row>
    <row r="3270" spans="4:4">
      <c r="D3270" s="16"/>
    </row>
    <row r="3271" spans="4:4">
      <c r="D3271" s="16"/>
    </row>
    <row r="3272" spans="4:4">
      <c r="D3272" s="16"/>
    </row>
    <row r="3273" spans="4:4">
      <c r="D3273" s="16"/>
    </row>
    <row r="3274" spans="4:4">
      <c r="D3274" s="16"/>
    </row>
    <row r="3275" spans="4:4">
      <c r="D3275" s="16"/>
    </row>
    <row r="3276" spans="4:4">
      <c r="D3276" s="16"/>
    </row>
    <row r="3277" spans="4:4">
      <c r="D3277" s="16"/>
    </row>
    <row r="3278" spans="4:4">
      <c r="D3278" s="16"/>
    </row>
    <row r="3279" spans="4:4">
      <c r="D3279" s="16"/>
    </row>
    <row r="3280" spans="4:4">
      <c r="D3280" s="16"/>
    </row>
    <row r="3281" spans="4:4">
      <c r="D3281" s="16"/>
    </row>
    <row r="3282" spans="4:4">
      <c r="D3282" s="16"/>
    </row>
    <row r="3283" spans="4:4">
      <c r="D3283" s="16"/>
    </row>
    <row r="3284" spans="4:4">
      <c r="D3284" s="16"/>
    </row>
    <row r="3285" spans="4:4">
      <c r="D3285" s="16"/>
    </row>
    <row r="3286" spans="4:4">
      <c r="D3286" s="16"/>
    </row>
    <row r="3287" spans="4:4">
      <c r="D3287" s="16"/>
    </row>
    <row r="3288" spans="4:4">
      <c r="D3288" s="16"/>
    </row>
    <row r="3289" spans="4:4">
      <c r="D3289" s="16"/>
    </row>
    <row r="3290" spans="4:4">
      <c r="D3290" s="16"/>
    </row>
    <row r="3291" spans="4:4">
      <c r="D3291" s="16"/>
    </row>
    <row r="3292" spans="4:4">
      <c r="D3292" s="16"/>
    </row>
    <row r="3293" spans="4:4">
      <c r="D3293" s="16"/>
    </row>
    <row r="3294" spans="4:4">
      <c r="D3294" s="16"/>
    </row>
    <row r="3295" spans="4:4">
      <c r="D3295" s="16"/>
    </row>
    <row r="3296" spans="4:4">
      <c r="D3296" s="16"/>
    </row>
    <row r="3297" spans="4:4">
      <c r="D3297" s="16"/>
    </row>
    <row r="3298" spans="4:4">
      <c r="D3298" s="16"/>
    </row>
    <row r="3299" spans="4:4">
      <c r="D3299" s="16"/>
    </row>
    <row r="3300" spans="4:4">
      <c r="D3300" s="16"/>
    </row>
    <row r="3301" spans="4:4">
      <c r="D3301" s="16"/>
    </row>
    <row r="3302" spans="4:4">
      <c r="D3302" s="16"/>
    </row>
    <row r="3303" spans="4:4">
      <c r="D3303" s="16"/>
    </row>
    <row r="3304" spans="4:4">
      <c r="D3304" s="16"/>
    </row>
    <row r="3305" spans="4:4">
      <c r="D3305" s="16"/>
    </row>
    <row r="3306" spans="4:4">
      <c r="D3306" s="16"/>
    </row>
    <row r="3307" spans="4:4">
      <c r="D3307" s="16"/>
    </row>
    <row r="3308" spans="4:4">
      <c r="D3308" s="16"/>
    </row>
    <row r="3309" spans="4:4">
      <c r="D3309" s="16"/>
    </row>
    <row r="3310" spans="4:4">
      <c r="D3310" s="16"/>
    </row>
    <row r="3311" spans="4:4">
      <c r="D3311" s="16"/>
    </row>
    <row r="3312" spans="4:4">
      <c r="D3312" s="16"/>
    </row>
    <row r="3313" spans="4:4">
      <c r="D3313" s="16"/>
    </row>
    <row r="3314" spans="4:4">
      <c r="D3314" s="16"/>
    </row>
    <row r="3315" spans="4:4">
      <c r="D3315" s="16"/>
    </row>
    <row r="3316" spans="4:4">
      <c r="D3316" s="16"/>
    </row>
    <row r="3317" spans="4:4">
      <c r="D3317" s="16"/>
    </row>
    <row r="3318" spans="4:4">
      <c r="D3318" s="16"/>
    </row>
    <row r="3319" spans="4:4">
      <c r="D3319" s="16"/>
    </row>
    <row r="3320" spans="4:4">
      <c r="D3320" s="16"/>
    </row>
    <row r="3321" spans="4:4">
      <c r="D3321" s="16"/>
    </row>
    <row r="3322" spans="4:4">
      <c r="D3322" s="16"/>
    </row>
    <row r="3323" spans="4:4">
      <c r="D3323" s="16"/>
    </row>
    <row r="3324" spans="4:4">
      <c r="D3324" s="16"/>
    </row>
    <row r="3325" spans="4:4">
      <c r="D3325" s="16"/>
    </row>
    <row r="3326" spans="4:4">
      <c r="D3326" s="16"/>
    </row>
    <row r="3327" spans="4:4">
      <c r="D3327" s="16"/>
    </row>
    <row r="3328" spans="4:4">
      <c r="D3328" s="16"/>
    </row>
    <row r="3329" spans="4:4">
      <c r="D3329" s="16"/>
    </row>
    <row r="3330" spans="4:4">
      <c r="D3330" s="16"/>
    </row>
    <row r="3331" spans="4:4">
      <c r="D3331" s="16"/>
    </row>
    <row r="3332" spans="4:4">
      <c r="D3332" s="16"/>
    </row>
    <row r="3333" spans="4:4">
      <c r="D3333" s="16"/>
    </row>
    <row r="3334" spans="4:4">
      <c r="D3334" s="16"/>
    </row>
    <row r="3335" spans="4:4">
      <c r="D3335" s="16"/>
    </row>
    <row r="3336" spans="4:4">
      <c r="D3336" s="16"/>
    </row>
    <row r="3337" spans="4:4">
      <c r="D3337" s="16"/>
    </row>
    <row r="3338" spans="4:4">
      <c r="D3338" s="16"/>
    </row>
    <row r="3339" spans="4:4">
      <c r="D3339" s="16"/>
    </row>
    <row r="3340" spans="4:4">
      <c r="D3340" s="16"/>
    </row>
    <row r="3341" spans="4:4">
      <c r="D3341" s="16"/>
    </row>
    <row r="3342" spans="4:4">
      <c r="D3342" s="16"/>
    </row>
    <row r="3343" spans="4:4">
      <c r="D3343" s="16"/>
    </row>
    <row r="3344" spans="4:4">
      <c r="D3344" s="16"/>
    </row>
    <row r="3345" spans="4:4">
      <c r="D3345" s="16"/>
    </row>
    <row r="3346" spans="4:4">
      <c r="D3346" s="16"/>
    </row>
    <row r="3347" spans="4:4">
      <c r="D3347" s="16"/>
    </row>
    <row r="3348" spans="4:4">
      <c r="D3348" s="16"/>
    </row>
    <row r="3349" spans="4:4">
      <c r="D3349" s="16"/>
    </row>
    <row r="3350" spans="4:4">
      <c r="D3350" s="16"/>
    </row>
    <row r="3351" spans="4:4">
      <c r="D3351" s="16"/>
    </row>
    <row r="3352" spans="4:4">
      <c r="D3352" s="16"/>
    </row>
    <row r="3353" spans="4:4">
      <c r="D3353" s="16"/>
    </row>
    <row r="3354" spans="4:4">
      <c r="D3354" s="16"/>
    </row>
    <row r="3355" spans="4:4">
      <c r="D3355" s="16"/>
    </row>
    <row r="3356" spans="4:4">
      <c r="D3356" s="16"/>
    </row>
    <row r="3357" spans="4:4">
      <c r="D3357" s="16"/>
    </row>
    <row r="3358" spans="4:4">
      <c r="D3358" s="16"/>
    </row>
    <row r="3359" spans="4:4">
      <c r="D3359" s="16"/>
    </row>
    <row r="3360" spans="4:4">
      <c r="D3360" s="16"/>
    </row>
    <row r="3361" spans="4:4">
      <c r="D3361" s="16"/>
    </row>
    <row r="3362" spans="4:4">
      <c r="D3362" s="16"/>
    </row>
    <row r="3363" spans="4:4">
      <c r="D3363" s="16"/>
    </row>
    <row r="3364" spans="4:4">
      <c r="D3364" s="16"/>
    </row>
    <row r="3365" spans="4:4">
      <c r="D3365" s="16"/>
    </row>
    <row r="3366" spans="4:4">
      <c r="D3366" s="16"/>
    </row>
    <row r="3367" spans="4:4">
      <c r="D3367" s="16"/>
    </row>
    <row r="3368" spans="4:4">
      <c r="D3368" s="16"/>
    </row>
    <row r="3369" spans="4:4">
      <c r="D3369" s="16"/>
    </row>
    <row r="3370" spans="4:4">
      <c r="D3370" s="16"/>
    </row>
    <row r="3371" spans="4:4">
      <c r="D3371" s="16"/>
    </row>
    <row r="3372" spans="4:4">
      <c r="D3372" s="16"/>
    </row>
    <row r="3373" spans="4:4">
      <c r="D3373" s="16"/>
    </row>
    <row r="3374" spans="4:4">
      <c r="D3374" s="16"/>
    </row>
    <row r="3375" spans="4:4">
      <c r="D3375" s="16"/>
    </row>
    <row r="3376" spans="4:4">
      <c r="D3376" s="16"/>
    </row>
    <row r="3377" spans="4:4">
      <c r="D3377" s="16"/>
    </row>
    <row r="3378" spans="4:4">
      <c r="D3378" s="16"/>
    </row>
    <row r="3379" spans="4:4">
      <c r="D3379" s="16"/>
    </row>
    <row r="3380" spans="4:4">
      <c r="D3380" s="16"/>
    </row>
    <row r="3381" spans="4:4">
      <c r="D3381" s="16"/>
    </row>
    <row r="3382" spans="4:4">
      <c r="D3382" s="16"/>
    </row>
    <row r="3383" spans="4:4">
      <c r="D3383" s="16"/>
    </row>
    <row r="3384" spans="4:4">
      <c r="D3384" s="16"/>
    </row>
    <row r="3385" spans="4:4">
      <c r="D3385" s="16"/>
    </row>
    <row r="3386" spans="4:4">
      <c r="D3386" s="16"/>
    </row>
    <row r="3387" spans="4:4">
      <c r="D3387" s="16"/>
    </row>
    <row r="3388" spans="4:4">
      <c r="D3388" s="16"/>
    </row>
    <row r="3389" spans="4:4">
      <c r="D3389" s="16"/>
    </row>
    <row r="3390" spans="4:4">
      <c r="D3390" s="16"/>
    </row>
    <row r="3391" spans="4:4">
      <c r="D3391" s="16"/>
    </row>
    <row r="3392" spans="4:4">
      <c r="D3392" s="16"/>
    </row>
    <row r="3393" spans="4:4">
      <c r="D3393" s="16"/>
    </row>
    <row r="3394" spans="4:4">
      <c r="D3394" s="16"/>
    </row>
    <row r="3395" spans="4:4">
      <c r="D3395" s="16"/>
    </row>
    <row r="3396" spans="4:4">
      <c r="D3396" s="16"/>
    </row>
    <row r="3397" spans="4:4">
      <c r="D3397" s="16"/>
    </row>
    <row r="3398" spans="4:4">
      <c r="D3398" s="16"/>
    </row>
    <row r="3399" spans="4:4">
      <c r="D3399" s="16"/>
    </row>
    <row r="3400" spans="4:4">
      <c r="D3400" s="16"/>
    </row>
    <row r="3401" spans="4:4">
      <c r="D3401" s="16"/>
    </row>
    <row r="3402" spans="4:4">
      <c r="D3402" s="16"/>
    </row>
    <row r="3403" spans="4:4">
      <c r="D3403" s="16"/>
    </row>
    <row r="3404" spans="4:4">
      <c r="D3404" s="16"/>
    </row>
    <row r="3405" spans="4:4">
      <c r="D3405" s="16"/>
    </row>
    <row r="3406" spans="4:4">
      <c r="D3406" s="16"/>
    </row>
    <row r="3407" spans="4:4">
      <c r="D3407" s="16"/>
    </row>
    <row r="3408" spans="4:4">
      <c r="D3408" s="16"/>
    </row>
    <row r="3409" spans="4:4">
      <c r="D3409" s="16"/>
    </row>
    <row r="3410" spans="4:4">
      <c r="D3410" s="16"/>
    </row>
    <row r="3411" spans="4:4">
      <c r="D3411" s="16"/>
    </row>
    <row r="3412" spans="4:4">
      <c r="D3412" s="16"/>
    </row>
    <row r="3413" spans="4:4">
      <c r="D3413" s="16"/>
    </row>
    <row r="3414" spans="4:4">
      <c r="D3414" s="16"/>
    </row>
    <row r="3415" spans="4:4">
      <c r="D3415" s="16"/>
    </row>
    <row r="3416" spans="4:4">
      <c r="D3416" s="16"/>
    </row>
    <row r="3417" spans="4:4">
      <c r="D3417" s="16"/>
    </row>
    <row r="3418" spans="4:4">
      <c r="D3418" s="16"/>
    </row>
    <row r="3419" spans="4:4">
      <c r="D3419" s="16"/>
    </row>
    <row r="3420" spans="4:4">
      <c r="D3420" s="16"/>
    </row>
    <row r="3421" spans="4:4">
      <c r="D3421" s="16"/>
    </row>
    <row r="3422" spans="4:4">
      <c r="D3422" s="16"/>
    </row>
    <row r="3423" spans="4:4">
      <c r="D3423" s="16"/>
    </row>
    <row r="3424" spans="4:4">
      <c r="D3424" s="16"/>
    </row>
    <row r="3425" spans="4:4">
      <c r="D3425" s="16"/>
    </row>
    <row r="3426" spans="4:4">
      <c r="D3426" s="16"/>
    </row>
    <row r="3427" spans="4:4">
      <c r="D3427" s="16"/>
    </row>
    <row r="3428" spans="4:4">
      <c r="D3428" s="16"/>
    </row>
    <row r="3429" spans="4:4">
      <c r="D3429" s="16"/>
    </row>
    <row r="3430" spans="4:4">
      <c r="D3430" s="16"/>
    </row>
    <row r="3431" spans="4:4">
      <c r="D3431" s="16"/>
    </row>
    <row r="3432" spans="4:4">
      <c r="D3432" s="16"/>
    </row>
    <row r="3433" spans="4:4">
      <c r="D3433" s="16"/>
    </row>
    <row r="3434" spans="4:4">
      <c r="D3434" s="16"/>
    </row>
    <row r="3435" spans="4:4">
      <c r="D3435" s="16"/>
    </row>
    <row r="3436" spans="4:4">
      <c r="D3436" s="16"/>
    </row>
    <row r="3437" spans="4:4">
      <c r="D3437" s="16"/>
    </row>
    <row r="3438" spans="4:4">
      <c r="D3438" s="16"/>
    </row>
    <row r="3439" spans="4:4">
      <c r="D3439" s="16"/>
    </row>
    <row r="3440" spans="4:4">
      <c r="D3440" s="16"/>
    </row>
    <row r="3441" spans="4:4">
      <c r="D3441" s="16"/>
    </row>
    <row r="3442" spans="4:4">
      <c r="D3442" s="16"/>
    </row>
    <row r="3443" spans="4:4">
      <c r="D3443" s="16"/>
    </row>
    <row r="3444" spans="4:4">
      <c r="D3444" s="16"/>
    </row>
    <row r="3445" spans="4:4">
      <c r="D3445" s="16"/>
    </row>
    <row r="3446" spans="4:4">
      <c r="D3446" s="16"/>
    </row>
    <row r="3447" spans="4:4">
      <c r="D3447" s="16"/>
    </row>
    <row r="3448" spans="4:4">
      <c r="D3448" s="16"/>
    </row>
    <row r="3449" spans="4:4">
      <c r="D3449" s="16"/>
    </row>
    <row r="3450" spans="4:4">
      <c r="D3450" s="16"/>
    </row>
    <row r="3451" spans="4:4">
      <c r="D3451" s="16"/>
    </row>
    <row r="3452" spans="4:4">
      <c r="D3452" s="16"/>
    </row>
    <row r="3453" spans="4:4">
      <c r="D3453" s="16"/>
    </row>
    <row r="3454" spans="4:4">
      <c r="D3454" s="16"/>
    </row>
    <row r="3455" spans="4:4">
      <c r="D3455" s="16"/>
    </row>
    <row r="3456" spans="4:4">
      <c r="D3456" s="16"/>
    </row>
    <row r="3457" spans="4:4">
      <c r="D3457" s="16"/>
    </row>
    <row r="3458" spans="4:4">
      <c r="D3458" s="16"/>
    </row>
    <row r="3459" spans="4:4">
      <c r="D3459" s="16"/>
    </row>
    <row r="3460" spans="4:4">
      <c r="D3460" s="16"/>
    </row>
    <row r="3461" spans="4:4">
      <c r="D3461" s="16"/>
    </row>
    <row r="3462" spans="4:4">
      <c r="D3462" s="16"/>
    </row>
    <row r="3463" spans="4:4">
      <c r="D3463" s="16"/>
    </row>
    <row r="3464" spans="4:4">
      <c r="D3464" s="16"/>
    </row>
    <row r="3465" spans="4:4">
      <c r="D3465" s="16"/>
    </row>
    <row r="3466" spans="4:4">
      <c r="D3466" s="16"/>
    </row>
    <row r="3467" spans="4:4">
      <c r="D3467" s="16"/>
    </row>
    <row r="3468" spans="4:4">
      <c r="D3468" s="16"/>
    </row>
    <row r="3469" spans="4:4">
      <c r="D3469" s="16"/>
    </row>
    <row r="3470" spans="4:4">
      <c r="D3470" s="16"/>
    </row>
    <row r="3471" spans="4:4">
      <c r="D3471" s="16"/>
    </row>
    <row r="3472" spans="4:4">
      <c r="D3472" s="16"/>
    </row>
    <row r="3473" spans="4:4">
      <c r="D3473" s="16"/>
    </row>
    <row r="3474" spans="4:4">
      <c r="D3474" s="16"/>
    </row>
    <row r="3475" spans="4:4">
      <c r="D3475" s="16"/>
    </row>
    <row r="3476" spans="4:4">
      <c r="D3476" s="16"/>
    </row>
    <row r="3477" spans="4:4">
      <c r="D3477" s="16"/>
    </row>
    <row r="3478" spans="4:4">
      <c r="D3478" s="16"/>
    </row>
    <row r="3479" spans="4:4">
      <c r="D3479" s="16"/>
    </row>
    <row r="3480" spans="4:4">
      <c r="D3480" s="16"/>
    </row>
    <row r="3481" spans="4:4">
      <c r="D3481" s="16"/>
    </row>
    <row r="3482" spans="4:4">
      <c r="D3482" s="16"/>
    </row>
    <row r="3483" spans="4:4">
      <c r="D3483" s="16"/>
    </row>
    <row r="3484" spans="4:4">
      <c r="D3484" s="16"/>
    </row>
    <row r="3485" spans="4:4">
      <c r="D3485" s="16"/>
    </row>
    <row r="3486" spans="4:4">
      <c r="D3486" s="16"/>
    </row>
    <row r="3487" spans="4:4">
      <c r="D3487" s="16"/>
    </row>
    <row r="3488" spans="4:4">
      <c r="D3488" s="16"/>
    </row>
    <row r="3489" spans="4:4">
      <c r="D3489" s="16"/>
    </row>
    <row r="3490" spans="4:4">
      <c r="D3490" s="16"/>
    </row>
    <row r="3491" spans="4:4">
      <c r="D3491" s="16"/>
    </row>
    <row r="3492" spans="4:4">
      <c r="D3492" s="16"/>
    </row>
    <row r="3493" spans="4:4">
      <c r="D3493" s="16"/>
    </row>
    <row r="3494" spans="4:4">
      <c r="D3494" s="16"/>
    </row>
    <row r="3495" spans="4:4">
      <c r="D3495" s="16"/>
    </row>
    <row r="3496" spans="4:4">
      <c r="D3496" s="16"/>
    </row>
    <row r="3497" spans="4:4">
      <c r="D3497" s="16"/>
    </row>
    <row r="3498" spans="4:4">
      <c r="D3498" s="16"/>
    </row>
    <row r="3499" spans="4:4">
      <c r="D3499" s="16"/>
    </row>
    <row r="3500" spans="4:4">
      <c r="D3500" s="16"/>
    </row>
    <row r="3501" spans="4:4">
      <c r="D3501" s="16"/>
    </row>
    <row r="3502" spans="4:4">
      <c r="D3502" s="16"/>
    </row>
    <row r="3503" spans="4:4">
      <c r="D3503" s="16"/>
    </row>
    <row r="3504" spans="4:4">
      <c r="D3504" s="16"/>
    </row>
    <row r="3505" spans="4:4">
      <c r="D3505" s="16"/>
    </row>
    <row r="3506" spans="4:4">
      <c r="D3506" s="16"/>
    </row>
    <row r="3507" spans="4:4">
      <c r="D3507" s="16"/>
    </row>
    <row r="3508" spans="4:4">
      <c r="D3508" s="16"/>
    </row>
    <row r="3509" spans="4:4">
      <c r="D3509" s="16"/>
    </row>
    <row r="3510" spans="4:4">
      <c r="D3510" s="16"/>
    </row>
    <row r="3511" spans="4:4">
      <c r="D3511" s="16"/>
    </row>
    <row r="3512" spans="4:4">
      <c r="D3512" s="16"/>
    </row>
    <row r="3513" spans="4:4">
      <c r="D3513" s="16"/>
    </row>
    <row r="3514" spans="4:4">
      <c r="D3514" s="16"/>
    </row>
    <row r="3515" spans="4:4">
      <c r="D3515" s="16"/>
    </row>
    <row r="3516" spans="4:4">
      <c r="D3516" s="16"/>
    </row>
    <row r="3517" spans="4:4">
      <c r="D3517" s="16"/>
    </row>
    <row r="3518" spans="4:4">
      <c r="D3518" s="16"/>
    </row>
    <row r="3519" spans="4:4">
      <c r="D3519" s="16"/>
    </row>
    <row r="3520" spans="4:4">
      <c r="D3520" s="16"/>
    </row>
    <row r="3521" spans="4:4">
      <c r="D3521" s="16"/>
    </row>
    <row r="3522" spans="4:4">
      <c r="D3522" s="16"/>
    </row>
    <row r="3523" spans="4:4">
      <c r="D3523" s="16"/>
    </row>
    <row r="3524" spans="4:4">
      <c r="D3524" s="16"/>
    </row>
    <row r="3525" spans="4:4">
      <c r="D3525" s="16"/>
    </row>
    <row r="3526" spans="4:4">
      <c r="D3526" s="16"/>
    </row>
    <row r="3527" spans="4:4">
      <c r="D3527" s="16"/>
    </row>
    <row r="3528" spans="4:4">
      <c r="D3528" s="16"/>
    </row>
    <row r="3529" spans="4:4">
      <c r="D3529" s="16"/>
    </row>
    <row r="3530" spans="4:4">
      <c r="D3530" s="16"/>
    </row>
    <row r="3531" spans="4:4">
      <c r="D3531" s="16"/>
    </row>
    <row r="3532" spans="4:4">
      <c r="D3532" s="16"/>
    </row>
    <row r="3533" spans="4:4">
      <c r="D3533" s="16"/>
    </row>
    <row r="3534" spans="4:4">
      <c r="D3534" s="16"/>
    </row>
    <row r="3535" spans="4:4">
      <c r="D3535" s="16"/>
    </row>
    <row r="3536" spans="4:4">
      <c r="D3536" s="16"/>
    </row>
    <row r="3537" spans="4:4">
      <c r="D3537" s="16"/>
    </row>
    <row r="3538" spans="4:4">
      <c r="D3538" s="16"/>
    </row>
    <row r="3539" spans="4:4">
      <c r="D3539" s="16"/>
    </row>
    <row r="3540" spans="4:4">
      <c r="D3540" s="16"/>
    </row>
    <row r="3541" spans="4:4">
      <c r="D3541" s="16"/>
    </row>
    <row r="3542" spans="4:4">
      <c r="D3542" s="16"/>
    </row>
    <row r="3543" spans="4:4">
      <c r="D3543" s="16"/>
    </row>
    <row r="3544" spans="4:4">
      <c r="D3544" s="16"/>
    </row>
    <row r="3545" spans="4:4">
      <c r="D3545" s="16"/>
    </row>
    <row r="3546" spans="4:4">
      <c r="D3546" s="16"/>
    </row>
    <row r="3547" spans="4:4">
      <c r="D3547" s="16"/>
    </row>
    <row r="3548" spans="4:4">
      <c r="D3548" s="16"/>
    </row>
    <row r="3549" spans="4:4">
      <c r="D3549" s="16"/>
    </row>
    <row r="3550" spans="4:4">
      <c r="D3550" s="16"/>
    </row>
    <row r="3551" spans="4:4">
      <c r="D3551" s="16"/>
    </row>
    <row r="3552" spans="4:4">
      <c r="D3552" s="16"/>
    </row>
    <row r="3553" spans="4:4">
      <c r="D3553" s="16"/>
    </row>
    <row r="3554" spans="4:4">
      <c r="D3554" s="16"/>
    </row>
    <row r="3555" spans="4:4">
      <c r="D3555" s="16"/>
    </row>
    <row r="3556" spans="4:4">
      <c r="D3556" s="16"/>
    </row>
    <row r="3557" spans="4:4">
      <c r="D3557" s="16"/>
    </row>
    <row r="3558" spans="4:4">
      <c r="D3558" s="16"/>
    </row>
    <row r="3559" spans="4:4">
      <c r="D3559" s="16"/>
    </row>
    <row r="3560" spans="4:4">
      <c r="D3560" s="16"/>
    </row>
    <row r="3561" spans="4:4">
      <c r="D3561" s="16"/>
    </row>
    <row r="3562" spans="4:4">
      <c r="D3562" s="16"/>
    </row>
    <row r="3563" spans="4:4">
      <c r="D3563" s="16"/>
    </row>
    <row r="3564" spans="4:4">
      <c r="D3564" s="16"/>
    </row>
    <row r="3565" spans="4:4">
      <c r="D3565" s="16"/>
    </row>
    <row r="3566" spans="4:4">
      <c r="D3566" s="16"/>
    </row>
    <row r="3567" spans="4:4">
      <c r="D3567" s="16"/>
    </row>
    <row r="3568" spans="4:4">
      <c r="D3568" s="16"/>
    </row>
    <row r="3569" spans="4:4">
      <c r="D3569" s="16"/>
    </row>
    <row r="3570" spans="4:4">
      <c r="D3570" s="16"/>
    </row>
    <row r="3571" spans="4:4">
      <c r="D3571" s="16"/>
    </row>
    <row r="3572" spans="4:4">
      <c r="D3572" s="16"/>
    </row>
    <row r="3573" spans="4:4">
      <c r="D3573" s="16"/>
    </row>
    <row r="3574" spans="4:4">
      <c r="D3574" s="16"/>
    </row>
    <row r="3575" spans="4:4">
      <c r="D3575" s="16"/>
    </row>
    <row r="3576" spans="4:4">
      <c r="D3576" s="16"/>
    </row>
    <row r="3577" spans="4:4">
      <c r="D3577" s="16"/>
    </row>
    <row r="3578" spans="4:4">
      <c r="D3578" s="16"/>
    </row>
    <row r="3579" spans="4:4">
      <c r="D3579" s="16"/>
    </row>
    <row r="3580" spans="4:4">
      <c r="D3580" s="16"/>
    </row>
    <row r="3581" spans="4:4">
      <c r="D3581" s="16"/>
    </row>
    <row r="3582" spans="4:4">
      <c r="D3582" s="16"/>
    </row>
    <row r="3583" spans="4:4">
      <c r="D3583" s="16"/>
    </row>
    <row r="3584" spans="4:4">
      <c r="D3584" s="16"/>
    </row>
    <row r="3585" spans="4:4">
      <c r="D3585" s="16"/>
    </row>
    <row r="3586" spans="4:4">
      <c r="D3586" s="16"/>
    </row>
    <row r="3587" spans="4:4">
      <c r="D3587" s="16"/>
    </row>
    <row r="3588" spans="4:4">
      <c r="D3588" s="16"/>
    </row>
    <row r="3589" spans="4:4">
      <c r="D3589" s="16"/>
    </row>
    <row r="3590" spans="4:4">
      <c r="D3590" s="16"/>
    </row>
    <row r="3591" spans="4:4">
      <c r="D3591" s="16"/>
    </row>
    <row r="3592" spans="4:4">
      <c r="D3592" s="16"/>
    </row>
    <row r="3593" spans="4:4">
      <c r="D3593" s="16"/>
    </row>
    <row r="3594" spans="4:4">
      <c r="D3594" s="16"/>
    </row>
    <row r="3595" spans="4:4">
      <c r="D3595" s="16"/>
    </row>
    <row r="3596" spans="4:4">
      <c r="D3596" s="16"/>
    </row>
    <row r="3597" spans="4:4">
      <c r="D3597" s="16"/>
    </row>
    <row r="3598" spans="4:4">
      <c r="D3598" s="16"/>
    </row>
    <row r="3599" spans="4:4">
      <c r="D3599" s="16"/>
    </row>
    <row r="3600" spans="4:4">
      <c r="D3600" s="16"/>
    </row>
    <row r="3601" spans="4:4">
      <c r="D3601" s="16"/>
    </row>
    <row r="3602" spans="4:4">
      <c r="D3602" s="16"/>
    </row>
    <row r="3603" spans="4:4">
      <c r="D3603" s="16"/>
    </row>
    <row r="3604" spans="4:4">
      <c r="D3604" s="16"/>
    </row>
    <row r="3605" spans="4:4">
      <c r="D3605" s="16"/>
    </row>
    <row r="3606" spans="4:4">
      <c r="D3606" s="16"/>
    </row>
    <row r="3607" spans="4:4">
      <c r="D3607" s="16"/>
    </row>
    <row r="3608" spans="4:4">
      <c r="D3608" s="16"/>
    </row>
    <row r="3609" spans="4:4">
      <c r="D3609" s="16"/>
    </row>
    <row r="3610" spans="4:4">
      <c r="D3610" s="16"/>
    </row>
    <row r="3611" spans="4:4">
      <c r="D3611" s="16"/>
    </row>
    <row r="3612" spans="4:4">
      <c r="D3612" s="16"/>
    </row>
    <row r="3613" spans="4:4">
      <c r="D3613" s="16"/>
    </row>
    <row r="3614" spans="4:4">
      <c r="D3614" s="16"/>
    </row>
    <row r="3615" spans="4:4">
      <c r="D3615" s="16"/>
    </row>
    <row r="3616" spans="4:4">
      <c r="D3616" s="16"/>
    </row>
    <row r="3617" spans="4:4">
      <c r="D3617" s="16"/>
    </row>
    <row r="3618" spans="4:4">
      <c r="D3618" s="16"/>
    </row>
    <row r="3619" spans="4:4">
      <c r="D3619" s="16"/>
    </row>
    <row r="3620" spans="4:4">
      <c r="D3620" s="16"/>
    </row>
    <row r="3621" spans="4:4">
      <c r="D3621" s="16"/>
    </row>
    <row r="3622" spans="4:4">
      <c r="D3622" s="16"/>
    </row>
    <row r="3623" spans="4:4">
      <c r="D3623" s="16"/>
    </row>
    <row r="3624" spans="4:4">
      <c r="D3624" s="16"/>
    </row>
    <row r="3625" spans="4:4">
      <c r="D3625" s="16"/>
    </row>
    <row r="3626" spans="4:4">
      <c r="D3626" s="16"/>
    </row>
    <row r="3627" spans="4:4">
      <c r="D3627" s="16"/>
    </row>
    <row r="3628" spans="4:4">
      <c r="D3628" s="16"/>
    </row>
    <row r="3629" spans="4:4">
      <c r="D3629" s="16"/>
    </row>
    <row r="3630" spans="4:4">
      <c r="D3630" s="16"/>
    </row>
    <row r="3631" spans="4:4">
      <c r="D3631" s="16"/>
    </row>
    <row r="3632" spans="4:4">
      <c r="D3632" s="16"/>
    </row>
    <row r="3633" spans="4:4">
      <c r="D3633" s="16"/>
    </row>
    <row r="3634" spans="4:4">
      <c r="D3634" s="16"/>
    </row>
    <row r="3635" spans="4:4">
      <c r="D3635" s="16"/>
    </row>
    <row r="3636" spans="4:4">
      <c r="D3636" s="16"/>
    </row>
    <row r="3637" spans="4:4">
      <c r="D3637" s="16"/>
    </row>
    <row r="3638" spans="4:4">
      <c r="D3638" s="16"/>
    </row>
    <row r="3639" spans="4:4">
      <c r="D3639" s="16"/>
    </row>
    <row r="3640" spans="4:4">
      <c r="D3640" s="16"/>
    </row>
    <row r="3641" spans="4:4">
      <c r="D3641" s="16"/>
    </row>
    <row r="3642" spans="4:4">
      <c r="D3642" s="16"/>
    </row>
    <row r="3643" spans="4:4">
      <c r="D3643" s="16"/>
    </row>
    <row r="3644" spans="4:4">
      <c r="D3644" s="16"/>
    </row>
    <row r="3645" spans="4:4">
      <c r="D3645" s="16"/>
    </row>
    <row r="3646" spans="4:4">
      <c r="D3646" s="16"/>
    </row>
    <row r="3647" spans="4:4">
      <c r="D3647" s="16"/>
    </row>
    <row r="3648" spans="4:4">
      <c r="D3648" s="16"/>
    </row>
    <row r="3649" spans="4:4">
      <c r="D3649" s="16"/>
    </row>
    <row r="3650" spans="4:4">
      <c r="D3650" s="16"/>
    </row>
    <row r="3651" spans="4:4">
      <c r="D3651" s="16"/>
    </row>
    <row r="3652" spans="4:4">
      <c r="D3652" s="16"/>
    </row>
    <row r="3653" spans="4:4">
      <c r="D3653" s="16"/>
    </row>
    <row r="3654" spans="4:4">
      <c r="D3654" s="16"/>
    </row>
    <row r="3655" spans="4:4">
      <c r="D3655" s="16"/>
    </row>
    <row r="3656" spans="4:4">
      <c r="D3656" s="16"/>
    </row>
    <row r="3657" spans="4:4">
      <c r="D3657" s="16"/>
    </row>
    <row r="3658" spans="4:4">
      <c r="D3658" s="16"/>
    </row>
    <row r="3659" spans="4:4">
      <c r="D3659" s="16"/>
    </row>
    <row r="3660" spans="4:4">
      <c r="D3660" s="16"/>
    </row>
    <row r="3661" spans="4:4">
      <c r="D3661" s="16"/>
    </row>
    <row r="3662" spans="4:4">
      <c r="D3662" s="16"/>
    </row>
    <row r="3663" spans="4:4">
      <c r="D3663" s="16"/>
    </row>
    <row r="3664" spans="4:4">
      <c r="D3664" s="16"/>
    </row>
    <row r="3665" spans="4:4">
      <c r="D3665" s="16"/>
    </row>
    <row r="3666" spans="4:4">
      <c r="D3666" s="16"/>
    </row>
    <row r="3667" spans="4:4">
      <c r="D3667" s="16"/>
    </row>
    <row r="3668" spans="4:4">
      <c r="D3668" s="16"/>
    </row>
    <row r="3669" spans="4:4">
      <c r="D3669" s="16"/>
    </row>
    <row r="3670" spans="4:4">
      <c r="D3670" s="16"/>
    </row>
    <row r="3671" spans="4:4">
      <c r="D3671" s="16"/>
    </row>
    <row r="3672" spans="4:4">
      <c r="D3672" s="16"/>
    </row>
    <row r="3673" spans="4:4">
      <c r="D3673" s="16"/>
    </row>
    <row r="3674" spans="4:4">
      <c r="D3674" s="16"/>
    </row>
    <row r="3675" spans="4:4">
      <c r="D3675" s="16"/>
    </row>
    <row r="3676" spans="4:4">
      <c r="D3676" s="16"/>
    </row>
    <row r="3677" spans="4:4">
      <c r="D3677" s="16"/>
    </row>
    <row r="3678" spans="4:4">
      <c r="D3678" s="16"/>
    </row>
    <row r="3679" spans="4:4">
      <c r="D3679" s="16"/>
    </row>
    <row r="3680" spans="4:4">
      <c r="D3680" s="16"/>
    </row>
    <row r="3681" spans="4:4">
      <c r="D3681" s="16"/>
    </row>
    <row r="3682" spans="4:4">
      <c r="D3682" s="16"/>
    </row>
    <row r="3683" spans="4:4">
      <c r="D3683" s="16"/>
    </row>
    <row r="3684" spans="4:4">
      <c r="D3684" s="16"/>
    </row>
    <row r="3685" spans="4:4">
      <c r="D3685" s="16"/>
    </row>
    <row r="3686" spans="4:4">
      <c r="D3686" s="16"/>
    </row>
    <row r="3687" spans="4:4">
      <c r="D3687" s="16"/>
    </row>
    <row r="3688" spans="4:4">
      <c r="D3688" s="16"/>
    </row>
    <row r="3689" spans="4:4">
      <c r="D3689" s="16"/>
    </row>
    <row r="3690" spans="4:4">
      <c r="D3690" s="16"/>
    </row>
    <row r="3691" spans="4:4">
      <c r="D3691" s="16"/>
    </row>
    <row r="3692" spans="4:4">
      <c r="D3692" s="16"/>
    </row>
    <row r="3693" spans="4:4">
      <c r="D3693" s="16"/>
    </row>
    <row r="3694" spans="4:4">
      <c r="D3694" s="16"/>
    </row>
    <row r="3695" spans="4:4">
      <c r="D3695" s="16"/>
    </row>
    <row r="3696" spans="4:4">
      <c r="D3696" s="16"/>
    </row>
    <row r="3697" spans="4:4">
      <c r="D3697" s="16"/>
    </row>
    <row r="3698" spans="4:4">
      <c r="D3698" s="16"/>
    </row>
    <row r="3699" spans="4:4">
      <c r="D3699" s="16"/>
    </row>
    <row r="3700" spans="4:4">
      <c r="D3700" s="16"/>
    </row>
    <row r="3701" spans="4:4">
      <c r="D3701" s="16"/>
    </row>
    <row r="3702" spans="4:4">
      <c r="D3702" s="16"/>
    </row>
    <row r="3703" spans="4:4">
      <c r="D3703" s="16"/>
    </row>
    <row r="3704" spans="4:4">
      <c r="D3704" s="16"/>
    </row>
    <row r="3705" spans="4:4">
      <c r="D3705" s="16"/>
    </row>
    <row r="3706" spans="4:4">
      <c r="D3706" s="16"/>
    </row>
    <row r="3707" spans="4:4">
      <c r="D3707" s="16"/>
    </row>
    <row r="3708" spans="4:4">
      <c r="D3708" s="16"/>
    </row>
    <row r="3709" spans="4:4">
      <c r="D3709" s="16"/>
    </row>
    <row r="3710" spans="4:4">
      <c r="D3710" s="16"/>
    </row>
    <row r="3711" spans="4:4">
      <c r="D3711" s="16"/>
    </row>
    <row r="3712" spans="4:4">
      <c r="D3712" s="16"/>
    </row>
    <row r="3713" spans="4:4">
      <c r="D3713" s="16"/>
    </row>
    <row r="3714" spans="4:4">
      <c r="D3714" s="16"/>
    </row>
    <row r="3715" spans="4:4">
      <c r="D3715" s="16"/>
    </row>
    <row r="3716" spans="4:4">
      <c r="D3716" s="16"/>
    </row>
    <row r="3717" spans="4:4">
      <c r="D3717" s="16"/>
    </row>
    <row r="3718" spans="4:4">
      <c r="D3718" s="16"/>
    </row>
    <row r="3719" spans="4:4">
      <c r="D3719" s="16"/>
    </row>
    <row r="3720" spans="4:4">
      <c r="D3720" s="16"/>
    </row>
    <row r="3721" spans="4:4">
      <c r="D3721" s="16"/>
    </row>
    <row r="3722" spans="4:4">
      <c r="D3722" s="16"/>
    </row>
    <row r="3723" spans="4:4">
      <c r="D3723" s="16"/>
    </row>
    <row r="3724" spans="4:4">
      <c r="D3724" s="16"/>
    </row>
    <row r="3725" spans="4:4">
      <c r="D3725" s="16"/>
    </row>
    <row r="3726" spans="4:4">
      <c r="D3726" s="16"/>
    </row>
    <row r="3727" spans="4:4">
      <c r="D3727" s="16"/>
    </row>
    <row r="3728" spans="4:4">
      <c r="D3728" s="16"/>
    </row>
    <row r="3729" spans="4:4">
      <c r="D3729" s="16"/>
    </row>
    <row r="3730" spans="4:4">
      <c r="D3730" s="16"/>
    </row>
    <row r="3731" spans="4:4">
      <c r="D3731" s="16"/>
    </row>
    <row r="3732" spans="4:4">
      <c r="D3732" s="16"/>
    </row>
    <row r="3733" spans="4:4">
      <c r="D3733" s="16"/>
    </row>
    <row r="3734" spans="4:4">
      <c r="D3734" s="16"/>
    </row>
    <row r="3735" spans="4:4">
      <c r="D3735" s="16"/>
    </row>
    <row r="3736" spans="4:4">
      <c r="D3736" s="16"/>
    </row>
    <row r="3737" spans="4:4">
      <c r="D3737" s="16"/>
    </row>
    <row r="3738" spans="4:4">
      <c r="D3738" s="16"/>
    </row>
    <row r="3739" spans="4:4">
      <c r="D3739" s="16"/>
    </row>
    <row r="3740" spans="4:4">
      <c r="D3740" s="16"/>
    </row>
    <row r="3741" spans="4:4">
      <c r="D3741" s="16"/>
    </row>
    <row r="3742" spans="4:4">
      <c r="D3742" s="16"/>
    </row>
    <row r="3743" spans="4:4">
      <c r="D3743" s="16"/>
    </row>
    <row r="3744" spans="4:4">
      <c r="D3744" s="16"/>
    </row>
    <row r="3745" spans="4:4">
      <c r="D3745" s="16"/>
    </row>
    <row r="3746" spans="4:4">
      <c r="D3746" s="16"/>
    </row>
    <row r="3747" spans="4:4">
      <c r="D3747" s="16"/>
    </row>
    <row r="3748" spans="4:4">
      <c r="D3748" s="16"/>
    </row>
    <row r="3749" spans="4:4">
      <c r="D3749" s="16"/>
    </row>
    <row r="3750" spans="4:4">
      <c r="D3750" s="16"/>
    </row>
    <row r="3751" spans="4:4">
      <c r="D3751" s="16"/>
    </row>
    <row r="3752" spans="4:4">
      <c r="D3752" s="16"/>
    </row>
    <row r="3753" spans="4:4">
      <c r="D3753" s="16"/>
    </row>
    <row r="3754" spans="4:4">
      <c r="D3754" s="16"/>
    </row>
    <row r="3755" spans="4:4">
      <c r="D3755" s="16"/>
    </row>
    <row r="3756" spans="4:4">
      <c r="D3756" s="16"/>
    </row>
    <row r="3757" spans="4:4">
      <c r="D3757" s="16"/>
    </row>
    <row r="3758" spans="4:4">
      <c r="D3758" s="16"/>
    </row>
    <row r="3759" spans="4:4">
      <c r="D3759" s="16"/>
    </row>
    <row r="3760" spans="4:4">
      <c r="D3760" s="16"/>
    </row>
    <row r="3761" spans="4:4">
      <c r="D3761" s="16"/>
    </row>
    <row r="3762" spans="4:4">
      <c r="D3762" s="16"/>
    </row>
    <row r="3763" spans="4:4">
      <c r="D3763" s="16"/>
    </row>
    <row r="3764" spans="4:4">
      <c r="D3764" s="16"/>
    </row>
    <row r="3765" spans="4:4">
      <c r="D3765" s="16"/>
    </row>
    <row r="3766" spans="4:4">
      <c r="D3766" s="16"/>
    </row>
    <row r="3767" spans="4:4">
      <c r="D3767" s="16"/>
    </row>
    <row r="3768" spans="4:4">
      <c r="D3768" s="16"/>
    </row>
    <row r="3769" spans="4:4">
      <c r="D3769" s="16"/>
    </row>
    <row r="3770" spans="4:4">
      <c r="D3770" s="16"/>
    </row>
    <row r="3771" spans="4:4">
      <c r="D3771" s="16"/>
    </row>
    <row r="3772" spans="4:4">
      <c r="D3772" s="16"/>
    </row>
    <row r="3773" spans="4:4">
      <c r="D3773" s="16"/>
    </row>
    <row r="3774" spans="4:4">
      <c r="D3774" s="16"/>
    </row>
    <row r="3775" spans="4:4">
      <c r="D3775" s="16"/>
    </row>
    <row r="3776" spans="4:4">
      <c r="D3776" s="16"/>
    </row>
    <row r="3777" spans="4:4">
      <c r="D3777" s="16"/>
    </row>
    <row r="3778" spans="4:4">
      <c r="D3778" s="16"/>
    </row>
    <row r="3779" spans="4:4">
      <c r="D3779" s="16"/>
    </row>
    <row r="3780" spans="4:4">
      <c r="D3780" s="16"/>
    </row>
    <row r="3781" spans="4:4">
      <c r="D3781" s="16"/>
    </row>
    <row r="3782" spans="4:4">
      <c r="D3782" s="16"/>
    </row>
    <row r="3783" spans="4:4">
      <c r="D3783" s="16"/>
    </row>
    <row r="3784" spans="4:4">
      <c r="D3784" s="16"/>
    </row>
    <row r="3785" spans="4:4">
      <c r="D3785" s="16"/>
    </row>
    <row r="3786" spans="4:4">
      <c r="D3786" s="16"/>
    </row>
    <row r="3787" spans="4:4">
      <c r="D3787" s="16"/>
    </row>
    <row r="3788" spans="4:4">
      <c r="D3788" s="16"/>
    </row>
    <row r="3789" spans="4:4">
      <c r="D3789" s="16"/>
    </row>
    <row r="3790" spans="4:4">
      <c r="D3790" s="16"/>
    </row>
    <row r="3791" spans="4:4">
      <c r="D3791" s="16"/>
    </row>
    <row r="3792" spans="4:4">
      <c r="D3792" s="16"/>
    </row>
    <row r="3793" spans="4:4">
      <c r="D3793" s="16"/>
    </row>
    <row r="3794" spans="4:4">
      <c r="D3794" s="16"/>
    </row>
    <row r="3795" spans="4:4">
      <c r="D3795" s="16"/>
    </row>
    <row r="3796" spans="4:4">
      <c r="D3796" s="16"/>
    </row>
    <row r="3797" spans="4:4">
      <c r="D3797" s="16"/>
    </row>
    <row r="3798" spans="4:4">
      <c r="D3798" s="16"/>
    </row>
    <row r="3799" spans="4:4">
      <c r="D3799" s="16"/>
    </row>
    <row r="3800" spans="4:4">
      <c r="D3800" s="16"/>
    </row>
    <row r="3801" spans="4:4">
      <c r="D3801" s="16"/>
    </row>
    <row r="3802" spans="4:4">
      <c r="D3802" s="16"/>
    </row>
    <row r="3803" spans="4:4">
      <c r="D3803" s="16"/>
    </row>
    <row r="3804" spans="4:4">
      <c r="D3804" s="16"/>
    </row>
    <row r="3805" spans="4:4">
      <c r="D3805" s="16"/>
    </row>
    <row r="3806" spans="4:4">
      <c r="D3806" s="16"/>
    </row>
    <row r="3807" spans="4:4">
      <c r="D3807" s="16"/>
    </row>
    <row r="3808" spans="4:4">
      <c r="D3808" s="16"/>
    </row>
    <row r="3809" spans="4:4">
      <c r="D3809" s="16"/>
    </row>
    <row r="3810" spans="4:4">
      <c r="D3810" s="16"/>
    </row>
    <row r="3811" spans="4:4">
      <c r="D3811" s="16"/>
    </row>
    <row r="3812" spans="4:4">
      <c r="D3812" s="16"/>
    </row>
    <row r="3813" spans="4:4">
      <c r="D3813" s="16"/>
    </row>
    <row r="3814" spans="4:4">
      <c r="D3814" s="16"/>
    </row>
    <row r="3815" spans="4:4">
      <c r="D3815" s="16"/>
    </row>
    <row r="3816" spans="4:4">
      <c r="D3816" s="16"/>
    </row>
    <row r="3817" spans="4:4">
      <c r="D3817" s="16"/>
    </row>
    <row r="3818" spans="4:4">
      <c r="D3818" s="16"/>
    </row>
    <row r="3819" spans="4:4">
      <c r="D3819" s="16"/>
    </row>
    <row r="3820" spans="4:4">
      <c r="D3820" s="16"/>
    </row>
    <row r="3821" spans="4:4">
      <c r="D3821" s="16"/>
    </row>
    <row r="3822" spans="4:4">
      <c r="D3822" s="16"/>
    </row>
    <row r="3823" spans="4:4">
      <c r="D3823" s="16"/>
    </row>
    <row r="3824" spans="4:4">
      <c r="D3824" s="16"/>
    </row>
    <row r="3825" spans="4:4">
      <c r="D3825" s="16"/>
    </row>
    <row r="3826" spans="4:4">
      <c r="D3826" s="16"/>
    </row>
    <row r="3827" spans="4:4">
      <c r="D3827" s="16"/>
    </row>
    <row r="3828" spans="4:4">
      <c r="D3828" s="16"/>
    </row>
    <row r="3829" spans="4:4">
      <c r="D3829" s="16"/>
    </row>
    <row r="3830" spans="4:4">
      <c r="D3830" s="16"/>
    </row>
    <row r="3831" spans="4:4">
      <c r="D3831" s="16"/>
    </row>
    <row r="3832" spans="4:4">
      <c r="D3832" s="16"/>
    </row>
    <row r="3833" spans="4:4">
      <c r="D3833" s="16"/>
    </row>
    <row r="3834" spans="4:4">
      <c r="D3834" s="16"/>
    </row>
    <row r="3835" spans="4:4">
      <c r="D3835" s="16"/>
    </row>
    <row r="3836" spans="4:4">
      <c r="D3836" s="16"/>
    </row>
    <row r="3837" spans="4:4">
      <c r="D3837" s="16"/>
    </row>
    <row r="3838" spans="4:4">
      <c r="D3838" s="16"/>
    </row>
    <row r="3839" spans="4:4">
      <c r="D3839" s="16"/>
    </row>
    <row r="3840" spans="4:4">
      <c r="D3840" s="16"/>
    </row>
    <row r="3841" spans="4:4">
      <c r="D3841" s="16"/>
    </row>
    <row r="3842" spans="4:4">
      <c r="D3842" s="16"/>
    </row>
    <row r="3843" spans="4:4">
      <c r="D3843" s="16"/>
    </row>
    <row r="3844" spans="4:4">
      <c r="D3844" s="16"/>
    </row>
    <row r="3845" spans="4:4">
      <c r="D3845" s="16"/>
    </row>
    <row r="3846" spans="4:4">
      <c r="D3846" s="16"/>
    </row>
    <row r="3847" spans="4:4">
      <c r="D3847" s="16"/>
    </row>
    <row r="3848" spans="4:4">
      <c r="D3848" s="16"/>
    </row>
    <row r="3849" spans="4:4">
      <c r="D3849" s="16"/>
    </row>
    <row r="3850" spans="4:4">
      <c r="D3850" s="16"/>
    </row>
    <row r="3851" spans="4:4">
      <c r="D3851" s="16"/>
    </row>
    <row r="3852" spans="4:4">
      <c r="D3852" s="16"/>
    </row>
    <row r="3853" spans="4:4">
      <c r="D3853" s="16"/>
    </row>
    <row r="3854" spans="4:4">
      <c r="D3854" s="16"/>
    </row>
    <row r="3855" spans="4:4">
      <c r="D3855" s="16"/>
    </row>
    <row r="3856" spans="4:4">
      <c r="D3856" s="16"/>
    </row>
    <row r="3857" spans="4:4">
      <c r="D3857" s="16"/>
    </row>
    <row r="3858" spans="4:4">
      <c r="D3858" s="16"/>
    </row>
    <row r="3859" spans="4:4">
      <c r="D3859" s="16"/>
    </row>
    <row r="3860" spans="4:4">
      <c r="D3860" s="16"/>
    </row>
    <row r="3861" spans="4:4">
      <c r="D3861" s="16"/>
    </row>
    <row r="3862" spans="4:4">
      <c r="D3862" s="16"/>
    </row>
    <row r="3863" spans="4:4">
      <c r="D3863" s="16"/>
    </row>
    <row r="3864" spans="4:4">
      <c r="D3864" s="16"/>
    </row>
    <row r="3865" spans="4:4">
      <c r="D3865" s="16"/>
    </row>
    <row r="3866" spans="4:4">
      <c r="D3866" s="16"/>
    </row>
    <row r="3867" spans="4:4">
      <c r="D3867" s="16"/>
    </row>
    <row r="3868" spans="4:4">
      <c r="D3868" s="16"/>
    </row>
    <row r="3869" spans="4:4">
      <c r="D3869" s="16"/>
    </row>
    <row r="3870" spans="4:4">
      <c r="D3870" s="16"/>
    </row>
    <row r="3871" spans="4:4">
      <c r="D3871" s="16"/>
    </row>
    <row r="3872" spans="4:4">
      <c r="D3872" s="16"/>
    </row>
    <row r="3873" spans="4:4">
      <c r="D3873" s="16"/>
    </row>
    <row r="3874" spans="4:4">
      <c r="D3874" s="16"/>
    </row>
    <row r="3875" spans="4:4">
      <c r="D3875" s="16"/>
    </row>
    <row r="3876" spans="4:4">
      <c r="D3876" s="16"/>
    </row>
    <row r="3877" spans="4:4">
      <c r="D3877" s="16"/>
    </row>
    <row r="3878" spans="4:4">
      <c r="D3878" s="16"/>
    </row>
    <row r="3879" spans="4:4">
      <c r="D3879" s="16"/>
    </row>
    <row r="3880" spans="4:4">
      <c r="D3880" s="16"/>
    </row>
    <row r="3881" spans="4:4">
      <c r="D3881" s="16"/>
    </row>
    <row r="3882" spans="4:4">
      <c r="D3882" s="16"/>
    </row>
    <row r="3883" spans="4:4">
      <c r="D3883" s="16"/>
    </row>
    <row r="3884" spans="4:4">
      <c r="D3884" s="16"/>
    </row>
    <row r="3885" spans="4:4">
      <c r="D3885" s="16"/>
    </row>
    <row r="3886" spans="4:4">
      <c r="D3886" s="16"/>
    </row>
    <row r="3887" spans="4:4">
      <c r="D3887" s="16"/>
    </row>
    <row r="3888" spans="4:4">
      <c r="D3888" s="16"/>
    </row>
    <row r="3889" spans="4:4">
      <c r="D3889" s="16"/>
    </row>
    <row r="3890" spans="4:4">
      <c r="D3890" s="16"/>
    </row>
    <row r="3891" spans="4:4">
      <c r="D3891" s="16"/>
    </row>
    <row r="3892" spans="4:4">
      <c r="D3892" s="16"/>
    </row>
    <row r="3893" spans="4:4">
      <c r="D3893" s="16"/>
    </row>
    <row r="3894" spans="4:4">
      <c r="D3894" s="16"/>
    </row>
    <row r="3895" spans="4:4">
      <c r="D3895" s="16"/>
    </row>
    <row r="3896" spans="4:4">
      <c r="D3896" s="16"/>
    </row>
    <row r="3897" spans="4:4">
      <c r="D3897" s="16"/>
    </row>
    <row r="3898" spans="4:4">
      <c r="D3898" s="16"/>
    </row>
    <row r="3899" spans="4:4">
      <c r="D3899" s="16"/>
    </row>
    <row r="3900" spans="4:4">
      <c r="D3900" s="16"/>
    </row>
    <row r="3901" spans="4:4">
      <c r="D3901" s="16"/>
    </row>
    <row r="3902" spans="4:4">
      <c r="D3902" s="16"/>
    </row>
    <row r="3903" spans="4:4">
      <c r="D3903" s="16"/>
    </row>
    <row r="3904" spans="4:4">
      <c r="D3904" s="16"/>
    </row>
    <row r="3905" spans="4:4">
      <c r="D3905" s="16"/>
    </row>
    <row r="3906" spans="4:4">
      <c r="D3906" s="16"/>
    </row>
    <row r="3907" spans="4:4">
      <c r="D3907" s="16"/>
    </row>
    <row r="3908" spans="4:4">
      <c r="D3908" s="16"/>
    </row>
    <row r="3909" spans="4:4">
      <c r="D3909" s="16"/>
    </row>
    <row r="3910" spans="4:4">
      <c r="D3910" s="16"/>
    </row>
    <row r="3911" spans="4:4">
      <c r="D3911" s="16"/>
    </row>
    <row r="3912" spans="4:4">
      <c r="D3912" s="16"/>
    </row>
    <row r="3913" spans="4:4">
      <c r="D3913" s="16"/>
    </row>
    <row r="3914" spans="4:4">
      <c r="D3914" s="16"/>
    </row>
    <row r="3915" spans="4:4">
      <c r="D3915" s="16"/>
    </row>
    <row r="3916" spans="4:4">
      <c r="D3916" s="16"/>
    </row>
    <row r="3917" spans="4:4">
      <c r="D3917" s="16"/>
    </row>
    <row r="3918" spans="4:4">
      <c r="D3918" s="16"/>
    </row>
    <row r="3919" spans="4:4">
      <c r="D3919" s="16"/>
    </row>
    <row r="3920" spans="4:4">
      <c r="D3920" s="16"/>
    </row>
    <row r="3921" spans="4:4">
      <c r="D3921" s="16"/>
    </row>
    <row r="3922" spans="4:4">
      <c r="D3922" s="16"/>
    </row>
    <row r="3923" spans="4:4">
      <c r="D3923" s="16"/>
    </row>
    <row r="3924" spans="4:4">
      <c r="D3924" s="16"/>
    </row>
    <row r="3925" spans="4:4">
      <c r="D3925" s="16"/>
    </row>
    <row r="3926" spans="4:4">
      <c r="D3926" s="16"/>
    </row>
    <row r="3927" spans="4:4">
      <c r="D3927" s="16"/>
    </row>
    <row r="3928" spans="4:4">
      <c r="D3928" s="16"/>
    </row>
    <row r="3929" spans="4:4">
      <c r="D3929" s="16"/>
    </row>
    <row r="3930" spans="4:4">
      <c r="D3930" s="16"/>
    </row>
    <row r="3931" spans="4:4">
      <c r="D3931" s="16"/>
    </row>
    <row r="3932" spans="4:4">
      <c r="D3932" s="16"/>
    </row>
    <row r="3933" spans="4:4">
      <c r="D3933" s="16"/>
    </row>
    <row r="3934" spans="4:4">
      <c r="D3934" s="16"/>
    </row>
    <row r="3935" spans="4:4">
      <c r="D3935" s="16"/>
    </row>
    <row r="3936" spans="4:4">
      <c r="D3936" s="16"/>
    </row>
    <row r="3937" spans="4:4">
      <c r="D3937" s="16"/>
    </row>
    <row r="3938" spans="4:4">
      <c r="D3938" s="16"/>
    </row>
    <row r="3939" spans="4:4">
      <c r="D3939" s="16"/>
    </row>
    <row r="3940" spans="4:4">
      <c r="D3940" s="16"/>
    </row>
    <row r="3941" spans="4:4">
      <c r="D3941" s="16"/>
    </row>
    <row r="3942" spans="4:4">
      <c r="D3942" s="16"/>
    </row>
    <row r="3943" spans="4:4">
      <c r="D3943" s="16"/>
    </row>
    <row r="3944" spans="4:4">
      <c r="D3944" s="16"/>
    </row>
    <row r="3945" spans="4:4">
      <c r="D3945" s="16"/>
    </row>
    <row r="3946" spans="4:4">
      <c r="D3946" s="16"/>
    </row>
    <row r="3947" spans="4:4">
      <c r="D3947" s="16"/>
    </row>
    <row r="3948" spans="4:4">
      <c r="D3948" s="16"/>
    </row>
    <row r="3949" spans="4:4">
      <c r="D3949" s="16"/>
    </row>
    <row r="3950" spans="4:4">
      <c r="D3950" s="16"/>
    </row>
    <row r="3951" spans="4:4">
      <c r="D3951" s="16"/>
    </row>
    <row r="3952" spans="4:4">
      <c r="D3952" s="16"/>
    </row>
    <row r="3953" spans="4:4">
      <c r="D3953" s="16"/>
    </row>
    <row r="3954" spans="4:4">
      <c r="D3954" s="16"/>
    </row>
    <row r="3955" spans="4:4">
      <c r="D3955" s="16"/>
    </row>
    <row r="3956" spans="4:4">
      <c r="D3956" s="16"/>
    </row>
    <row r="3957" spans="4:4">
      <c r="D3957" s="16"/>
    </row>
    <row r="3958" spans="4:4">
      <c r="D3958" s="16"/>
    </row>
    <row r="3959" spans="4:4">
      <c r="D3959" s="16"/>
    </row>
    <row r="3960" spans="4:4">
      <c r="D3960" s="16"/>
    </row>
    <row r="3961" spans="4:4">
      <c r="D3961" s="16"/>
    </row>
    <row r="3962" spans="4:4">
      <c r="D3962" s="16"/>
    </row>
    <row r="3963" spans="4:4">
      <c r="D3963" s="16"/>
    </row>
    <row r="3964" spans="4:4">
      <c r="D3964" s="16"/>
    </row>
    <row r="3965" spans="4:4">
      <c r="D3965" s="16"/>
    </row>
    <row r="3966" spans="4:4">
      <c r="D3966" s="16"/>
    </row>
    <row r="3967" spans="4:4">
      <c r="D3967" s="16"/>
    </row>
    <row r="3968" spans="4:4">
      <c r="D3968" s="16"/>
    </row>
    <row r="3969" spans="4:4">
      <c r="D3969" s="16"/>
    </row>
    <row r="3970" spans="4:4">
      <c r="D3970" s="16"/>
    </row>
    <row r="3971" spans="4:4">
      <c r="D3971" s="16"/>
    </row>
    <row r="3972" spans="4:4">
      <c r="D3972" s="16"/>
    </row>
    <row r="3973" spans="4:4">
      <c r="D3973" s="16"/>
    </row>
    <row r="3974" spans="4:4">
      <c r="D3974" s="16"/>
    </row>
    <row r="3975" spans="4:4">
      <c r="D3975" s="16"/>
    </row>
    <row r="3976" spans="4:4">
      <c r="D3976" s="16"/>
    </row>
    <row r="3977" spans="4:4">
      <c r="D3977" s="16"/>
    </row>
    <row r="3978" spans="4:4">
      <c r="D3978" s="16"/>
    </row>
    <row r="3979" spans="4:4">
      <c r="D3979" s="16"/>
    </row>
    <row r="3980" spans="4:4">
      <c r="D3980" s="16"/>
    </row>
    <row r="3981" spans="4:4">
      <c r="D3981" s="16"/>
    </row>
    <row r="3982" spans="4:4">
      <c r="D3982" s="16"/>
    </row>
    <row r="3983" spans="4:4">
      <c r="D3983" s="16"/>
    </row>
    <row r="3984" spans="4:4">
      <c r="D3984" s="16"/>
    </row>
    <row r="3985" spans="4:4">
      <c r="D3985" s="16"/>
    </row>
    <row r="3986" spans="4:4">
      <c r="D3986" s="16"/>
    </row>
    <row r="3987" spans="4:4">
      <c r="D3987" s="16"/>
    </row>
    <row r="3988" spans="4:4">
      <c r="D3988" s="16"/>
    </row>
    <row r="3989" spans="4:4">
      <c r="D3989" s="16"/>
    </row>
    <row r="3990" spans="4:4">
      <c r="D3990" s="16"/>
    </row>
    <row r="3991" spans="4:4">
      <c r="D3991" s="16"/>
    </row>
    <row r="3992" spans="4:4">
      <c r="D3992" s="16"/>
    </row>
    <row r="3993" spans="4:4">
      <c r="D3993" s="16"/>
    </row>
    <row r="3994" spans="4:4">
      <c r="D3994" s="16"/>
    </row>
    <row r="3995" spans="4:4">
      <c r="D3995" s="16"/>
    </row>
    <row r="3996" spans="4:4">
      <c r="D3996" s="16"/>
    </row>
    <row r="3997" spans="4:4">
      <c r="D3997" s="16"/>
    </row>
    <row r="3998" spans="4:4">
      <c r="D3998" s="16"/>
    </row>
    <row r="3999" spans="4:4">
      <c r="D3999" s="16"/>
    </row>
    <row r="4000" spans="4:4">
      <c r="D4000" s="16"/>
    </row>
    <row r="4001" spans="4:4">
      <c r="D4001" s="16"/>
    </row>
    <row r="4002" spans="4:4">
      <c r="D4002" s="16"/>
    </row>
    <row r="4003" spans="4:4">
      <c r="D4003" s="16"/>
    </row>
    <row r="4004" spans="4:4">
      <c r="D4004" s="16"/>
    </row>
    <row r="4005" spans="4:4">
      <c r="D4005" s="16"/>
    </row>
    <row r="4006" spans="4:4">
      <c r="D4006" s="16"/>
    </row>
    <row r="4007" spans="4:4">
      <c r="D4007" s="16"/>
    </row>
    <row r="4008" spans="4:4">
      <c r="D4008" s="16"/>
    </row>
    <row r="4009" spans="4:4">
      <c r="D4009" s="16"/>
    </row>
    <row r="4010" spans="4:4">
      <c r="D4010" s="16"/>
    </row>
    <row r="4011" spans="4:4">
      <c r="D4011" s="16"/>
    </row>
    <row r="4012" spans="4:4">
      <c r="D4012" s="16"/>
    </row>
    <row r="4013" spans="4:4">
      <c r="D4013" s="16"/>
    </row>
    <row r="4014" spans="4:4">
      <c r="D4014" s="16"/>
    </row>
    <row r="4015" spans="4:4">
      <c r="D4015" s="16"/>
    </row>
    <row r="4016" spans="4:4">
      <c r="D4016" s="16"/>
    </row>
    <row r="4017" spans="4:4">
      <c r="D4017" s="16"/>
    </row>
    <row r="4018" spans="4:4">
      <c r="D4018" s="16"/>
    </row>
    <row r="4019" spans="4:4">
      <c r="D4019" s="16"/>
    </row>
    <row r="4020" spans="4:4">
      <c r="D4020" s="16"/>
    </row>
    <row r="4021" spans="4:4">
      <c r="D4021" s="16"/>
    </row>
    <row r="4022" spans="4:4">
      <c r="D4022" s="16"/>
    </row>
    <row r="4023" spans="4:4">
      <c r="D4023" s="16"/>
    </row>
    <row r="4024" spans="4:4">
      <c r="D4024" s="16"/>
    </row>
    <row r="4025" spans="4:4">
      <c r="D4025" s="16"/>
    </row>
    <row r="4026" spans="4:4">
      <c r="D4026" s="16"/>
    </row>
    <row r="4027" spans="4:4">
      <c r="D4027" s="16"/>
    </row>
    <row r="4028" spans="4:4">
      <c r="D4028" s="16"/>
    </row>
    <row r="4029" spans="4:4">
      <c r="D4029" s="16"/>
    </row>
    <row r="4030" spans="4:4">
      <c r="D4030" s="16"/>
    </row>
    <row r="4031" spans="4:4">
      <c r="D4031" s="16"/>
    </row>
    <row r="4032" spans="4:4">
      <c r="D4032" s="16"/>
    </row>
    <row r="4033" spans="4:4">
      <c r="D4033" s="16"/>
    </row>
    <row r="4034" spans="4:4">
      <c r="D4034" s="16"/>
    </row>
    <row r="4035" spans="4:4">
      <c r="D4035" s="16"/>
    </row>
    <row r="4036" spans="4:4">
      <c r="D4036" s="16"/>
    </row>
    <row r="4037" spans="4:4">
      <c r="D4037" s="16"/>
    </row>
    <row r="4038" spans="4:4">
      <c r="D4038" s="16"/>
    </row>
    <row r="4039" spans="4:4">
      <c r="D4039" s="16"/>
    </row>
    <row r="4040" spans="4:4">
      <c r="D4040" s="16"/>
    </row>
    <row r="4041" spans="4:4">
      <c r="D4041" s="16"/>
    </row>
    <row r="4042" spans="4:4">
      <c r="D4042" s="16"/>
    </row>
    <row r="4043" spans="4:4">
      <c r="D4043" s="16"/>
    </row>
    <row r="4044" spans="4:4">
      <c r="D4044" s="16"/>
    </row>
    <row r="4045" spans="4:4">
      <c r="D4045" s="16"/>
    </row>
    <row r="4046" spans="4:4">
      <c r="D4046" s="16"/>
    </row>
    <row r="4047" spans="4:4">
      <c r="D4047" s="16"/>
    </row>
    <row r="4048" spans="4:4">
      <c r="D4048" s="16"/>
    </row>
    <row r="4049" spans="4:4">
      <c r="D4049" s="16"/>
    </row>
    <row r="4050" spans="4:4">
      <c r="D4050" s="16"/>
    </row>
    <row r="4051" spans="4:4">
      <c r="D4051" s="16"/>
    </row>
    <row r="4052" spans="4:4">
      <c r="D4052" s="16"/>
    </row>
    <row r="4053" spans="4:4">
      <c r="D4053" s="16"/>
    </row>
    <row r="4054" spans="4:4">
      <c r="D4054" s="16"/>
    </row>
    <row r="4055" spans="4:4">
      <c r="D4055" s="16"/>
    </row>
    <row r="4056" spans="4:4">
      <c r="D4056" s="16"/>
    </row>
    <row r="4057" spans="4:4">
      <c r="D4057" s="16"/>
    </row>
    <row r="4058" spans="4:4">
      <c r="D4058" s="16"/>
    </row>
    <row r="4059" spans="4:4">
      <c r="D4059" s="16"/>
    </row>
    <row r="4060" spans="4:4">
      <c r="D4060" s="16"/>
    </row>
    <row r="4061" spans="4:4">
      <c r="D4061" s="16"/>
    </row>
    <row r="4062" spans="4:4">
      <c r="D4062" s="16"/>
    </row>
    <row r="4063" spans="4:4">
      <c r="D4063" s="16"/>
    </row>
    <row r="4064" spans="4:4">
      <c r="D4064" s="16"/>
    </row>
    <row r="4065" spans="4:4">
      <c r="D4065" s="16"/>
    </row>
    <row r="4066" spans="4:4">
      <c r="D4066" s="16"/>
    </row>
    <row r="4067" spans="4:4">
      <c r="D4067" s="16"/>
    </row>
    <row r="4068" spans="4:4">
      <c r="D4068" s="16"/>
    </row>
    <row r="4069" spans="4:4">
      <c r="D4069" s="16"/>
    </row>
    <row r="4070" spans="4:4">
      <c r="D4070" s="16"/>
    </row>
    <row r="4071" spans="4:4">
      <c r="D4071" s="16"/>
    </row>
    <row r="4072" spans="4:4">
      <c r="D4072" s="16"/>
    </row>
    <row r="4073" spans="4:4">
      <c r="D4073" s="16"/>
    </row>
    <row r="4074" spans="4:4">
      <c r="D4074" s="16"/>
    </row>
    <row r="4075" spans="4:4">
      <c r="D4075" s="16"/>
    </row>
    <row r="4076" spans="4:4">
      <c r="D4076" s="16"/>
    </row>
    <row r="4077" spans="4:4">
      <c r="D4077" s="16"/>
    </row>
    <row r="4078" spans="4:4">
      <c r="D4078" s="16"/>
    </row>
    <row r="4079" spans="4:4">
      <c r="D4079" s="16"/>
    </row>
    <row r="4080" spans="4:4">
      <c r="D4080" s="16"/>
    </row>
    <row r="4081" spans="4:4">
      <c r="D4081" s="16"/>
    </row>
    <row r="4082" spans="4:4">
      <c r="D4082" s="16"/>
    </row>
    <row r="4083" spans="4:4">
      <c r="D4083" s="16"/>
    </row>
    <row r="4084" spans="4:4">
      <c r="D4084" s="16"/>
    </row>
    <row r="4085" spans="4:4">
      <c r="D4085" s="16"/>
    </row>
    <row r="4086" spans="4:4">
      <c r="D4086" s="16"/>
    </row>
    <row r="4087" spans="4:4">
      <c r="D4087" s="16"/>
    </row>
    <row r="4088" spans="4:4">
      <c r="D4088" s="16"/>
    </row>
    <row r="4089" spans="4:4">
      <c r="D4089" s="16"/>
    </row>
    <row r="4090" spans="4:4">
      <c r="D4090" s="16"/>
    </row>
    <row r="4091" spans="4:4">
      <c r="D4091" s="16"/>
    </row>
    <row r="4092" spans="4:4">
      <c r="D4092" s="16"/>
    </row>
    <row r="4093" spans="4:4">
      <c r="D4093" s="16"/>
    </row>
    <row r="4094" spans="4:4">
      <c r="D4094" s="16"/>
    </row>
    <row r="4095" spans="4:4">
      <c r="D4095" s="16"/>
    </row>
    <row r="4096" spans="4:4">
      <c r="D4096" s="16"/>
    </row>
    <row r="4097" spans="4:4">
      <c r="D4097" s="16"/>
    </row>
    <row r="4098" spans="4:4">
      <c r="D4098" s="16"/>
    </row>
    <row r="4099" spans="4:4">
      <c r="D4099" s="16"/>
    </row>
    <row r="4100" spans="4:4">
      <c r="D4100" s="16"/>
    </row>
    <row r="4101" spans="4:4">
      <c r="D4101" s="16"/>
    </row>
    <row r="4102" spans="4:4">
      <c r="D4102" s="16"/>
    </row>
    <row r="4103" spans="4:4">
      <c r="D4103" s="16"/>
    </row>
    <row r="4104" spans="4:4">
      <c r="D4104" s="16"/>
    </row>
    <row r="4105" spans="4:4">
      <c r="D4105" s="16"/>
    </row>
    <row r="4106" spans="4:4">
      <c r="D4106" s="16"/>
    </row>
    <row r="4107" spans="4:4">
      <c r="D4107" s="16"/>
    </row>
    <row r="4108" spans="4:4">
      <c r="D4108" s="16"/>
    </row>
    <row r="4109" spans="4:4">
      <c r="D4109" s="16"/>
    </row>
    <row r="4110" spans="4:4">
      <c r="D4110" s="16"/>
    </row>
    <row r="4111" spans="4:4">
      <c r="D4111" s="16"/>
    </row>
    <row r="4112" spans="4:4">
      <c r="D4112" s="16"/>
    </row>
    <row r="4113" spans="4:4">
      <c r="D4113" s="16"/>
    </row>
    <row r="4114" spans="4:4">
      <c r="D4114" s="16"/>
    </row>
    <row r="4115" spans="4:4">
      <c r="D4115" s="16"/>
    </row>
    <row r="4116" spans="4:4">
      <c r="D4116" s="16"/>
    </row>
    <row r="4117" spans="4:4">
      <c r="D4117" s="16"/>
    </row>
    <row r="4118" spans="4:4">
      <c r="D4118" s="16"/>
    </row>
    <row r="4119" spans="4:4">
      <c r="D4119" s="16"/>
    </row>
    <row r="4120" spans="4:4">
      <c r="D4120" s="16"/>
    </row>
    <row r="4121" spans="4:4">
      <c r="D4121" s="16"/>
    </row>
    <row r="4122" spans="4:4">
      <c r="D4122" s="16"/>
    </row>
    <row r="4123" spans="4:4">
      <c r="D4123" s="16"/>
    </row>
    <row r="4124" spans="4:4">
      <c r="D4124" s="16"/>
    </row>
    <row r="4125" spans="4:4">
      <c r="D4125" s="16"/>
    </row>
    <row r="4126" spans="4:4">
      <c r="D4126" s="16"/>
    </row>
    <row r="4127" spans="4:4">
      <c r="D4127" s="16"/>
    </row>
    <row r="4128" spans="4:4">
      <c r="D4128" s="16"/>
    </row>
    <row r="4129" spans="4:4">
      <c r="D4129" s="16"/>
    </row>
    <row r="4130" spans="4:4">
      <c r="D4130" s="16"/>
    </row>
    <row r="4131" spans="4:4">
      <c r="D4131" s="16"/>
    </row>
    <row r="4132" spans="4:4">
      <c r="D4132" s="16"/>
    </row>
    <row r="4133" spans="4:4">
      <c r="D4133" s="16"/>
    </row>
    <row r="4134" spans="4:4">
      <c r="D4134" s="16"/>
    </row>
    <row r="4135" spans="4:4">
      <c r="D4135" s="16"/>
    </row>
    <row r="4136" spans="4:4">
      <c r="D4136" s="16"/>
    </row>
    <row r="4137" spans="4:4">
      <c r="D4137" s="16"/>
    </row>
    <row r="4138" spans="4:4">
      <c r="D4138" s="16"/>
    </row>
    <row r="4139" spans="4:4">
      <c r="D4139" s="16"/>
    </row>
    <row r="4140" spans="4:4">
      <c r="D4140" s="16"/>
    </row>
    <row r="4141" spans="4:4">
      <c r="D4141" s="16"/>
    </row>
    <row r="4142" spans="4:4">
      <c r="D4142" s="16"/>
    </row>
    <row r="4143" spans="4:4">
      <c r="D4143" s="16"/>
    </row>
    <row r="4144" spans="4:4">
      <c r="D4144" s="16"/>
    </row>
    <row r="4145" spans="4:4">
      <c r="D4145" s="16"/>
    </row>
    <row r="4146" spans="4:4">
      <c r="D4146" s="16"/>
    </row>
    <row r="4147" spans="4:4">
      <c r="D4147" s="16"/>
    </row>
    <row r="4148" spans="4:4">
      <c r="D4148" s="16"/>
    </row>
    <row r="4149" spans="4:4">
      <c r="D4149" s="16"/>
    </row>
    <row r="4150" spans="4:4">
      <c r="D4150" s="16"/>
    </row>
    <row r="4151" spans="4:4">
      <c r="D4151" s="16"/>
    </row>
    <row r="4152" spans="4:4">
      <c r="D4152" s="16"/>
    </row>
    <row r="4153" spans="4:4">
      <c r="D4153" s="16"/>
    </row>
    <row r="4154" spans="4:4">
      <c r="D4154" s="16"/>
    </row>
    <row r="4155" spans="4:4">
      <c r="D4155" s="16"/>
    </row>
    <row r="4156" spans="4:4">
      <c r="D4156" s="16"/>
    </row>
    <row r="4157" spans="4:4">
      <c r="D4157" s="16"/>
    </row>
    <row r="4158" spans="4:4">
      <c r="D4158" s="16"/>
    </row>
    <row r="4159" spans="4:4">
      <c r="D4159" s="16"/>
    </row>
    <row r="4160" spans="4:4">
      <c r="D4160" s="16"/>
    </row>
    <row r="4161" spans="4:4">
      <c r="D4161" s="16"/>
    </row>
    <row r="4162" spans="4:4">
      <c r="D4162" s="16"/>
    </row>
    <row r="4163" spans="4:4">
      <c r="D4163" s="16"/>
    </row>
    <row r="4164" spans="4:4">
      <c r="D4164" s="16"/>
    </row>
    <row r="4165" spans="4:4">
      <c r="D4165" s="16"/>
    </row>
    <row r="4166" spans="4:4">
      <c r="D4166" s="16"/>
    </row>
    <row r="4167" spans="4:4">
      <c r="D4167" s="16"/>
    </row>
    <row r="4168" spans="4:4">
      <c r="D4168" s="16"/>
    </row>
    <row r="4169" spans="4:4">
      <c r="D4169" s="16"/>
    </row>
    <row r="4170" spans="4:4">
      <c r="D4170" s="16"/>
    </row>
    <row r="4171" spans="4:4">
      <c r="D4171" s="16"/>
    </row>
    <row r="4172" spans="4:4">
      <c r="D4172" s="16"/>
    </row>
    <row r="4173" spans="4:4">
      <c r="D4173" s="16"/>
    </row>
    <row r="4174" spans="4:4">
      <c r="D4174" s="16"/>
    </row>
    <row r="4175" spans="4:4">
      <c r="D4175" s="16"/>
    </row>
    <row r="4176" spans="4:4">
      <c r="D4176" s="16"/>
    </row>
    <row r="4177" spans="4:4">
      <c r="D4177" s="16"/>
    </row>
    <row r="4178" spans="4:4">
      <c r="D4178" s="16"/>
    </row>
    <row r="4179" spans="4:4">
      <c r="D4179" s="16"/>
    </row>
    <row r="4180" spans="4:4">
      <c r="D4180" s="16"/>
    </row>
    <row r="4181" spans="4:4">
      <c r="D4181" s="16"/>
    </row>
    <row r="4182" spans="4:4">
      <c r="D4182" s="16"/>
    </row>
    <row r="4183" spans="4:4">
      <c r="D4183" s="16"/>
    </row>
    <row r="4184" spans="4:4">
      <c r="D4184" s="16"/>
    </row>
    <row r="4185" spans="4:4">
      <c r="D4185" s="16"/>
    </row>
    <row r="4186" spans="4:4">
      <c r="D4186" s="16"/>
    </row>
    <row r="4187" spans="4:4">
      <c r="D4187" s="16"/>
    </row>
    <row r="4188" spans="4:4">
      <c r="D4188" s="16"/>
    </row>
    <row r="4189" spans="4:4">
      <c r="D4189" s="16"/>
    </row>
    <row r="4190" spans="4:4">
      <c r="D4190" s="16"/>
    </row>
    <row r="4191" spans="4:4">
      <c r="D4191" s="16"/>
    </row>
    <row r="4192" spans="4:4">
      <c r="D4192" s="16"/>
    </row>
    <row r="4193" spans="4:4">
      <c r="D4193" s="16"/>
    </row>
    <row r="4194" spans="4:4">
      <c r="D4194" s="16"/>
    </row>
    <row r="4195" spans="4:4">
      <c r="D4195" s="16"/>
    </row>
    <row r="4196" spans="4:4">
      <c r="D4196" s="16"/>
    </row>
    <row r="4197" spans="4:4">
      <c r="D4197" s="16"/>
    </row>
    <row r="4198" spans="4:4">
      <c r="D4198" s="16"/>
    </row>
    <row r="4199" spans="4:4">
      <c r="D4199" s="16"/>
    </row>
    <row r="4200" spans="4:4">
      <c r="D4200" s="16"/>
    </row>
    <row r="4201" spans="4:4">
      <c r="D4201" s="16"/>
    </row>
    <row r="4202" spans="4:4">
      <c r="D4202" s="16"/>
    </row>
    <row r="4203" spans="4:4">
      <c r="D4203" s="16"/>
    </row>
    <row r="4204" spans="4:4">
      <c r="D4204" s="16"/>
    </row>
    <row r="4205" spans="4:4">
      <c r="D4205" s="16"/>
    </row>
    <row r="4206" spans="4:4">
      <c r="D4206" s="16"/>
    </row>
    <row r="4207" spans="4:4">
      <c r="D4207" s="16"/>
    </row>
    <row r="4208" spans="4:4">
      <c r="D4208" s="16"/>
    </row>
    <row r="4209" spans="4:4">
      <c r="D4209" s="16"/>
    </row>
    <row r="4210" spans="4:4">
      <c r="D4210" s="16"/>
    </row>
    <row r="4211" spans="4:4">
      <c r="D4211" s="16"/>
    </row>
    <row r="4212" spans="4:4">
      <c r="D4212" s="16"/>
    </row>
    <row r="4213" spans="4:4">
      <c r="D4213" s="16"/>
    </row>
    <row r="4214" spans="4:4">
      <c r="D4214" s="16"/>
    </row>
    <row r="4215" spans="4:4">
      <c r="D4215" s="16"/>
    </row>
    <row r="4216" spans="4:4">
      <c r="D4216" s="16"/>
    </row>
    <row r="4217" spans="4:4">
      <c r="D4217" s="16"/>
    </row>
    <row r="4218" spans="4:4">
      <c r="D4218" s="16"/>
    </row>
    <row r="4219" spans="4:4">
      <c r="D4219" s="16"/>
    </row>
    <row r="4220" spans="4:4">
      <c r="D4220" s="16"/>
    </row>
    <row r="4221" spans="4:4">
      <c r="D4221" s="16"/>
    </row>
    <row r="4222" spans="4:4">
      <c r="D4222" s="16"/>
    </row>
    <row r="4223" spans="4:4">
      <c r="D4223" s="16"/>
    </row>
    <row r="4224" spans="4:4">
      <c r="D4224" s="16"/>
    </row>
    <row r="4225" spans="4:4">
      <c r="D4225" s="16"/>
    </row>
    <row r="4226" spans="4:4">
      <c r="D4226" s="16"/>
    </row>
    <row r="4227" spans="4:4">
      <c r="D4227" s="16"/>
    </row>
    <row r="4228" spans="4:4">
      <c r="D4228" s="16"/>
    </row>
    <row r="4229" spans="4:4">
      <c r="D4229" s="16"/>
    </row>
    <row r="4230" spans="4:4">
      <c r="D4230" s="16"/>
    </row>
    <row r="4231" spans="4:4">
      <c r="D4231" s="16"/>
    </row>
    <row r="4232" spans="4:4">
      <c r="D4232" s="16"/>
    </row>
    <row r="4233" spans="4:4">
      <c r="D4233" s="16"/>
    </row>
    <row r="4234" spans="4:4">
      <c r="D4234" s="16"/>
    </row>
    <row r="4235" spans="4:4">
      <c r="D4235" s="16"/>
    </row>
    <row r="4236" spans="4:4">
      <c r="D4236" s="16"/>
    </row>
    <row r="4237" spans="4:4">
      <c r="D4237" s="16"/>
    </row>
    <row r="4238" spans="4:4">
      <c r="D4238" s="16"/>
    </row>
    <row r="4239" spans="4:4">
      <c r="D4239" s="16"/>
    </row>
    <row r="4240" spans="4:4">
      <c r="D4240" s="16"/>
    </row>
    <row r="4241" spans="4:4">
      <c r="D4241" s="16"/>
    </row>
    <row r="4242" spans="4:4">
      <c r="D4242" s="16"/>
    </row>
    <row r="4243" spans="4:4">
      <c r="D4243" s="16"/>
    </row>
    <row r="4244" spans="4:4">
      <c r="D4244" s="16"/>
    </row>
    <row r="4245" spans="4:4">
      <c r="D4245" s="16"/>
    </row>
    <row r="4246" spans="4:4">
      <c r="D4246" s="16"/>
    </row>
    <row r="4247" spans="4:4">
      <c r="D4247" s="16"/>
    </row>
    <row r="4248" spans="4:4">
      <c r="D4248" s="16"/>
    </row>
    <row r="4249" spans="4:4">
      <c r="D4249" s="16"/>
    </row>
    <row r="4250" spans="4:4">
      <c r="D4250" s="16"/>
    </row>
    <row r="4251" spans="4:4">
      <c r="D4251" s="16"/>
    </row>
    <row r="4252" spans="4:4">
      <c r="D4252" s="16"/>
    </row>
    <row r="4253" spans="4:4">
      <c r="D4253" s="16"/>
    </row>
    <row r="4254" spans="4:4">
      <c r="D4254" s="16"/>
    </row>
    <row r="4255" spans="4:4">
      <c r="D4255" s="16"/>
    </row>
    <row r="4256" spans="4:4">
      <c r="D4256" s="16"/>
    </row>
    <row r="4257" spans="4:4">
      <c r="D4257" s="16"/>
    </row>
    <row r="4258" spans="4:4">
      <c r="D4258" s="16"/>
    </row>
    <row r="4259" spans="4:4">
      <c r="D4259" s="16"/>
    </row>
    <row r="4260" spans="4:4">
      <c r="D4260" s="16"/>
    </row>
    <row r="4261" spans="4:4">
      <c r="D4261" s="16"/>
    </row>
    <row r="4262" spans="4:4">
      <c r="D4262" s="16"/>
    </row>
    <row r="4263" spans="4:4">
      <c r="D4263" s="16"/>
    </row>
    <row r="4264" spans="4:4">
      <c r="D4264" s="16"/>
    </row>
    <row r="4265" spans="4:4">
      <c r="D4265" s="16"/>
    </row>
    <row r="4266" spans="4:4">
      <c r="D4266" s="16"/>
    </row>
    <row r="4267" spans="4:4">
      <c r="D4267" s="16"/>
    </row>
    <row r="4268" spans="4:4">
      <c r="D4268" s="16"/>
    </row>
    <row r="4269" spans="4:4">
      <c r="D4269" s="16"/>
    </row>
    <row r="4270" spans="4:4">
      <c r="D4270" s="16"/>
    </row>
    <row r="4271" spans="4:4">
      <c r="D4271" s="16"/>
    </row>
    <row r="4272" spans="4:4">
      <c r="D4272" s="16"/>
    </row>
    <row r="4273" spans="4:4">
      <c r="D4273" s="16"/>
    </row>
    <row r="4274" spans="4:4">
      <c r="D4274" s="16"/>
    </row>
    <row r="4275" spans="4:4">
      <c r="D4275" s="16"/>
    </row>
    <row r="4276" spans="4:4">
      <c r="D4276" s="16"/>
    </row>
    <row r="4277" spans="4:4">
      <c r="D4277" s="16"/>
    </row>
    <row r="4278" spans="4:4">
      <c r="D4278" s="16"/>
    </row>
    <row r="4279" spans="4:4">
      <c r="D4279" s="16"/>
    </row>
    <row r="4280" spans="4:4">
      <c r="D4280" s="16"/>
    </row>
    <row r="4281" spans="4:4">
      <c r="D4281" s="16"/>
    </row>
    <row r="4282" spans="4:4">
      <c r="D4282" s="16"/>
    </row>
    <row r="4283" spans="4:4">
      <c r="D4283" s="16"/>
    </row>
    <row r="4284" spans="4:4">
      <c r="D4284" s="16"/>
    </row>
    <row r="4285" spans="4:4">
      <c r="D4285" s="16"/>
    </row>
    <row r="4286" spans="4:4">
      <c r="D4286" s="16"/>
    </row>
    <row r="4287" spans="4:4">
      <c r="D4287" s="16"/>
    </row>
    <row r="4288" spans="4:4">
      <c r="D4288" s="16"/>
    </row>
    <row r="4289" spans="4:4">
      <c r="D4289" s="16"/>
    </row>
    <row r="4290" spans="4:4">
      <c r="D4290" s="16"/>
    </row>
    <row r="4291" spans="4:4">
      <c r="D4291" s="16"/>
    </row>
    <row r="4292" spans="4:4">
      <c r="D4292" s="16"/>
    </row>
    <row r="4293" spans="4:4">
      <c r="D4293" s="16"/>
    </row>
    <row r="4294" spans="4:4">
      <c r="D4294" s="16"/>
    </row>
    <row r="4295" spans="4:4">
      <c r="D4295" s="16"/>
    </row>
    <row r="4296" spans="4:4">
      <c r="D4296" s="16"/>
    </row>
    <row r="4297" spans="4:4">
      <c r="D4297" s="16"/>
    </row>
    <row r="4298" spans="4:4">
      <c r="D4298" s="16"/>
    </row>
    <row r="4299" spans="4:4">
      <c r="D4299" s="16"/>
    </row>
    <row r="4300" spans="4:4">
      <c r="D4300" s="16"/>
    </row>
    <row r="4301" spans="4:4">
      <c r="D4301" s="16"/>
    </row>
    <row r="4302" spans="4:4">
      <c r="D4302" s="16"/>
    </row>
    <row r="4303" spans="4:4">
      <c r="D4303" s="16"/>
    </row>
    <row r="4304" spans="4:4">
      <c r="D4304" s="16"/>
    </row>
    <row r="4305" spans="4:4">
      <c r="D4305" s="16"/>
    </row>
    <row r="4306" spans="4:4">
      <c r="D4306" s="16"/>
    </row>
    <row r="4307" spans="4:4">
      <c r="D4307" s="16"/>
    </row>
    <row r="4308" spans="4:4">
      <c r="D4308" s="16"/>
    </row>
    <row r="4309" spans="4:4">
      <c r="D4309" s="16"/>
    </row>
    <row r="4310" spans="4:4">
      <c r="D4310" s="16"/>
    </row>
    <row r="4311" spans="4:4">
      <c r="D4311" s="16"/>
    </row>
    <row r="4312" spans="4:4">
      <c r="D4312" s="16"/>
    </row>
    <row r="4313" spans="4:4">
      <c r="D4313" s="16"/>
    </row>
    <row r="4314" spans="4:4">
      <c r="D4314" s="16"/>
    </row>
    <row r="4315" spans="4:4">
      <c r="D4315" s="16"/>
    </row>
    <row r="4316" spans="4:4">
      <c r="D4316" s="16"/>
    </row>
    <row r="4317" spans="4:4">
      <c r="D4317" s="16"/>
    </row>
    <row r="4318" spans="4:4">
      <c r="D4318" s="16"/>
    </row>
    <row r="4319" spans="4:4">
      <c r="D4319" s="16"/>
    </row>
    <row r="4320" spans="4:4">
      <c r="D4320" s="16"/>
    </row>
    <row r="4321" spans="4:4">
      <c r="D4321" s="16"/>
    </row>
    <row r="4322" spans="4:4">
      <c r="D4322" s="16"/>
    </row>
    <row r="4323" spans="4:4">
      <c r="D4323" s="16"/>
    </row>
    <row r="4324" spans="4:4">
      <c r="D4324" s="16"/>
    </row>
    <row r="4325" spans="4:4">
      <c r="D4325" s="16"/>
    </row>
    <row r="4326" spans="4:4">
      <c r="D4326" s="16"/>
    </row>
    <row r="4327" spans="4:4">
      <c r="D4327" s="16"/>
    </row>
    <row r="4328" spans="4:4">
      <c r="D4328" s="16"/>
    </row>
    <row r="4329" spans="4:4">
      <c r="D4329" s="16"/>
    </row>
    <row r="4330" spans="4:4">
      <c r="D4330" s="16"/>
    </row>
    <row r="4331" spans="4:4">
      <c r="D4331" s="16"/>
    </row>
    <row r="4332" spans="4:4">
      <c r="D4332" s="16"/>
    </row>
    <row r="4333" spans="4:4">
      <c r="D4333" s="16"/>
    </row>
    <row r="4334" spans="4:4">
      <c r="D4334" s="16"/>
    </row>
    <row r="4335" spans="4:4">
      <c r="D4335" s="16"/>
    </row>
    <row r="4336" spans="4:4">
      <c r="D4336" s="16"/>
    </row>
    <row r="4337" spans="4:4">
      <c r="D4337" s="16"/>
    </row>
    <row r="4338" spans="4:4">
      <c r="D4338" s="16"/>
    </row>
    <row r="4339" spans="4:4">
      <c r="D4339" s="16"/>
    </row>
    <row r="4340" spans="4:4">
      <c r="D4340" s="16"/>
    </row>
    <row r="4341" spans="4:4">
      <c r="D4341" s="16"/>
    </row>
    <row r="4342" spans="4:4">
      <c r="D4342" s="16"/>
    </row>
    <row r="4343" spans="4:4">
      <c r="D4343" s="16"/>
    </row>
    <row r="4344" spans="4:4">
      <c r="D4344" s="16"/>
    </row>
    <row r="4345" spans="4:4">
      <c r="D4345" s="16"/>
    </row>
    <row r="4346" spans="4:4">
      <c r="D4346" s="16"/>
    </row>
    <row r="4347" spans="4:4">
      <c r="D4347" s="16"/>
    </row>
    <row r="4348" spans="4:4">
      <c r="D4348" s="16"/>
    </row>
    <row r="4349" spans="4:4">
      <c r="D4349" s="16"/>
    </row>
    <row r="4350" spans="4:4">
      <c r="D4350" s="16"/>
    </row>
    <row r="4351" spans="4:4">
      <c r="D4351" s="16"/>
    </row>
    <row r="4352" spans="4:4">
      <c r="D4352" s="16"/>
    </row>
    <row r="4353" spans="4:4">
      <c r="D4353" s="16"/>
    </row>
    <row r="4354" spans="4:4">
      <c r="D4354" s="16"/>
    </row>
    <row r="4355" spans="4:4">
      <c r="D4355" s="16"/>
    </row>
    <row r="4356" spans="4:4">
      <c r="D4356" s="16"/>
    </row>
    <row r="4357" spans="4:4">
      <c r="D4357" s="16"/>
    </row>
    <row r="4358" spans="4:4">
      <c r="D4358" s="16"/>
    </row>
    <row r="4359" spans="4:4">
      <c r="D4359" s="16"/>
    </row>
    <row r="4360" spans="4:4">
      <c r="D4360" s="16"/>
    </row>
    <row r="4361" spans="4:4">
      <c r="D4361" s="16"/>
    </row>
    <row r="4362" spans="4:4">
      <c r="D4362" s="16"/>
    </row>
    <row r="4363" spans="4:4">
      <c r="D4363" s="16"/>
    </row>
    <row r="4364" spans="4:4">
      <c r="D4364" s="16"/>
    </row>
    <row r="4365" spans="4:4">
      <c r="D4365" s="16"/>
    </row>
    <row r="4366" spans="4:4">
      <c r="D4366" s="16"/>
    </row>
    <row r="4367" spans="4:4">
      <c r="D4367" s="16"/>
    </row>
    <row r="4368" spans="4:4">
      <c r="D4368" s="16"/>
    </row>
    <row r="4369" spans="4:4">
      <c r="D4369" s="16"/>
    </row>
    <row r="4370" spans="4:4">
      <c r="D4370" s="16"/>
    </row>
    <row r="4371" spans="4:4">
      <c r="D4371" s="16"/>
    </row>
    <row r="4372" spans="4:4">
      <c r="D4372" s="16"/>
    </row>
    <row r="4373" spans="4:4">
      <c r="D4373" s="16"/>
    </row>
    <row r="4374" spans="4:4">
      <c r="D4374" s="16"/>
    </row>
    <row r="4375" spans="4:4">
      <c r="D4375" s="16"/>
    </row>
    <row r="4376" spans="4:4">
      <c r="D4376" s="16"/>
    </row>
    <row r="4377" spans="4:4">
      <c r="D4377" s="16"/>
    </row>
    <row r="4378" spans="4:4">
      <c r="D4378" s="16"/>
    </row>
    <row r="4379" spans="4:4">
      <c r="D4379" s="16"/>
    </row>
    <row r="4380" spans="4:4">
      <c r="D4380" s="16"/>
    </row>
    <row r="4381" spans="4:4">
      <c r="D4381" s="16"/>
    </row>
    <row r="4382" spans="4:4">
      <c r="D4382" s="16"/>
    </row>
    <row r="4383" spans="4:4">
      <c r="D4383" s="16"/>
    </row>
    <row r="4384" spans="4:4">
      <c r="D4384" s="16"/>
    </row>
    <row r="4385" spans="4:4">
      <c r="D4385" s="16"/>
    </row>
    <row r="4386" spans="4:4">
      <c r="D4386" s="16"/>
    </row>
    <row r="4387" spans="4:4">
      <c r="D4387" s="16"/>
    </row>
    <row r="4388" spans="4:4">
      <c r="D4388" s="16"/>
    </row>
    <row r="4389" spans="4:4">
      <c r="D4389" s="16"/>
    </row>
    <row r="4390" spans="4:4">
      <c r="D4390" s="16"/>
    </row>
    <row r="4391" spans="4:4">
      <c r="D4391" s="16"/>
    </row>
    <row r="4392" spans="4:4">
      <c r="D4392" s="16"/>
    </row>
    <row r="4393" spans="4:4">
      <c r="D4393" s="16"/>
    </row>
    <row r="4394" spans="4:4">
      <c r="D4394" s="16"/>
    </row>
    <row r="4395" spans="4:4">
      <c r="D4395" s="16"/>
    </row>
    <row r="4396" spans="4:4">
      <c r="D4396" s="16"/>
    </row>
    <row r="4397" spans="4:4">
      <c r="D4397" s="16"/>
    </row>
    <row r="4398" spans="4:4">
      <c r="D4398" s="16"/>
    </row>
    <row r="4399" spans="4:4">
      <c r="D4399" s="16"/>
    </row>
    <row r="4400" spans="4:4">
      <c r="D4400" s="16"/>
    </row>
    <row r="4401" spans="4:4">
      <c r="D4401" s="16"/>
    </row>
    <row r="4402" spans="4:4">
      <c r="D4402" s="16"/>
    </row>
    <row r="4403" spans="4:4">
      <c r="D4403" s="16"/>
    </row>
    <row r="4404" spans="4:4">
      <c r="D4404" s="16"/>
    </row>
    <row r="4405" spans="4:4">
      <c r="D4405" s="16"/>
    </row>
    <row r="4406" spans="4:4">
      <c r="D4406" s="16"/>
    </row>
    <row r="4407" spans="4:4">
      <c r="D4407" s="16"/>
    </row>
    <row r="4408" spans="4:4">
      <c r="D4408" s="16"/>
    </row>
    <row r="4409" spans="4:4">
      <c r="D4409" s="16"/>
    </row>
    <row r="4410" spans="4:4">
      <c r="D4410" s="16"/>
    </row>
    <row r="4411" spans="4:4">
      <c r="D4411" s="16"/>
    </row>
    <row r="4412" spans="4:4">
      <c r="D4412" s="16"/>
    </row>
    <row r="4413" spans="4:4">
      <c r="D4413" s="16"/>
    </row>
    <row r="4414" spans="4:4">
      <c r="D4414" s="16"/>
    </row>
    <row r="4415" spans="4:4">
      <c r="D4415" s="16"/>
    </row>
    <row r="4416" spans="4:4">
      <c r="D4416" s="16"/>
    </row>
    <row r="4417" spans="4:4">
      <c r="D4417" s="16"/>
    </row>
    <row r="4418" spans="4:4">
      <c r="D4418" s="16"/>
    </row>
    <row r="4419" spans="4:4">
      <c r="D4419" s="16"/>
    </row>
    <row r="4420" spans="4:4">
      <c r="D4420" s="16"/>
    </row>
    <row r="4421" spans="4:4">
      <c r="D4421" s="16"/>
    </row>
    <row r="4422" spans="4:4">
      <c r="D4422" s="16"/>
    </row>
    <row r="4423" spans="4:4">
      <c r="D4423" s="16"/>
    </row>
    <row r="4424" spans="4:4">
      <c r="D4424" s="16"/>
    </row>
    <row r="4425" spans="4:4">
      <c r="D4425" s="16"/>
    </row>
    <row r="4426" spans="4:4">
      <c r="D4426" s="16"/>
    </row>
    <row r="4427" spans="4:4">
      <c r="D4427" s="16"/>
    </row>
    <row r="4428" spans="4:4">
      <c r="D4428" s="16"/>
    </row>
    <row r="4429" spans="4:4">
      <c r="D4429" s="16"/>
    </row>
    <row r="4430" spans="4:4">
      <c r="D4430" s="16"/>
    </row>
    <row r="4431" spans="4:4">
      <c r="D4431" s="16"/>
    </row>
    <row r="4432" spans="4:4">
      <c r="D4432" s="16"/>
    </row>
    <row r="4433" spans="4:4">
      <c r="D4433" s="16"/>
    </row>
    <row r="4434" spans="4:4">
      <c r="D4434" s="16"/>
    </row>
    <row r="4435" spans="4:4">
      <c r="D4435" s="16"/>
    </row>
    <row r="4436" spans="4:4">
      <c r="D4436" s="16"/>
    </row>
    <row r="4437" spans="4:4">
      <c r="D4437" s="16"/>
    </row>
    <row r="4438" spans="4:4">
      <c r="D4438" s="16"/>
    </row>
    <row r="4439" spans="4:4">
      <c r="D4439" s="16"/>
    </row>
    <row r="4440" spans="4:4">
      <c r="D4440" s="16"/>
    </row>
    <row r="4441" spans="4:4">
      <c r="D4441" s="16"/>
    </row>
    <row r="4442" spans="4:4">
      <c r="D4442" s="16"/>
    </row>
    <row r="4443" spans="4:4">
      <c r="D4443" s="16"/>
    </row>
    <row r="4444" spans="4:4">
      <c r="D4444" s="16"/>
    </row>
    <row r="4445" spans="4:4">
      <c r="D4445" s="16"/>
    </row>
    <row r="4446" spans="4:4">
      <c r="D4446" s="16"/>
    </row>
    <row r="4447" spans="4:4">
      <c r="D4447" s="16"/>
    </row>
    <row r="4448" spans="4:4">
      <c r="D4448" s="16"/>
    </row>
    <row r="4449" spans="4:4">
      <c r="D4449" s="16"/>
    </row>
    <row r="4450" spans="4:4">
      <c r="D4450" s="16"/>
    </row>
    <row r="4451" spans="4:4">
      <c r="D4451" s="16"/>
    </row>
    <row r="4452" spans="4:4">
      <c r="D4452" s="16"/>
    </row>
    <row r="4453" spans="4:4">
      <c r="D4453" s="16"/>
    </row>
    <row r="4454" spans="4:4">
      <c r="D4454" s="16"/>
    </row>
    <row r="4455" spans="4:4">
      <c r="D4455" s="16"/>
    </row>
    <row r="4456" spans="4:4">
      <c r="D4456" s="16"/>
    </row>
    <row r="4457" spans="4:4">
      <c r="D4457" s="16"/>
    </row>
    <row r="4458" spans="4:4">
      <c r="D4458" s="16"/>
    </row>
    <row r="4459" spans="4:4">
      <c r="D4459" s="16"/>
    </row>
    <row r="4460" spans="4:4">
      <c r="D4460" s="16"/>
    </row>
    <row r="4461" spans="4:4">
      <c r="D4461" s="16"/>
    </row>
    <row r="4462" spans="4:4">
      <c r="D4462" s="16"/>
    </row>
    <row r="4463" spans="4:4">
      <c r="D4463" s="16"/>
    </row>
    <row r="4464" spans="4:4">
      <c r="D4464" s="16"/>
    </row>
    <row r="4465" spans="4:4">
      <c r="D4465" s="16"/>
    </row>
    <row r="4466" spans="4:4">
      <c r="D4466" s="16"/>
    </row>
    <row r="4467" spans="4:4">
      <c r="D4467" s="16"/>
    </row>
    <row r="4468" spans="4:4">
      <c r="D4468" s="16"/>
    </row>
    <row r="4469" spans="4:4">
      <c r="D4469" s="16"/>
    </row>
    <row r="4470" spans="4:4">
      <c r="D4470" s="16"/>
    </row>
    <row r="4471" spans="4:4">
      <c r="D4471" s="16"/>
    </row>
    <row r="4472" spans="4:4">
      <c r="D4472" s="16"/>
    </row>
    <row r="4473" spans="4:4">
      <c r="D4473" s="16"/>
    </row>
    <row r="4474" spans="4:4">
      <c r="D4474" s="16"/>
    </row>
    <row r="4475" spans="4:4">
      <c r="D4475" s="16"/>
    </row>
    <row r="4476" spans="4:4">
      <c r="D4476" s="16"/>
    </row>
    <row r="4477" spans="4:4">
      <c r="D4477" s="16"/>
    </row>
    <row r="4478" spans="4:4">
      <c r="D4478" s="16"/>
    </row>
    <row r="4479" spans="4:4">
      <c r="D4479" s="16"/>
    </row>
    <row r="4480" spans="4:4">
      <c r="D4480" s="16"/>
    </row>
    <row r="4481" spans="4:4">
      <c r="D4481" s="16"/>
    </row>
    <row r="4482" spans="4:4">
      <c r="D4482" s="16"/>
    </row>
    <row r="4483" spans="4:4">
      <c r="D4483" s="16"/>
    </row>
    <row r="4484" spans="4:4">
      <c r="D4484" s="16"/>
    </row>
    <row r="4485" spans="4:4">
      <c r="D4485" s="16"/>
    </row>
    <row r="4486" spans="4:4">
      <c r="D4486" s="16"/>
    </row>
    <row r="4487" spans="4:4">
      <c r="D4487" s="16"/>
    </row>
    <row r="4488" spans="4:4">
      <c r="D4488" s="16"/>
    </row>
    <row r="4489" spans="4:4">
      <c r="D4489" s="16"/>
    </row>
    <row r="4490" spans="4:4">
      <c r="D4490" s="16"/>
    </row>
    <row r="4491" spans="4:4">
      <c r="D4491" s="16"/>
    </row>
    <row r="4492" spans="4:4">
      <c r="D4492" s="16"/>
    </row>
    <row r="4493" spans="4:4">
      <c r="D4493" s="16"/>
    </row>
    <row r="4494" spans="4:4">
      <c r="D4494" s="16"/>
    </row>
    <row r="4495" spans="4:4">
      <c r="D4495" s="16"/>
    </row>
    <row r="4496" spans="4:4">
      <c r="D4496" s="16"/>
    </row>
    <row r="4497" spans="4:4">
      <c r="D4497" s="16"/>
    </row>
    <row r="4498" spans="4:4">
      <c r="D4498" s="16"/>
    </row>
    <row r="4499" spans="4:4">
      <c r="D4499" s="16"/>
    </row>
    <row r="4500" spans="4:4">
      <c r="D4500" s="16"/>
    </row>
    <row r="4501" spans="4:4">
      <c r="D4501" s="16"/>
    </row>
    <row r="4502" spans="4:4">
      <c r="D4502" s="16"/>
    </row>
    <row r="4503" spans="4:4">
      <c r="D4503" s="16"/>
    </row>
    <row r="4504" spans="4:4">
      <c r="D4504" s="16"/>
    </row>
    <row r="4505" spans="4:4">
      <c r="D4505" s="16"/>
    </row>
    <row r="4506" spans="4:4">
      <c r="D4506" s="16"/>
    </row>
    <row r="4507" spans="4:4">
      <c r="D4507" s="16"/>
    </row>
    <row r="4508" spans="4:4">
      <c r="D4508" s="16"/>
    </row>
    <row r="4509" spans="4:4">
      <c r="D4509" s="16"/>
    </row>
    <row r="4510" spans="4:4">
      <c r="D4510" s="16"/>
    </row>
    <row r="4511" spans="4:4">
      <c r="D4511" s="16"/>
    </row>
    <row r="4512" spans="4:4">
      <c r="D4512" s="16"/>
    </row>
    <row r="4513" spans="4:4">
      <c r="D4513" s="16"/>
    </row>
    <row r="4514" spans="4:4">
      <c r="D4514" s="16"/>
    </row>
    <row r="4515" spans="4:4">
      <c r="D4515" s="16"/>
    </row>
    <row r="4516" spans="4:4">
      <c r="D4516" s="16"/>
    </row>
    <row r="4517" spans="4:4">
      <c r="D4517" s="16"/>
    </row>
    <row r="4518" spans="4:4">
      <c r="D4518" s="16"/>
    </row>
    <row r="4519" spans="4:4">
      <c r="D4519" s="16"/>
    </row>
    <row r="4520" spans="4:4">
      <c r="D4520" s="16"/>
    </row>
    <row r="4521" spans="4:4">
      <c r="D4521" s="16"/>
    </row>
    <row r="4522" spans="4:4">
      <c r="D4522" s="16"/>
    </row>
    <row r="4523" spans="4:4">
      <c r="D4523" s="16"/>
    </row>
    <row r="4524" spans="4:4">
      <c r="D4524" s="16"/>
    </row>
    <row r="4525" spans="4:4">
      <c r="D4525" s="16"/>
    </row>
    <row r="4526" spans="4:4">
      <c r="D4526" s="16"/>
    </row>
    <row r="4527" spans="4:4">
      <c r="D4527" s="16"/>
    </row>
    <row r="4528" spans="4:4">
      <c r="D4528" s="16"/>
    </row>
    <row r="4529" spans="4:4">
      <c r="D4529" s="16"/>
    </row>
    <row r="4530" spans="4:4">
      <c r="D4530" s="16"/>
    </row>
    <row r="4531" spans="4:4">
      <c r="D4531" s="16"/>
    </row>
    <row r="4532" spans="4:4">
      <c r="D4532" s="16"/>
    </row>
    <row r="4533" spans="4:4">
      <c r="D4533" s="16"/>
    </row>
    <row r="4534" spans="4:4">
      <c r="D4534" s="16"/>
    </row>
    <row r="4535" spans="4:4">
      <c r="D4535" s="16"/>
    </row>
    <row r="4536" spans="4:4">
      <c r="D4536" s="16"/>
    </row>
    <row r="4537" spans="4:4">
      <c r="D4537" s="16"/>
    </row>
    <row r="4538" spans="4:4">
      <c r="D4538" s="16"/>
    </row>
    <row r="4539" spans="4:4">
      <c r="D4539" s="16"/>
    </row>
    <row r="4540" spans="4:4">
      <c r="D4540" s="16"/>
    </row>
    <row r="4541" spans="4:4">
      <c r="D4541" s="16"/>
    </row>
    <row r="4542" spans="4:4">
      <c r="D4542" s="16"/>
    </row>
    <row r="4543" spans="4:4">
      <c r="D4543" s="16"/>
    </row>
    <row r="4544" spans="4:4">
      <c r="D4544" s="16"/>
    </row>
    <row r="4545" spans="4:4">
      <c r="D4545" s="16"/>
    </row>
    <row r="4546" spans="4:4">
      <c r="D4546" s="16"/>
    </row>
    <row r="4547" spans="4:4">
      <c r="D4547" s="16"/>
    </row>
    <row r="4548" spans="4:4">
      <c r="D4548" s="16"/>
    </row>
    <row r="4549" spans="4:4">
      <c r="D4549" s="16"/>
    </row>
    <row r="4550" spans="4:4">
      <c r="D4550" s="16"/>
    </row>
    <row r="4551" spans="4:4">
      <c r="D4551" s="16"/>
    </row>
    <row r="4552" spans="4:4">
      <c r="D4552" s="16"/>
    </row>
    <row r="4553" spans="4:4">
      <c r="D4553" s="16"/>
    </row>
    <row r="4554" spans="4:4">
      <c r="D4554" s="16"/>
    </row>
    <row r="4555" spans="4:4">
      <c r="D4555" s="16"/>
    </row>
    <row r="4556" spans="4:4">
      <c r="D4556" s="16"/>
    </row>
    <row r="4557" spans="4:4">
      <c r="D4557" s="16"/>
    </row>
    <row r="4558" spans="4:4">
      <c r="D4558" s="16"/>
    </row>
    <row r="4559" spans="4:4">
      <c r="D4559" s="16"/>
    </row>
    <row r="4560" spans="4:4">
      <c r="D4560" s="16"/>
    </row>
    <row r="4561" spans="4:4">
      <c r="D4561" s="16"/>
    </row>
    <row r="4562" spans="4:4">
      <c r="D4562" s="16"/>
    </row>
    <row r="4563" spans="4:4">
      <c r="D4563" s="16"/>
    </row>
    <row r="4564" spans="4:4">
      <c r="D4564" s="16"/>
    </row>
    <row r="4565" spans="4:4">
      <c r="D4565" s="16"/>
    </row>
    <row r="4566" spans="4:4">
      <c r="D4566" s="16"/>
    </row>
    <row r="4567" spans="4:4">
      <c r="D4567" s="16"/>
    </row>
    <row r="4568" spans="4:4">
      <c r="D4568" s="16"/>
    </row>
    <row r="4569" spans="4:4">
      <c r="D4569" s="16"/>
    </row>
    <row r="4570" spans="4:4">
      <c r="D4570" s="16"/>
    </row>
    <row r="4571" spans="4:4">
      <c r="D4571" s="16"/>
    </row>
    <row r="4572" spans="4:4">
      <c r="D4572" s="16"/>
    </row>
    <row r="4573" spans="4:4">
      <c r="D4573" s="16"/>
    </row>
    <row r="4574" spans="4:4">
      <c r="D4574" s="16"/>
    </row>
    <row r="4575" spans="4:4">
      <c r="D4575" s="16"/>
    </row>
    <row r="4576" spans="4:4">
      <c r="D4576" s="16"/>
    </row>
    <row r="4577" spans="4:4">
      <c r="D4577" s="16"/>
    </row>
    <row r="4578" spans="4:4">
      <c r="D4578" s="16"/>
    </row>
    <row r="4579" spans="4:4">
      <c r="D4579" s="16"/>
    </row>
    <row r="4580" spans="4:4">
      <c r="D4580" s="16"/>
    </row>
    <row r="4581" spans="4:4">
      <c r="D4581" s="16"/>
    </row>
    <row r="4582" spans="4:4">
      <c r="D4582" s="16"/>
    </row>
    <row r="4583" spans="4:4">
      <c r="D4583" s="16"/>
    </row>
    <row r="4584" spans="4:4">
      <c r="D4584" s="16"/>
    </row>
    <row r="4585" spans="4:4">
      <c r="D4585" s="16"/>
    </row>
    <row r="4586" spans="4:4">
      <c r="D4586" s="16"/>
    </row>
    <row r="4587" spans="4:4">
      <c r="D4587" s="16"/>
    </row>
    <row r="4588" spans="4:4">
      <c r="D4588" s="16"/>
    </row>
    <row r="4589" spans="4:4">
      <c r="D4589" s="16"/>
    </row>
    <row r="4590" spans="4:4">
      <c r="D4590" s="16"/>
    </row>
    <row r="4591" spans="4:4">
      <c r="D4591" s="16"/>
    </row>
    <row r="4592" spans="4:4">
      <c r="D4592" s="16"/>
    </row>
    <row r="4593" spans="4:4">
      <c r="D4593" s="16"/>
    </row>
    <row r="4594" spans="4:4">
      <c r="D4594" s="16"/>
    </row>
    <row r="4595" spans="4:4">
      <c r="D4595" s="16"/>
    </row>
    <row r="4596" spans="4:4">
      <c r="D4596" s="16"/>
    </row>
    <row r="4597" spans="4:4">
      <c r="D4597" s="16"/>
    </row>
    <row r="4598" spans="4:4">
      <c r="D4598" s="16"/>
    </row>
    <row r="4599" spans="4:4">
      <c r="D4599" s="16"/>
    </row>
    <row r="4600" spans="4:4">
      <c r="D4600" s="16"/>
    </row>
    <row r="4601" spans="4:4">
      <c r="D4601" s="16"/>
    </row>
    <row r="4602" spans="4:4">
      <c r="D4602" s="16"/>
    </row>
    <row r="4603" spans="4:4">
      <c r="D4603" s="16"/>
    </row>
    <row r="4604" spans="4:4">
      <c r="D4604" s="16"/>
    </row>
    <row r="4605" spans="4:4">
      <c r="D4605" s="16"/>
    </row>
    <row r="4606" spans="4:4">
      <c r="D4606" s="16"/>
    </row>
    <row r="4607" spans="4:4">
      <c r="D4607" s="16"/>
    </row>
    <row r="4608" spans="4:4">
      <c r="D4608" s="16"/>
    </row>
    <row r="4609" spans="4:4">
      <c r="D4609" s="16"/>
    </row>
    <row r="4610" spans="4:4">
      <c r="D4610" s="16"/>
    </row>
    <row r="4611" spans="4:4">
      <c r="D4611" s="16"/>
    </row>
    <row r="4612" spans="4:4">
      <c r="D4612" s="16"/>
    </row>
    <row r="4613" spans="4:4">
      <c r="D4613" s="16"/>
    </row>
    <row r="4614" spans="4:4">
      <c r="D4614" s="16"/>
    </row>
    <row r="4615" spans="4:4">
      <c r="D4615" s="16"/>
    </row>
    <row r="4616" spans="4:4">
      <c r="D4616" s="16"/>
    </row>
    <row r="4617" spans="4:4">
      <c r="D4617" s="16"/>
    </row>
    <row r="4618" spans="4:4">
      <c r="D4618" s="16"/>
    </row>
    <row r="4619" spans="4:4">
      <c r="D4619" s="16"/>
    </row>
    <row r="4620" spans="4:4">
      <c r="D4620" s="16"/>
    </row>
    <row r="4621" spans="4:4">
      <c r="D4621" s="16"/>
    </row>
    <row r="4622" spans="4:4">
      <c r="D4622" s="16"/>
    </row>
    <row r="4623" spans="4:4">
      <c r="D4623" s="16"/>
    </row>
    <row r="4624" spans="4:4">
      <c r="D4624" s="16"/>
    </row>
    <row r="4625" spans="4:4">
      <c r="D4625" s="16"/>
    </row>
    <row r="4626" spans="4:4">
      <c r="D4626" s="16"/>
    </row>
    <row r="4627" spans="4:4">
      <c r="D4627" s="16"/>
    </row>
    <row r="4628" spans="4:4">
      <c r="D4628" s="16"/>
    </row>
    <row r="4629" spans="4:4">
      <c r="D4629" s="16"/>
    </row>
    <row r="4630" spans="4:4">
      <c r="D4630" s="16"/>
    </row>
    <row r="4631" spans="4:4">
      <c r="D4631" s="16"/>
    </row>
    <row r="4632" spans="4:4">
      <c r="D4632" s="16"/>
    </row>
    <row r="4633" spans="4:4">
      <c r="D4633" s="16"/>
    </row>
    <row r="4634" spans="4:4">
      <c r="D4634" s="16"/>
    </row>
    <row r="4635" spans="4:4">
      <c r="D4635" s="16"/>
    </row>
    <row r="4636" spans="4:4">
      <c r="D4636" s="16"/>
    </row>
    <row r="4637" spans="4:4">
      <c r="D4637" s="16"/>
    </row>
    <row r="4638" spans="4:4">
      <c r="D4638" s="16"/>
    </row>
    <row r="4639" spans="4:4">
      <c r="D4639" s="16"/>
    </row>
    <row r="4640" spans="4:4">
      <c r="D4640" s="16"/>
    </row>
    <row r="4641" spans="4:4">
      <c r="D4641" s="16"/>
    </row>
    <row r="4642" spans="4:4">
      <c r="D4642" s="16"/>
    </row>
    <row r="4643" spans="4:4">
      <c r="D4643" s="16"/>
    </row>
    <row r="4644" spans="4:4">
      <c r="D4644" s="16"/>
    </row>
    <row r="4645" spans="4:4">
      <c r="D4645" s="16"/>
    </row>
    <row r="4646" spans="4:4">
      <c r="D4646" s="16"/>
    </row>
    <row r="4647" spans="4:4">
      <c r="D4647" s="16"/>
    </row>
    <row r="4648" spans="4:4">
      <c r="D4648" s="16"/>
    </row>
    <row r="4649" spans="4:4">
      <c r="D4649" s="16"/>
    </row>
    <row r="4650" spans="4:4">
      <c r="D4650" s="16"/>
    </row>
    <row r="4651" spans="4:4">
      <c r="D4651" s="16"/>
    </row>
    <row r="4652" spans="4:4">
      <c r="D4652" s="16"/>
    </row>
    <row r="4653" spans="4:4">
      <c r="D4653" s="16"/>
    </row>
    <row r="4654" spans="4:4">
      <c r="D4654" s="16"/>
    </row>
    <row r="4655" spans="4:4">
      <c r="D4655" s="16"/>
    </row>
    <row r="4656" spans="4:4">
      <c r="D4656" s="16"/>
    </row>
    <row r="4657" spans="4:4">
      <c r="D4657" s="16"/>
    </row>
    <row r="4658" spans="4:4">
      <c r="D4658" s="16"/>
    </row>
    <row r="4659" spans="4:4">
      <c r="D4659" s="16"/>
    </row>
    <row r="4660" spans="4:4">
      <c r="D4660" s="16"/>
    </row>
    <row r="4661" spans="4:4">
      <c r="D4661" s="16"/>
    </row>
    <row r="4662" spans="4:4">
      <c r="D4662" s="16"/>
    </row>
    <row r="4663" spans="4:4">
      <c r="D4663" s="16"/>
    </row>
    <row r="4664" spans="4:4">
      <c r="D4664" s="16"/>
    </row>
    <row r="4665" spans="4:4">
      <c r="D4665" s="16"/>
    </row>
    <row r="4666" spans="4:4">
      <c r="D4666" s="16"/>
    </row>
    <row r="4667" spans="4:4">
      <c r="D4667" s="16"/>
    </row>
    <row r="4668" spans="4:4">
      <c r="D4668" s="16"/>
    </row>
    <row r="4669" spans="4:4">
      <c r="D4669" s="16"/>
    </row>
    <row r="4670" spans="4:4">
      <c r="D4670" s="16"/>
    </row>
    <row r="4671" spans="4:4">
      <c r="D4671" s="16"/>
    </row>
    <row r="4672" spans="4:4">
      <c r="D4672" s="16"/>
    </row>
    <row r="4673" spans="4:4">
      <c r="D4673" s="16"/>
    </row>
    <row r="4674" spans="4:4">
      <c r="D4674" s="16"/>
    </row>
    <row r="4675" spans="4:4">
      <c r="D4675" s="16"/>
    </row>
    <row r="4676" spans="4:4">
      <c r="D4676" s="16"/>
    </row>
    <row r="4677" spans="4:4">
      <c r="D4677" s="16"/>
    </row>
    <row r="4678" spans="4:4">
      <c r="D4678" s="16"/>
    </row>
    <row r="4679" spans="4:4">
      <c r="D4679" s="16"/>
    </row>
    <row r="4680" spans="4:4">
      <c r="D4680" s="16"/>
    </row>
    <row r="4681" spans="4:4">
      <c r="D4681" s="16"/>
    </row>
    <row r="4682" spans="4:4">
      <c r="D4682" s="16"/>
    </row>
    <row r="4683" spans="4:4">
      <c r="D4683" s="16"/>
    </row>
    <row r="4684" spans="4:4">
      <c r="D4684" s="16"/>
    </row>
    <row r="4685" spans="4:4">
      <c r="D4685" s="16"/>
    </row>
    <row r="4686" spans="4:4">
      <c r="D4686" s="16"/>
    </row>
    <row r="4687" spans="4:4">
      <c r="D4687" s="16"/>
    </row>
    <row r="4688" spans="4:4">
      <c r="D4688" s="16"/>
    </row>
    <row r="4689" spans="4:4">
      <c r="D4689" s="16"/>
    </row>
    <row r="4690" spans="4:4">
      <c r="D4690" s="16"/>
    </row>
    <row r="4691" spans="4:4">
      <c r="D4691" s="16"/>
    </row>
    <row r="4692" spans="4:4">
      <c r="D4692" s="16"/>
    </row>
    <row r="4693" spans="4:4">
      <c r="D4693" s="16"/>
    </row>
    <row r="4694" spans="4:4">
      <c r="D4694" s="16"/>
    </row>
    <row r="4695" spans="4:4">
      <c r="D4695" s="16"/>
    </row>
    <row r="4696" spans="4:4">
      <c r="D4696" s="16"/>
    </row>
    <row r="4697" spans="4:4">
      <c r="D4697" s="16"/>
    </row>
    <row r="4698" spans="4:4">
      <c r="D4698" s="16"/>
    </row>
    <row r="4699" spans="4:4">
      <c r="D4699" s="16"/>
    </row>
    <row r="4700" spans="4:4">
      <c r="D4700" s="16"/>
    </row>
    <row r="4701" spans="4:4">
      <c r="D4701" s="16"/>
    </row>
    <row r="4702" spans="4:4">
      <c r="D4702" s="16"/>
    </row>
    <row r="4703" spans="4:4">
      <c r="D4703" s="16"/>
    </row>
    <row r="4704" spans="4:4">
      <c r="D4704" s="16"/>
    </row>
    <row r="4705" spans="4:4">
      <c r="D4705" s="16"/>
    </row>
    <row r="4706" spans="4:4">
      <c r="D4706" s="16"/>
    </row>
    <row r="4707" spans="4:4">
      <c r="D4707" s="16"/>
    </row>
    <row r="4708" spans="4:4">
      <c r="D4708" s="16"/>
    </row>
    <row r="4709" spans="4:4">
      <c r="D4709" s="16"/>
    </row>
    <row r="4710" spans="4:4">
      <c r="D4710" s="16"/>
    </row>
    <row r="4711" spans="4:4">
      <c r="D4711" s="16"/>
    </row>
    <row r="4712" spans="4:4">
      <c r="D4712" s="16"/>
    </row>
    <row r="4713" spans="4:4">
      <c r="D4713" s="16"/>
    </row>
    <row r="4714" spans="4:4">
      <c r="D4714" s="16"/>
    </row>
    <row r="4715" spans="4:4">
      <c r="D4715" s="16"/>
    </row>
    <row r="4716" spans="4:4">
      <c r="D4716" s="16"/>
    </row>
    <row r="4717" spans="4:4">
      <c r="D4717" s="16"/>
    </row>
    <row r="4718" spans="4:4">
      <c r="D4718" s="16"/>
    </row>
    <row r="4719" spans="4:4">
      <c r="D4719" s="16"/>
    </row>
    <row r="4720" spans="4:4">
      <c r="D4720" s="16"/>
    </row>
    <row r="4721" spans="4:4">
      <c r="D4721" s="16"/>
    </row>
    <row r="4722" spans="4:4">
      <c r="D4722" s="16"/>
    </row>
    <row r="4723" spans="4:4">
      <c r="D4723" s="16"/>
    </row>
    <row r="4724" spans="4:4">
      <c r="D4724" s="16"/>
    </row>
    <row r="4725" spans="4:4">
      <c r="D4725" s="16"/>
    </row>
    <row r="4726" spans="4:4">
      <c r="D4726" s="16"/>
    </row>
    <row r="4727" spans="4:4">
      <c r="D4727" s="16"/>
    </row>
    <row r="4728" spans="4:4">
      <c r="D4728" s="16"/>
    </row>
    <row r="4729" spans="4:4">
      <c r="D4729" s="16"/>
    </row>
    <row r="4730" spans="4:4">
      <c r="D4730" s="16"/>
    </row>
    <row r="4731" spans="4:4">
      <c r="D4731" s="16"/>
    </row>
    <row r="4732" spans="4:4">
      <c r="D4732" s="16"/>
    </row>
    <row r="4733" spans="4:4">
      <c r="D4733" s="16"/>
    </row>
    <row r="4734" spans="4:4">
      <c r="D4734" s="16"/>
    </row>
    <row r="4735" spans="4:4">
      <c r="D4735" s="16"/>
    </row>
    <row r="4736" spans="4:4">
      <c r="D4736" s="16"/>
    </row>
    <row r="4737" spans="4:4">
      <c r="D4737" s="16"/>
    </row>
    <row r="4738" spans="4:4">
      <c r="D4738" s="16"/>
    </row>
    <row r="4739" spans="4:4">
      <c r="D4739" s="16"/>
    </row>
    <row r="4740" spans="4:4">
      <c r="D4740" s="16"/>
    </row>
    <row r="4741" spans="4:4">
      <c r="D4741" s="16"/>
    </row>
    <row r="4742" spans="4:4">
      <c r="D4742" s="16"/>
    </row>
    <row r="4743" spans="4:4">
      <c r="D4743" s="16"/>
    </row>
    <row r="4744" spans="4:4">
      <c r="D4744" s="16"/>
    </row>
    <row r="4745" spans="4:4">
      <c r="D4745" s="16"/>
    </row>
    <row r="4746" spans="4:4">
      <c r="D4746" s="16"/>
    </row>
    <row r="4747" spans="4:4">
      <c r="D4747" s="16"/>
    </row>
    <row r="4748" spans="4:4">
      <c r="D4748" s="16"/>
    </row>
    <row r="4749" spans="4:4">
      <c r="D4749" s="16"/>
    </row>
    <row r="4750" spans="4:4">
      <c r="D4750" s="16"/>
    </row>
    <row r="4751" spans="4:4">
      <c r="D4751" s="16"/>
    </row>
    <row r="4752" spans="4:4">
      <c r="D4752" s="16"/>
    </row>
    <row r="4753" spans="4:4">
      <c r="D4753" s="16"/>
    </row>
    <row r="4754" spans="4:4">
      <c r="D4754" s="16"/>
    </row>
    <row r="4755" spans="4:4">
      <c r="D4755" s="16"/>
    </row>
    <row r="4756" spans="4:4">
      <c r="D4756" s="16"/>
    </row>
    <row r="4757" spans="4:4">
      <c r="D4757" s="16"/>
    </row>
    <row r="4758" spans="4:4">
      <c r="D4758" s="16"/>
    </row>
    <row r="4759" spans="4:4">
      <c r="D4759" s="16"/>
    </row>
    <row r="4760" spans="4:4">
      <c r="D4760" s="16"/>
    </row>
    <row r="4761" spans="4:4">
      <c r="D4761" s="16"/>
    </row>
    <row r="4762" spans="4:4">
      <c r="D4762" s="16"/>
    </row>
    <row r="4763" spans="4:4">
      <c r="D4763" s="16"/>
    </row>
    <row r="4764" spans="4:4">
      <c r="D4764" s="16"/>
    </row>
    <row r="4765" spans="4:4">
      <c r="D4765" s="16"/>
    </row>
    <row r="4766" spans="4:4">
      <c r="D4766" s="16"/>
    </row>
    <row r="4767" spans="4:4">
      <c r="D4767" s="16"/>
    </row>
    <row r="4768" spans="4:4">
      <c r="D4768" s="16"/>
    </row>
    <row r="4769" spans="4:4">
      <c r="D4769" s="16"/>
    </row>
    <row r="4770" spans="4:4">
      <c r="D4770" s="16"/>
    </row>
    <row r="4771" spans="4:4">
      <c r="D4771" s="16"/>
    </row>
    <row r="4772" spans="4:4">
      <c r="D4772" s="16"/>
    </row>
    <row r="4773" spans="4:4">
      <c r="D4773" s="16"/>
    </row>
    <row r="4774" spans="4:4">
      <c r="D4774" s="16"/>
    </row>
    <row r="4775" spans="4:4">
      <c r="D4775" s="16"/>
    </row>
    <row r="4776" spans="4:4">
      <c r="D4776" s="16"/>
    </row>
    <row r="4777" spans="4:4">
      <c r="D4777" s="16"/>
    </row>
    <row r="4778" spans="4:4">
      <c r="D4778" s="16"/>
    </row>
    <row r="4779" spans="4:4">
      <c r="D4779" s="16"/>
    </row>
    <row r="4780" spans="4:4">
      <c r="D4780" s="16"/>
    </row>
    <row r="4781" spans="4:4">
      <c r="D4781" s="16"/>
    </row>
    <row r="4782" spans="4:4">
      <c r="D4782" s="16"/>
    </row>
    <row r="4783" spans="4:4">
      <c r="D4783" s="16"/>
    </row>
    <row r="4784" spans="4:4">
      <c r="D4784" s="16"/>
    </row>
    <row r="4785" spans="4:4">
      <c r="D4785" s="16"/>
    </row>
    <row r="4786" spans="4:4">
      <c r="D4786" s="16"/>
    </row>
    <row r="4787" spans="4:4">
      <c r="D4787" s="16"/>
    </row>
    <row r="4788" spans="4:4">
      <c r="D4788" s="16"/>
    </row>
    <row r="4789" spans="4:4">
      <c r="D4789" s="16"/>
    </row>
    <row r="4790" spans="4:4">
      <c r="D4790" s="16"/>
    </row>
    <row r="4791" spans="4:4">
      <c r="D4791" s="16"/>
    </row>
    <row r="4792" spans="4:4">
      <c r="D4792" s="16"/>
    </row>
    <row r="4793" spans="4:4">
      <c r="D4793" s="16"/>
    </row>
    <row r="4794" spans="4:4">
      <c r="D4794" s="16"/>
    </row>
    <row r="4795" spans="4:4">
      <c r="D4795" s="16"/>
    </row>
    <row r="4796" spans="4:4">
      <c r="D4796" s="16"/>
    </row>
    <row r="4797" spans="4:4">
      <c r="D4797" s="16"/>
    </row>
    <row r="4798" spans="4:4">
      <c r="D4798" s="16"/>
    </row>
    <row r="4799" spans="4:4">
      <c r="D4799" s="16"/>
    </row>
    <row r="4800" spans="4:4">
      <c r="D4800" s="16"/>
    </row>
    <row r="4801" spans="4:4">
      <c r="D4801" s="16"/>
    </row>
    <row r="4802" spans="4:4">
      <c r="D4802" s="16"/>
    </row>
    <row r="4803" spans="4:4">
      <c r="D4803" s="16"/>
    </row>
    <row r="4804" spans="4:4">
      <c r="D4804" s="16"/>
    </row>
    <row r="4805" spans="4:4">
      <c r="D4805" s="16"/>
    </row>
    <row r="4806" spans="4:4">
      <c r="D4806" s="16"/>
    </row>
    <row r="4807" spans="4:4">
      <c r="D4807" s="16"/>
    </row>
    <row r="4808" spans="4:4">
      <c r="D4808" s="16"/>
    </row>
    <row r="4809" spans="4:4">
      <c r="D4809" s="16"/>
    </row>
    <row r="4810" spans="4:4">
      <c r="D4810" s="16"/>
    </row>
    <row r="4811" spans="4:4">
      <c r="D4811" s="16"/>
    </row>
    <row r="4812" spans="4:4">
      <c r="D4812" s="16"/>
    </row>
    <row r="4813" spans="4:4">
      <c r="D4813" s="16"/>
    </row>
    <row r="4814" spans="4:4">
      <c r="D4814" s="16"/>
    </row>
    <row r="4815" spans="4:4">
      <c r="D4815" s="16"/>
    </row>
    <row r="4816" spans="4:4">
      <c r="D4816" s="16"/>
    </row>
    <row r="4817" spans="4:4">
      <c r="D4817" s="16"/>
    </row>
    <row r="4818" spans="4:4">
      <c r="D4818" s="16"/>
    </row>
    <row r="4819" spans="4:4">
      <c r="D4819" s="16"/>
    </row>
    <row r="4820" spans="4:4">
      <c r="D4820" s="16"/>
    </row>
    <row r="4821" spans="4:4">
      <c r="D4821" s="16"/>
    </row>
    <row r="4822" spans="4:4">
      <c r="D4822" s="16"/>
    </row>
    <row r="4823" spans="4:4">
      <c r="D4823" s="16"/>
    </row>
    <row r="4824" spans="4:4">
      <c r="D4824" s="16"/>
    </row>
    <row r="4825" spans="4:4">
      <c r="D4825" s="16"/>
    </row>
    <row r="4826" spans="4:4">
      <c r="D4826" s="16"/>
    </row>
    <row r="4827" spans="4:4">
      <c r="D4827" s="16"/>
    </row>
    <row r="4828" spans="4:4">
      <c r="D4828" s="16"/>
    </row>
    <row r="4829" spans="4:4">
      <c r="D4829" s="16"/>
    </row>
    <row r="4830" spans="4:4">
      <c r="D4830" s="16"/>
    </row>
    <row r="4831" spans="4:4">
      <c r="D4831" s="16"/>
    </row>
    <row r="4832" spans="4:4">
      <c r="D4832" s="16"/>
    </row>
    <row r="4833" spans="4:4">
      <c r="D4833" s="16"/>
    </row>
    <row r="4834" spans="4:4">
      <c r="D4834" s="16"/>
    </row>
    <row r="4835" spans="4:4">
      <c r="D4835" s="16"/>
    </row>
    <row r="4836" spans="4:4">
      <c r="D4836" s="16"/>
    </row>
    <row r="4837" spans="4:4">
      <c r="D4837" s="16"/>
    </row>
    <row r="4838" spans="4:4">
      <c r="D4838" s="16"/>
    </row>
    <row r="4839" spans="4:4">
      <c r="D4839" s="16"/>
    </row>
    <row r="4840" spans="4:4">
      <c r="D4840" s="16"/>
    </row>
    <row r="4841" spans="4:4">
      <c r="D4841" s="16"/>
    </row>
    <row r="4842" spans="4:4">
      <c r="D4842" s="16"/>
    </row>
    <row r="4843" spans="4:4">
      <c r="D4843" s="16"/>
    </row>
    <row r="4844" spans="4:4">
      <c r="D4844" s="16"/>
    </row>
    <row r="4845" spans="4:4">
      <c r="D4845" s="16"/>
    </row>
    <row r="4846" spans="4:4">
      <c r="D4846" s="16"/>
    </row>
    <row r="4847" spans="4:4">
      <c r="D4847" s="16"/>
    </row>
    <row r="4848" spans="4:4">
      <c r="D4848" s="16"/>
    </row>
    <row r="4849" spans="4:4">
      <c r="D4849" s="16"/>
    </row>
    <row r="4850" spans="4:4">
      <c r="D4850" s="16"/>
    </row>
    <row r="4851" spans="4:4">
      <c r="D4851" s="16"/>
    </row>
    <row r="4852" spans="4:4">
      <c r="D4852" s="16"/>
    </row>
    <row r="4853" spans="4:4">
      <c r="D4853" s="16"/>
    </row>
    <row r="4854" spans="4:4">
      <c r="D4854" s="16"/>
    </row>
    <row r="4855" spans="4:4">
      <c r="D4855" s="16"/>
    </row>
    <row r="4856" spans="4:4">
      <c r="D4856" s="16"/>
    </row>
    <row r="4857" spans="4:4">
      <c r="D4857" s="16"/>
    </row>
    <row r="4858" spans="4:4">
      <c r="D4858" s="16"/>
    </row>
    <row r="4859" spans="4:4">
      <c r="D4859" s="16"/>
    </row>
    <row r="4860" spans="4:4">
      <c r="D4860" s="16"/>
    </row>
    <row r="4861" spans="4:4">
      <c r="D4861" s="16"/>
    </row>
    <row r="4862" spans="4:4">
      <c r="D4862" s="16"/>
    </row>
    <row r="4863" spans="4:4">
      <c r="D4863" s="16"/>
    </row>
    <row r="4864" spans="4:4">
      <c r="D4864" s="16"/>
    </row>
    <row r="4865" spans="4:4">
      <c r="D4865" s="16"/>
    </row>
    <row r="4866" spans="4:4">
      <c r="D4866" s="16"/>
    </row>
    <row r="4867" spans="4:4">
      <c r="D4867" s="16"/>
    </row>
    <row r="4868" spans="4:4">
      <c r="D4868" s="16"/>
    </row>
    <row r="4869" spans="4:4">
      <c r="D4869" s="16"/>
    </row>
    <row r="4870" spans="4:4">
      <c r="D4870" s="16"/>
    </row>
    <row r="4871" spans="4:4">
      <c r="D4871" s="16"/>
    </row>
    <row r="4872" spans="4:4">
      <c r="D4872" s="16"/>
    </row>
    <row r="4873" spans="4:4">
      <c r="D4873" s="16"/>
    </row>
    <row r="4874" spans="4:4">
      <c r="D4874" s="16"/>
    </row>
    <row r="4875" spans="4:4">
      <c r="D4875" s="16"/>
    </row>
    <row r="4876" spans="4:4">
      <c r="D4876" s="16"/>
    </row>
    <row r="4877" spans="4:4">
      <c r="D4877" s="16"/>
    </row>
    <row r="4878" spans="4:4">
      <c r="D4878" s="16"/>
    </row>
    <row r="4879" spans="4:4">
      <c r="D4879" s="16"/>
    </row>
    <row r="4880" spans="4:4">
      <c r="D4880" s="16"/>
    </row>
    <row r="4881" spans="4:4">
      <c r="D4881" s="16"/>
    </row>
    <row r="4882" spans="4:4">
      <c r="D4882" s="16"/>
    </row>
    <row r="4883" spans="4:4">
      <c r="D4883" s="16"/>
    </row>
    <row r="4884" spans="4:4">
      <c r="D4884" s="16"/>
    </row>
    <row r="4885" spans="4:4">
      <c r="D4885" s="16"/>
    </row>
    <row r="4886" spans="4:4">
      <c r="D4886" s="16"/>
    </row>
    <row r="4887" spans="4:4">
      <c r="D4887" s="16"/>
    </row>
    <row r="4888" spans="4:4">
      <c r="D4888" s="16"/>
    </row>
    <row r="4889" spans="4:4">
      <c r="D4889" s="16"/>
    </row>
    <row r="4890" spans="4:4">
      <c r="D4890" s="16"/>
    </row>
    <row r="4891" spans="4:4">
      <c r="D4891" s="16"/>
    </row>
    <row r="4892" spans="4:4">
      <c r="D4892" s="16"/>
    </row>
    <row r="4893" spans="4:4">
      <c r="D4893" s="16"/>
    </row>
    <row r="4894" spans="4:4">
      <c r="D4894" s="16"/>
    </row>
    <row r="4895" spans="4:4">
      <c r="D4895" s="16"/>
    </row>
    <row r="4896" spans="4:4">
      <c r="D4896" s="16"/>
    </row>
    <row r="4897" spans="4:4">
      <c r="D4897" s="16"/>
    </row>
    <row r="4898" spans="4:4">
      <c r="D4898" s="16"/>
    </row>
    <row r="4899" spans="4:4">
      <c r="D4899" s="16"/>
    </row>
    <row r="4900" spans="4:4">
      <c r="D4900" s="16"/>
    </row>
    <row r="4901" spans="4:4">
      <c r="D4901" s="16"/>
    </row>
    <row r="4902" spans="4:4">
      <c r="D4902" s="16"/>
    </row>
    <row r="4903" spans="4:4">
      <c r="D4903" s="16"/>
    </row>
    <row r="4904" spans="4:4">
      <c r="D4904" s="16"/>
    </row>
    <row r="4905" spans="4:4">
      <c r="D4905" s="16"/>
    </row>
    <row r="4906" spans="4:4">
      <c r="D4906" s="16"/>
    </row>
    <row r="4907" spans="4:4">
      <c r="D4907" s="16"/>
    </row>
    <row r="4908" spans="4:4">
      <c r="D4908" s="16"/>
    </row>
    <row r="4909" spans="4:4">
      <c r="D4909" s="16"/>
    </row>
    <row r="4910" spans="4:4">
      <c r="D4910" s="16"/>
    </row>
    <row r="4911" spans="4:4">
      <c r="D4911" s="16"/>
    </row>
    <row r="4912" spans="4:4">
      <c r="D4912" s="16"/>
    </row>
    <row r="4913" spans="4:4">
      <c r="D4913" s="16"/>
    </row>
    <row r="4914" spans="4:4">
      <c r="D4914" s="16"/>
    </row>
    <row r="4915" spans="4:4">
      <c r="D4915" s="16"/>
    </row>
    <row r="4916" spans="4:4">
      <c r="D4916" s="16"/>
    </row>
    <row r="4917" spans="4:4">
      <c r="D4917" s="16"/>
    </row>
    <row r="4918" spans="4:4">
      <c r="D4918" s="16"/>
    </row>
    <row r="4919" spans="4:4">
      <c r="D4919" s="16"/>
    </row>
    <row r="4920" spans="4:4">
      <c r="D4920" s="16"/>
    </row>
    <row r="4921" spans="4:4">
      <c r="D4921" s="16"/>
    </row>
    <row r="4922" spans="4:4">
      <c r="D4922" s="16"/>
    </row>
    <row r="4923" spans="4:4">
      <c r="D4923" s="16"/>
    </row>
    <row r="4924" spans="4:4">
      <c r="D4924" s="16"/>
    </row>
    <row r="4925" spans="4:4">
      <c r="D4925" s="16"/>
    </row>
    <row r="4926" spans="4:4">
      <c r="D4926" s="16"/>
    </row>
    <row r="4927" spans="4:4">
      <c r="D4927" s="16"/>
    </row>
    <row r="4928" spans="4:4">
      <c r="D4928" s="16"/>
    </row>
    <row r="4929" spans="4:4">
      <c r="D4929" s="16"/>
    </row>
    <row r="4930" spans="4:4">
      <c r="D4930" s="16"/>
    </row>
    <row r="4931" spans="4:4">
      <c r="D4931" s="16"/>
    </row>
    <row r="4932" spans="4:4">
      <c r="D4932" s="16"/>
    </row>
    <row r="4933" spans="4:4">
      <c r="D4933" s="16"/>
    </row>
    <row r="4934" spans="4:4">
      <c r="D4934" s="16"/>
    </row>
    <row r="4935" spans="4:4">
      <c r="D4935" s="16"/>
    </row>
    <row r="4936" spans="4:4">
      <c r="D4936" s="16"/>
    </row>
    <row r="4937" spans="4:4">
      <c r="D4937" s="16"/>
    </row>
    <row r="4938" spans="4:4">
      <c r="D4938" s="16"/>
    </row>
    <row r="4939" spans="4:4">
      <c r="D4939" s="16"/>
    </row>
    <row r="4940" spans="4:4">
      <c r="D4940" s="16"/>
    </row>
    <row r="4941" spans="4:4">
      <c r="D4941" s="16"/>
    </row>
    <row r="4942" spans="4:4">
      <c r="D4942" s="16"/>
    </row>
    <row r="4943" spans="4:4">
      <c r="D4943" s="16"/>
    </row>
    <row r="4944" spans="4:4">
      <c r="D4944" s="16"/>
    </row>
    <row r="4945" spans="4:4">
      <c r="D4945" s="16"/>
    </row>
    <row r="4946" spans="4:4">
      <c r="D4946" s="16"/>
    </row>
    <row r="4947" spans="4:4">
      <c r="D4947" s="16"/>
    </row>
    <row r="4948" spans="4:4">
      <c r="D4948" s="16"/>
    </row>
    <row r="4949" spans="4:4">
      <c r="D4949" s="16"/>
    </row>
    <row r="4950" spans="4:4">
      <c r="D4950" s="16"/>
    </row>
    <row r="4951" spans="4:4">
      <c r="D4951" s="16"/>
    </row>
    <row r="4952" spans="4:4">
      <c r="D4952" s="16"/>
    </row>
    <row r="4953" spans="4:4">
      <c r="D4953" s="16"/>
    </row>
    <row r="4954" spans="4:4">
      <c r="D4954" s="16"/>
    </row>
    <row r="4955" spans="4:4">
      <c r="D4955" s="16"/>
    </row>
    <row r="4956" spans="4:4">
      <c r="D4956" s="16"/>
    </row>
    <row r="4957" spans="4:4">
      <c r="D4957" s="16"/>
    </row>
    <row r="4958" spans="4:4">
      <c r="D4958" s="16"/>
    </row>
    <row r="4959" spans="4:4">
      <c r="D4959" s="16"/>
    </row>
    <row r="4960" spans="4:4">
      <c r="D4960" s="16"/>
    </row>
    <row r="4961" spans="4:4">
      <c r="D4961" s="16"/>
    </row>
    <row r="4962" spans="4:4">
      <c r="D4962" s="16"/>
    </row>
    <row r="4963" spans="4:4">
      <c r="D4963" s="16"/>
    </row>
    <row r="4964" spans="4:4">
      <c r="D4964" s="16"/>
    </row>
    <row r="4965" spans="4:4">
      <c r="D4965" s="16"/>
    </row>
    <row r="4966" spans="4:4">
      <c r="D4966" s="16"/>
    </row>
    <row r="4967" spans="4:4">
      <c r="D4967" s="16"/>
    </row>
    <row r="4968" spans="4:4">
      <c r="D4968" s="16"/>
    </row>
    <row r="4969" spans="4:4">
      <c r="D4969" s="16"/>
    </row>
    <row r="4970" spans="4:4">
      <c r="D4970" s="16"/>
    </row>
    <row r="4971" spans="4:4">
      <c r="D4971" s="16"/>
    </row>
    <row r="4972" spans="4:4">
      <c r="D4972" s="16"/>
    </row>
    <row r="4973" spans="4:4">
      <c r="D4973" s="16"/>
    </row>
    <row r="4974" spans="4:4">
      <c r="D4974" s="16"/>
    </row>
    <row r="4975" spans="4:4">
      <c r="D4975" s="16"/>
    </row>
    <row r="4976" spans="4:4">
      <c r="D4976" s="16"/>
    </row>
    <row r="4977" spans="4:4">
      <c r="D4977" s="16"/>
    </row>
    <row r="4978" spans="4:4">
      <c r="D4978" s="16"/>
    </row>
    <row r="4979" spans="4:4">
      <c r="D4979" s="16"/>
    </row>
    <row r="4980" spans="4:4">
      <c r="D4980" s="16"/>
    </row>
    <row r="4981" spans="4:4">
      <c r="D4981" s="16"/>
    </row>
    <row r="4982" spans="4:4">
      <c r="D4982" s="16"/>
    </row>
    <row r="4983" spans="4:4">
      <c r="D4983" s="16"/>
    </row>
    <row r="4984" spans="4:4">
      <c r="D4984" s="16"/>
    </row>
    <row r="4985" spans="4:4">
      <c r="D4985" s="16"/>
    </row>
    <row r="4986" spans="4:4">
      <c r="D4986" s="16"/>
    </row>
    <row r="4987" spans="4:4">
      <c r="D4987" s="16"/>
    </row>
    <row r="4988" spans="4:4">
      <c r="D4988" s="16"/>
    </row>
    <row r="4989" spans="4:4">
      <c r="D4989" s="16"/>
    </row>
    <row r="4990" spans="4:4">
      <c r="D4990" s="16"/>
    </row>
    <row r="4991" spans="4:4">
      <c r="D4991" s="16"/>
    </row>
    <row r="4992" spans="4:4">
      <c r="D4992" s="16"/>
    </row>
    <row r="4993" spans="4:4">
      <c r="D4993" s="16"/>
    </row>
    <row r="4994" spans="4:4">
      <c r="D4994" s="16"/>
    </row>
    <row r="4995" spans="4:4">
      <c r="D4995" s="16"/>
    </row>
    <row r="4996" spans="4:4">
      <c r="D4996" s="16"/>
    </row>
    <row r="4997" spans="4:4">
      <c r="D4997" s="16"/>
    </row>
    <row r="4998" spans="4:4">
      <c r="D4998" s="16"/>
    </row>
    <row r="4999" spans="4:4">
      <c r="D4999" s="16"/>
    </row>
    <row r="5000" spans="4:4">
      <c r="D5000" s="16"/>
    </row>
    <row r="5001" spans="4:4">
      <c r="D5001" s="16"/>
    </row>
    <row r="5002" spans="4:4">
      <c r="D5002" s="16"/>
    </row>
    <row r="5003" spans="4:4">
      <c r="D5003" s="16"/>
    </row>
    <row r="5004" spans="4:4">
      <c r="D5004" s="16"/>
    </row>
    <row r="5005" spans="4:4">
      <c r="D5005" s="16"/>
    </row>
    <row r="5006" spans="4:4">
      <c r="D5006" s="16"/>
    </row>
    <row r="5007" spans="4:4">
      <c r="D5007" s="16"/>
    </row>
    <row r="5008" spans="4:4">
      <c r="D5008" s="16"/>
    </row>
    <row r="5009" spans="4:4">
      <c r="D5009" s="16"/>
    </row>
    <row r="5010" spans="4:4">
      <c r="D5010" s="16"/>
    </row>
    <row r="5011" spans="4:4">
      <c r="D5011" s="16"/>
    </row>
    <row r="5012" spans="4:4">
      <c r="D5012" s="16"/>
    </row>
    <row r="5013" spans="4:4">
      <c r="D5013" s="16"/>
    </row>
    <row r="5014" spans="4:4">
      <c r="D5014" s="16"/>
    </row>
    <row r="5015" spans="4:4">
      <c r="D5015" s="16"/>
    </row>
    <row r="5016" spans="4:4">
      <c r="D5016" s="16"/>
    </row>
    <row r="5017" spans="4:4">
      <c r="D5017" s="16"/>
    </row>
    <row r="5018" spans="4:4">
      <c r="D5018" s="16"/>
    </row>
    <row r="5019" spans="4:4">
      <c r="D5019" s="16"/>
    </row>
    <row r="5020" spans="4:4">
      <c r="D5020" s="16"/>
    </row>
    <row r="5021" spans="4:4">
      <c r="D5021" s="16"/>
    </row>
    <row r="5022" spans="4:4">
      <c r="D5022" s="16"/>
    </row>
    <row r="5023" spans="4:4">
      <c r="D5023" s="16"/>
    </row>
    <row r="5024" spans="4:4">
      <c r="D5024" s="16"/>
    </row>
    <row r="5025" spans="4:4">
      <c r="D5025" s="16"/>
    </row>
    <row r="5026" spans="4:4">
      <c r="D5026" s="16"/>
    </row>
    <row r="5027" spans="4:4">
      <c r="D5027" s="16"/>
    </row>
    <row r="5028" spans="4:4">
      <c r="D5028" s="16"/>
    </row>
    <row r="5029" spans="4:4">
      <c r="D5029" s="16"/>
    </row>
    <row r="5030" spans="4:4">
      <c r="D5030" s="16"/>
    </row>
    <row r="5031" spans="4:4">
      <c r="D5031" s="16"/>
    </row>
    <row r="5032" spans="4:4">
      <c r="D5032" s="16"/>
    </row>
    <row r="5033" spans="4:4">
      <c r="D5033" s="16"/>
    </row>
    <row r="5034" spans="4:4">
      <c r="D5034" s="16"/>
    </row>
    <row r="5035" spans="4:4">
      <c r="D5035" s="16"/>
    </row>
    <row r="5036" spans="4:4">
      <c r="D5036" s="16"/>
    </row>
    <row r="5037" spans="4:4">
      <c r="D5037" s="16"/>
    </row>
    <row r="5038" spans="4:4">
      <c r="D5038" s="16"/>
    </row>
    <row r="5039" spans="4:4">
      <c r="D5039" s="16"/>
    </row>
    <row r="5040" spans="4:4">
      <c r="D5040" s="16"/>
    </row>
    <row r="5041" spans="4:4">
      <c r="D5041" s="16"/>
    </row>
    <row r="5042" spans="4:4">
      <c r="D5042" s="16"/>
    </row>
    <row r="5043" spans="4:4">
      <c r="D5043" s="16"/>
    </row>
    <row r="5044" spans="4:4">
      <c r="D5044" s="16"/>
    </row>
    <row r="5045" spans="4:4">
      <c r="D5045" s="16"/>
    </row>
    <row r="5046" spans="4:4">
      <c r="D5046" s="16"/>
    </row>
    <row r="5047" spans="4:4">
      <c r="D5047" s="16"/>
    </row>
    <row r="5048" spans="4:4">
      <c r="D5048" s="16"/>
    </row>
    <row r="5049" spans="4:4">
      <c r="D5049" s="16"/>
    </row>
    <row r="5050" spans="4:4">
      <c r="D5050" s="16"/>
    </row>
    <row r="5051" spans="4:4">
      <c r="D5051" s="16"/>
    </row>
    <row r="5052" spans="4:4">
      <c r="D5052" s="16"/>
    </row>
    <row r="5053" spans="4:4">
      <c r="D5053" s="16"/>
    </row>
    <row r="5054" spans="4:4">
      <c r="D5054" s="16"/>
    </row>
    <row r="5055" spans="4:4">
      <c r="D5055" s="16"/>
    </row>
    <row r="5056" spans="4:4">
      <c r="D5056" s="16"/>
    </row>
    <row r="5057" spans="4:4">
      <c r="D5057" s="16"/>
    </row>
    <row r="5058" spans="4:4">
      <c r="D5058" s="16"/>
    </row>
    <row r="5059" spans="4:4">
      <c r="D5059" s="16"/>
    </row>
    <row r="5060" spans="4:4">
      <c r="D5060" s="16"/>
    </row>
    <row r="5061" spans="4:4">
      <c r="D5061" s="16"/>
    </row>
    <row r="5062" spans="4:4">
      <c r="D5062" s="16"/>
    </row>
    <row r="5063" spans="4:4">
      <c r="D5063" s="16"/>
    </row>
    <row r="5064" spans="4:4">
      <c r="D5064" s="16"/>
    </row>
    <row r="5065" spans="4:4">
      <c r="D5065" s="16"/>
    </row>
    <row r="5066" spans="4:4">
      <c r="D5066" s="16"/>
    </row>
    <row r="5067" spans="4:4">
      <c r="D5067" s="16"/>
    </row>
    <row r="5068" spans="4:4">
      <c r="D5068" s="16"/>
    </row>
    <row r="5069" spans="4:4">
      <c r="D5069" s="16"/>
    </row>
    <row r="5070" spans="4:4">
      <c r="D5070" s="16"/>
    </row>
    <row r="5071" spans="4:4">
      <c r="D5071" s="16"/>
    </row>
    <row r="5072" spans="4:4">
      <c r="D5072" s="16"/>
    </row>
    <row r="5073" spans="4:4">
      <c r="D5073" s="16"/>
    </row>
    <row r="5074" spans="4:4">
      <c r="D5074" s="16"/>
    </row>
    <row r="5075" spans="4:4">
      <c r="D5075" s="16"/>
    </row>
    <row r="5076" spans="4:4">
      <c r="D5076" s="16"/>
    </row>
    <row r="5077" spans="4:4">
      <c r="D5077" s="16"/>
    </row>
    <row r="5078" spans="4:4">
      <c r="D5078" s="16"/>
    </row>
    <row r="5079" spans="4:4">
      <c r="D5079" s="16"/>
    </row>
    <row r="5080" spans="4:4">
      <c r="D5080" s="16"/>
    </row>
    <row r="5081" spans="4:4">
      <c r="D5081" s="16"/>
    </row>
    <row r="5082" spans="4:4">
      <c r="D5082" s="16"/>
    </row>
    <row r="5083" spans="4:4">
      <c r="D5083" s="16"/>
    </row>
    <row r="5084" spans="4:4">
      <c r="D5084" s="16"/>
    </row>
    <row r="5085" spans="4:4">
      <c r="D5085" s="16"/>
    </row>
    <row r="5086" spans="4:4">
      <c r="D5086" s="16"/>
    </row>
    <row r="5087" spans="4:4">
      <c r="D5087" s="16"/>
    </row>
    <row r="5088" spans="4:4">
      <c r="D5088" s="16"/>
    </row>
    <row r="5089" spans="4:4">
      <c r="D5089" s="16"/>
    </row>
    <row r="5090" spans="4:4">
      <c r="D5090" s="16"/>
    </row>
    <row r="5091" spans="4:4">
      <c r="D5091" s="16"/>
    </row>
    <row r="5092" spans="4:4">
      <c r="D5092" s="16"/>
    </row>
    <row r="5093" spans="4:4">
      <c r="D5093" s="16"/>
    </row>
    <row r="5094" spans="4:4">
      <c r="D5094" s="16"/>
    </row>
    <row r="5095" spans="4:4">
      <c r="D5095" s="16"/>
    </row>
    <row r="5096" spans="4:4">
      <c r="D5096" s="16"/>
    </row>
    <row r="5097" spans="4:4">
      <c r="D5097" s="16"/>
    </row>
    <row r="5098" spans="4:4">
      <c r="D5098" s="16"/>
    </row>
    <row r="5099" spans="4:4">
      <c r="D5099" s="16"/>
    </row>
    <row r="5100" spans="4:4">
      <c r="D5100" s="16"/>
    </row>
    <row r="5101" spans="4:4">
      <c r="D5101" s="16"/>
    </row>
    <row r="5102" spans="4:4">
      <c r="D5102" s="16"/>
    </row>
    <row r="5103" spans="4:4">
      <c r="D5103" s="16"/>
    </row>
    <row r="5104" spans="4:4">
      <c r="D5104" s="16"/>
    </row>
    <row r="5105" spans="4:4">
      <c r="D5105" s="16"/>
    </row>
    <row r="5106" spans="4:4">
      <c r="D5106" s="16"/>
    </row>
    <row r="5107" spans="4:4">
      <c r="D5107" s="16"/>
    </row>
    <row r="5108" spans="4:4">
      <c r="D5108" s="16"/>
    </row>
    <row r="5109" spans="4:4">
      <c r="D5109" s="16"/>
    </row>
    <row r="5110" spans="4:4">
      <c r="D5110" s="16"/>
    </row>
    <row r="5111" spans="4:4">
      <c r="D5111" s="16"/>
    </row>
    <row r="5112" spans="4:4">
      <c r="D5112" s="16"/>
    </row>
    <row r="5113" spans="4:4">
      <c r="D5113" s="16"/>
    </row>
    <row r="5114" spans="4:4">
      <c r="D5114" s="16"/>
    </row>
    <row r="5115" spans="4:4">
      <c r="D5115" s="16"/>
    </row>
    <row r="5116" spans="4:4">
      <c r="D5116" s="16"/>
    </row>
    <row r="5117" spans="4:4">
      <c r="D5117" s="16"/>
    </row>
    <row r="5118" spans="4:4">
      <c r="D5118" s="16"/>
    </row>
    <row r="5119" spans="4:4">
      <c r="D5119" s="16"/>
    </row>
    <row r="5120" spans="4:4">
      <c r="D5120" s="16"/>
    </row>
    <row r="5121" spans="4:4">
      <c r="D5121" s="16"/>
    </row>
    <row r="5122" spans="4:4">
      <c r="D5122" s="16"/>
    </row>
    <row r="5123" spans="4:4">
      <c r="D5123" s="16"/>
    </row>
    <row r="5124" spans="4:4">
      <c r="D5124" s="16"/>
    </row>
    <row r="5125" spans="4:4">
      <c r="D5125" s="16"/>
    </row>
    <row r="5126" spans="4:4">
      <c r="D5126" s="16"/>
    </row>
    <row r="5127" spans="4:4">
      <c r="D5127" s="16"/>
    </row>
    <row r="5128" spans="4:4">
      <c r="D5128" s="16"/>
    </row>
    <row r="5129" spans="4:4">
      <c r="D5129" s="16"/>
    </row>
    <row r="5130" spans="4:4">
      <c r="D5130" s="16"/>
    </row>
    <row r="5131" spans="4:4">
      <c r="D5131" s="16"/>
    </row>
    <row r="5132" spans="4:4">
      <c r="D5132" s="16"/>
    </row>
    <row r="5133" spans="4:4">
      <c r="D5133" s="16"/>
    </row>
    <row r="5134" spans="4:4">
      <c r="D5134" s="16"/>
    </row>
    <row r="5135" spans="4:4">
      <c r="D5135" s="16"/>
    </row>
    <row r="5136" spans="4:4">
      <c r="D5136" s="16"/>
    </row>
    <row r="5137" spans="4:4">
      <c r="D5137" s="16"/>
    </row>
    <row r="5138" spans="4:4">
      <c r="D5138" s="16"/>
    </row>
    <row r="5139" spans="4:4">
      <c r="D5139" s="16"/>
    </row>
    <row r="5140" spans="4:4">
      <c r="D5140" s="16"/>
    </row>
    <row r="5141" spans="4:4">
      <c r="D5141" s="16"/>
    </row>
    <row r="5142" spans="4:4">
      <c r="D5142" s="16"/>
    </row>
    <row r="5143" spans="4:4">
      <c r="D5143" s="16"/>
    </row>
    <row r="5144" spans="4:4">
      <c r="D5144" s="16"/>
    </row>
    <row r="5145" spans="4:4">
      <c r="D5145" s="16"/>
    </row>
    <row r="5146" spans="4:4">
      <c r="D5146" s="16"/>
    </row>
    <row r="5147" spans="4:4">
      <c r="D5147" s="16"/>
    </row>
    <row r="5148" spans="4:4">
      <c r="D5148" s="16"/>
    </row>
    <row r="5149" spans="4:4">
      <c r="D5149" s="16"/>
    </row>
    <row r="5150" spans="4:4">
      <c r="D5150" s="16"/>
    </row>
    <row r="5151" spans="4:4">
      <c r="D5151" s="16"/>
    </row>
    <row r="5152" spans="4:4">
      <c r="D5152" s="16"/>
    </row>
    <row r="5153" spans="4:4">
      <c r="D5153" s="16"/>
    </row>
    <row r="5154" spans="4:4">
      <c r="D5154" s="16"/>
    </row>
    <row r="5155" spans="4:4">
      <c r="D5155" s="16"/>
    </row>
    <row r="5156" spans="4:4">
      <c r="D5156" s="16"/>
    </row>
    <row r="5157" spans="4:4">
      <c r="D5157" s="16"/>
    </row>
    <row r="5158" spans="4:4">
      <c r="D5158" s="16"/>
    </row>
    <row r="5159" spans="4:4">
      <c r="D5159" s="16"/>
    </row>
    <row r="5160" spans="4:4">
      <c r="D5160" s="16"/>
    </row>
    <row r="5161" spans="4:4">
      <c r="D5161" s="16"/>
    </row>
    <row r="5162" spans="4:4">
      <c r="D5162" s="16"/>
    </row>
    <row r="5163" spans="4:4">
      <c r="D5163" s="16"/>
    </row>
    <row r="5164" spans="4:4">
      <c r="D5164" s="16"/>
    </row>
    <row r="5165" spans="4:4">
      <c r="D5165" s="16"/>
    </row>
    <row r="5166" spans="4:4">
      <c r="D5166" s="16"/>
    </row>
    <row r="5167" spans="4:4">
      <c r="D5167" s="16"/>
    </row>
    <row r="5168" spans="4:4">
      <c r="D5168" s="16"/>
    </row>
    <row r="5169" spans="4:4">
      <c r="D5169" s="16"/>
    </row>
    <row r="5170" spans="4:4">
      <c r="D5170" s="16"/>
    </row>
    <row r="5171" spans="4:4">
      <c r="D5171" s="16"/>
    </row>
    <row r="5172" spans="4:4">
      <c r="D5172" s="16"/>
    </row>
    <row r="5173" spans="4:4">
      <c r="D5173" s="16"/>
    </row>
    <row r="5174" spans="4:4">
      <c r="D5174" s="16"/>
    </row>
    <row r="5175" spans="4:4">
      <c r="D5175" s="16"/>
    </row>
    <row r="5176" spans="4:4">
      <c r="D5176" s="16"/>
    </row>
    <row r="5177" spans="4:4">
      <c r="D5177" s="16"/>
    </row>
    <row r="5178" spans="4:4">
      <c r="D5178" s="16"/>
    </row>
    <row r="5179" spans="4:4">
      <c r="D5179" s="16"/>
    </row>
    <row r="5180" spans="4:4">
      <c r="D5180" s="16"/>
    </row>
    <row r="5181" spans="4:4">
      <c r="D5181" s="16"/>
    </row>
    <row r="5182" spans="4:4">
      <c r="D5182" s="16"/>
    </row>
    <row r="5183" spans="4:4">
      <c r="D5183" s="16"/>
    </row>
    <row r="5184" spans="4:4">
      <c r="D5184" s="16"/>
    </row>
    <row r="5185" spans="4:4">
      <c r="D5185" s="16"/>
    </row>
    <row r="5186" spans="4:4">
      <c r="D5186" s="16"/>
    </row>
    <row r="5187" spans="4:4">
      <c r="D5187" s="16"/>
    </row>
    <row r="5188" spans="4:4">
      <c r="D5188" s="16"/>
    </row>
    <row r="5189" spans="4:4">
      <c r="D5189" s="16"/>
    </row>
    <row r="5190" spans="4:4">
      <c r="D5190" s="16"/>
    </row>
    <row r="5191" spans="4:4">
      <c r="D5191" s="16"/>
    </row>
    <row r="5192" spans="4:4">
      <c r="D5192" s="16"/>
    </row>
    <row r="5193" spans="4:4">
      <c r="D5193" s="16"/>
    </row>
    <row r="5194" spans="4:4">
      <c r="D5194" s="16"/>
    </row>
    <row r="5195" spans="4:4">
      <c r="D5195" s="16"/>
    </row>
    <row r="5196" spans="4:4">
      <c r="D5196" s="16"/>
    </row>
    <row r="5197" spans="4:4">
      <c r="D5197" s="16"/>
    </row>
    <row r="5198" spans="4:4">
      <c r="D5198" s="16"/>
    </row>
    <row r="5199" spans="4:4">
      <c r="D5199" s="16"/>
    </row>
    <row r="5200" spans="4:4">
      <c r="D5200" s="16"/>
    </row>
    <row r="5201" spans="4:4">
      <c r="D5201" s="16"/>
    </row>
    <row r="5202" spans="4:4">
      <c r="D5202" s="16"/>
    </row>
    <row r="5203" spans="4:4">
      <c r="D5203" s="16"/>
    </row>
    <row r="5204" spans="4:4">
      <c r="D5204" s="16"/>
    </row>
    <row r="5205" spans="4:4">
      <c r="D5205" s="16"/>
    </row>
    <row r="5206" spans="4:4">
      <c r="D5206" s="16"/>
    </row>
    <row r="5207" spans="4:4">
      <c r="D5207" s="16"/>
    </row>
    <row r="5208" spans="4:4">
      <c r="D5208" s="16"/>
    </row>
    <row r="5209" spans="4:4">
      <c r="D5209" s="16"/>
    </row>
    <row r="5210" spans="4:4">
      <c r="D5210" s="16"/>
    </row>
    <row r="5211" spans="4:4">
      <c r="D5211" s="16"/>
    </row>
    <row r="5212" spans="4:4">
      <c r="D5212" s="16"/>
    </row>
    <row r="5213" spans="4:4">
      <c r="D5213" s="16"/>
    </row>
    <row r="5214" spans="4:4">
      <c r="D5214" s="16"/>
    </row>
    <row r="5215" spans="4:4">
      <c r="D5215" s="16"/>
    </row>
    <row r="5216" spans="4:4">
      <c r="D5216" s="16"/>
    </row>
    <row r="5217" spans="4:4">
      <c r="D5217" s="16"/>
    </row>
    <row r="5218" spans="4:4">
      <c r="D5218" s="16"/>
    </row>
    <row r="5219" spans="4:4">
      <c r="D5219" s="16"/>
    </row>
    <row r="5220" spans="4:4">
      <c r="D5220" s="16"/>
    </row>
    <row r="5221" spans="4:4">
      <c r="D5221" s="16"/>
    </row>
    <row r="5222" spans="4:4">
      <c r="D5222" s="16"/>
    </row>
    <row r="5223" spans="4:4">
      <c r="D5223" s="16"/>
    </row>
    <row r="5224" spans="4:4">
      <c r="D5224" s="16"/>
    </row>
    <row r="5225" spans="4:4">
      <c r="D5225" s="16"/>
    </row>
    <row r="5226" spans="4:4">
      <c r="D5226" s="16"/>
    </row>
    <row r="5227" spans="4:4">
      <c r="D5227" s="16"/>
    </row>
    <row r="5228" spans="4:4">
      <c r="D5228" s="16"/>
    </row>
    <row r="5229" spans="4:4">
      <c r="D5229" s="16"/>
    </row>
    <row r="5230" spans="4:4">
      <c r="D5230" s="16"/>
    </row>
    <row r="5231" spans="4:4">
      <c r="D5231" s="16"/>
    </row>
    <row r="5232" spans="4:4">
      <c r="D5232" s="16"/>
    </row>
    <row r="5233" spans="4:4">
      <c r="D5233" s="16"/>
    </row>
    <row r="5234" spans="4:4">
      <c r="D5234" s="16"/>
    </row>
    <row r="5235" spans="4:4">
      <c r="D5235" s="16"/>
    </row>
    <row r="5236" spans="4:4">
      <c r="D5236" s="16"/>
    </row>
    <row r="5237" spans="4:4">
      <c r="D5237" s="16"/>
    </row>
    <row r="5238" spans="4:4">
      <c r="D5238" s="16"/>
    </row>
    <row r="5239" spans="4:4">
      <c r="D5239" s="16"/>
    </row>
    <row r="5240" spans="4:4">
      <c r="D5240" s="16"/>
    </row>
    <row r="5241" spans="4:4">
      <c r="D5241" s="16"/>
    </row>
    <row r="5242" spans="4:4">
      <c r="D5242" s="16"/>
    </row>
    <row r="5243" spans="4:4">
      <c r="D5243" s="16"/>
    </row>
    <row r="5244" spans="4:4">
      <c r="D5244" s="16"/>
    </row>
    <row r="5245" spans="4:4">
      <c r="D5245" s="16"/>
    </row>
    <row r="5246" spans="4:4">
      <c r="D5246" s="16"/>
    </row>
    <row r="5247" spans="4:4">
      <c r="D5247" s="16"/>
    </row>
    <row r="5248" spans="4:4">
      <c r="D5248" s="16"/>
    </row>
    <row r="5249" spans="4:4">
      <c r="D5249" s="16"/>
    </row>
    <row r="5250" spans="4:4">
      <c r="D5250" s="16"/>
    </row>
    <row r="5251" spans="4:4">
      <c r="D5251" s="16"/>
    </row>
    <row r="5252" spans="4:4">
      <c r="D5252" s="16"/>
    </row>
    <row r="5253" spans="4:4">
      <c r="D5253" s="16"/>
    </row>
    <row r="5254" spans="4:4">
      <c r="D5254" s="16"/>
    </row>
    <row r="5255" spans="4:4">
      <c r="D5255" s="16"/>
    </row>
    <row r="5256" spans="4:4">
      <c r="D5256" s="16"/>
    </row>
    <row r="5257" spans="4:4">
      <c r="D5257" s="16"/>
    </row>
    <row r="5258" spans="4:4">
      <c r="D5258" s="16"/>
    </row>
    <row r="5259" spans="4:4">
      <c r="D5259" s="16"/>
    </row>
    <row r="5260" spans="4:4">
      <c r="D5260" s="16"/>
    </row>
    <row r="5261" spans="4:4">
      <c r="D5261" s="16"/>
    </row>
    <row r="5262" spans="4:4">
      <c r="D5262" s="16"/>
    </row>
    <row r="5263" spans="4:4">
      <c r="D5263" s="16"/>
    </row>
    <row r="5264" spans="4:4">
      <c r="D5264" s="16"/>
    </row>
    <row r="5265" spans="4:4">
      <c r="D5265" s="16"/>
    </row>
    <row r="5266" spans="4:4">
      <c r="D5266" s="16"/>
    </row>
    <row r="5267" spans="4:4">
      <c r="D5267" s="16"/>
    </row>
    <row r="5268" spans="4:4">
      <c r="D5268" s="16"/>
    </row>
    <row r="5269" spans="4:4">
      <c r="D5269" s="16"/>
    </row>
    <row r="5270" spans="4:4">
      <c r="D5270" s="16"/>
    </row>
    <row r="5271" spans="4:4">
      <c r="D5271" s="16"/>
    </row>
    <row r="5272" spans="4:4">
      <c r="D5272" s="16"/>
    </row>
    <row r="5273" spans="4:4">
      <c r="D5273" s="16"/>
    </row>
    <row r="5274" spans="4:4">
      <c r="D5274" s="16"/>
    </row>
    <row r="5275" spans="4:4">
      <c r="D5275" s="16"/>
    </row>
    <row r="5276" spans="4:4">
      <c r="D5276" s="16"/>
    </row>
    <row r="5277" spans="4:4">
      <c r="D5277" s="16"/>
    </row>
    <row r="5278" spans="4:4">
      <c r="D5278" s="16"/>
    </row>
    <row r="5279" spans="4:4">
      <c r="D5279" s="16"/>
    </row>
    <row r="5280" spans="4:4">
      <c r="D5280" s="16"/>
    </row>
    <row r="5281" spans="4:4">
      <c r="D5281" s="16"/>
    </row>
    <row r="5282" spans="4:4">
      <c r="D5282" s="16"/>
    </row>
    <row r="5283" spans="4:4">
      <c r="D5283" s="16"/>
    </row>
    <row r="5284" spans="4:4">
      <c r="D5284" s="16"/>
    </row>
    <row r="5285" spans="4:4">
      <c r="D5285" s="16"/>
    </row>
    <row r="5286" spans="4:4">
      <c r="D5286" s="16"/>
    </row>
    <row r="5287" spans="4:4">
      <c r="D5287" s="16"/>
    </row>
    <row r="5288" spans="4:4">
      <c r="D5288" s="16"/>
    </row>
    <row r="5289" spans="4:4">
      <c r="D5289" s="16"/>
    </row>
    <row r="5290" spans="4:4">
      <c r="D5290" s="16"/>
    </row>
    <row r="5291" spans="4:4">
      <c r="D5291" s="16"/>
    </row>
    <row r="5292" spans="4:4">
      <c r="D5292" s="16"/>
    </row>
    <row r="5293" spans="4:4">
      <c r="D5293" s="16"/>
    </row>
    <row r="5294" spans="4:4">
      <c r="D5294" s="16"/>
    </row>
    <row r="5295" spans="4:4">
      <c r="D5295" s="16"/>
    </row>
    <row r="5296" spans="4:4">
      <c r="D5296" s="16"/>
    </row>
    <row r="5297" spans="4:4">
      <c r="D5297" s="16"/>
    </row>
    <row r="5298" spans="4:4">
      <c r="D5298" s="16"/>
    </row>
    <row r="5299" spans="4:4">
      <c r="D5299" s="16"/>
    </row>
    <row r="5300" spans="4:4">
      <c r="D5300" s="16"/>
    </row>
    <row r="5301" spans="4:4">
      <c r="D5301" s="16"/>
    </row>
    <row r="5302" spans="4:4">
      <c r="D5302" s="16"/>
    </row>
    <row r="5303" spans="4:4">
      <c r="D5303" s="16"/>
    </row>
    <row r="5304" spans="4:4">
      <c r="D5304" s="16"/>
    </row>
    <row r="5305" spans="4:4">
      <c r="D5305" s="16"/>
    </row>
    <row r="5306" spans="4:4">
      <c r="D5306" s="16"/>
    </row>
    <row r="5307" spans="4:4">
      <c r="D5307" s="16"/>
    </row>
    <row r="5308" spans="4:4">
      <c r="D5308" s="16"/>
    </row>
    <row r="5309" spans="4:4">
      <c r="D5309" s="16"/>
    </row>
    <row r="5310" spans="4:4">
      <c r="D5310" s="16"/>
    </row>
    <row r="5311" spans="4:4">
      <c r="D5311" s="16"/>
    </row>
    <row r="5312" spans="4:4">
      <c r="D5312" s="16"/>
    </row>
    <row r="5313" spans="4:4">
      <c r="D5313" s="16"/>
    </row>
    <row r="5314" spans="4:4">
      <c r="D5314" s="16"/>
    </row>
    <row r="5315" spans="4:4">
      <c r="D5315" s="16"/>
    </row>
    <row r="5316" spans="4:4">
      <c r="D5316" s="16"/>
    </row>
    <row r="5317" spans="4:4">
      <c r="D5317" s="16"/>
    </row>
    <row r="5318" spans="4:4">
      <c r="D5318" s="16"/>
    </row>
    <row r="5319" spans="4:4">
      <c r="D5319" s="16"/>
    </row>
    <row r="5320" spans="4:4">
      <c r="D5320" s="16"/>
    </row>
    <row r="5321" spans="4:4">
      <c r="D5321" s="16"/>
    </row>
    <row r="5322" spans="4:4">
      <c r="D5322" s="16"/>
    </row>
    <row r="5323" spans="4:4">
      <c r="D5323" s="16"/>
    </row>
    <row r="5324" spans="4:4">
      <c r="D5324" s="16"/>
    </row>
    <row r="5325" spans="4:4">
      <c r="D5325" s="16"/>
    </row>
    <row r="5326" spans="4:4">
      <c r="D5326" s="16"/>
    </row>
    <row r="5327" spans="4:4">
      <c r="D5327" s="16"/>
    </row>
    <row r="5328" spans="4:4">
      <c r="D5328" s="16"/>
    </row>
    <row r="5329" spans="4:4">
      <c r="D5329" s="16"/>
    </row>
    <row r="5330" spans="4:4">
      <c r="D5330" s="16"/>
    </row>
    <row r="5331" spans="4:4">
      <c r="D5331" s="16"/>
    </row>
    <row r="5332" spans="4:4">
      <c r="D5332" s="16"/>
    </row>
    <row r="5333" spans="4:4">
      <c r="D5333" s="16"/>
    </row>
    <row r="5334" spans="4:4">
      <c r="D5334" s="16"/>
    </row>
    <row r="5335" spans="4:4">
      <c r="D5335" s="16"/>
    </row>
    <row r="5336" spans="4:4">
      <c r="D5336" s="16"/>
    </row>
    <row r="5337" spans="4:4">
      <c r="D5337" s="16"/>
    </row>
    <row r="5338" spans="4:4">
      <c r="D5338" s="16"/>
    </row>
    <row r="5339" spans="4:4">
      <c r="D5339" s="16"/>
    </row>
    <row r="5340" spans="4:4">
      <c r="D5340" s="16"/>
    </row>
    <row r="5341" spans="4:4">
      <c r="D5341" s="16"/>
    </row>
    <row r="5342" spans="4:4">
      <c r="D5342" s="16"/>
    </row>
    <row r="5343" spans="4:4">
      <c r="D5343" s="16"/>
    </row>
    <row r="5344" spans="4:4">
      <c r="D5344" s="16"/>
    </row>
    <row r="5345" spans="4:4">
      <c r="D5345" s="16"/>
    </row>
    <row r="5346" spans="4:4">
      <c r="D5346" s="16"/>
    </row>
    <row r="5347" spans="4:4">
      <c r="D5347" s="16"/>
    </row>
    <row r="5348" spans="4:4">
      <c r="D5348" s="16"/>
    </row>
    <row r="5349" spans="4:4">
      <c r="D5349" s="16"/>
    </row>
    <row r="5350" spans="4:4">
      <c r="D5350" s="16"/>
    </row>
    <row r="5351" spans="4:4">
      <c r="D5351" s="16"/>
    </row>
    <row r="5352" spans="4:4">
      <c r="D5352" s="16"/>
    </row>
    <row r="5353" spans="4:4">
      <c r="D5353" s="16"/>
    </row>
    <row r="5354" spans="4:4">
      <c r="D5354" s="16"/>
    </row>
    <row r="5355" spans="4:4">
      <c r="D5355" s="16"/>
    </row>
    <row r="5356" spans="4:4">
      <c r="D5356" s="16"/>
    </row>
    <row r="5357" spans="4:4">
      <c r="D5357" s="16"/>
    </row>
    <row r="5358" spans="4:4">
      <c r="D5358" s="16"/>
    </row>
    <row r="5359" spans="4:4">
      <c r="D5359" s="16"/>
    </row>
    <row r="5360" spans="4:4">
      <c r="D5360" s="16"/>
    </row>
    <row r="5361" spans="4:4">
      <c r="D5361" s="16"/>
    </row>
    <row r="5362" spans="4:4">
      <c r="D5362" s="16"/>
    </row>
    <row r="5363" spans="4:4">
      <c r="D5363" s="16"/>
    </row>
    <row r="5364" spans="4:4">
      <c r="D5364" s="16"/>
    </row>
    <row r="5365" spans="4:4">
      <c r="D5365" s="16"/>
    </row>
    <row r="5366" spans="4:4">
      <c r="D5366" s="16"/>
    </row>
    <row r="5367" spans="4:4">
      <c r="D5367" s="16"/>
    </row>
    <row r="5368" spans="4:4">
      <c r="D5368" s="16"/>
    </row>
    <row r="5369" spans="4:4">
      <c r="D5369" s="16"/>
    </row>
    <row r="5370" spans="4:4">
      <c r="D5370" s="16"/>
    </row>
    <row r="5371" spans="4:4">
      <c r="D5371" s="16"/>
    </row>
    <row r="5372" spans="4:4">
      <c r="D5372" s="16"/>
    </row>
    <row r="5373" spans="4:4">
      <c r="D5373" s="16"/>
    </row>
    <row r="5374" spans="4:4">
      <c r="D5374" s="16"/>
    </row>
    <row r="5375" spans="4:4">
      <c r="D5375" s="16"/>
    </row>
    <row r="5376" spans="4:4">
      <c r="D5376" s="16"/>
    </row>
    <row r="5377" spans="4:4">
      <c r="D5377" s="16"/>
    </row>
    <row r="5378" spans="4:4">
      <c r="D5378" s="16"/>
    </row>
    <row r="5379" spans="4:4">
      <c r="D5379" s="16"/>
    </row>
    <row r="5380" spans="4:4">
      <c r="D5380" s="16"/>
    </row>
    <row r="5381" spans="4:4">
      <c r="D5381" s="16"/>
    </row>
    <row r="5382" spans="4:4">
      <c r="D5382" s="16"/>
    </row>
    <row r="5383" spans="4:4">
      <c r="D5383" s="16"/>
    </row>
    <row r="5384" spans="4:4">
      <c r="D5384" s="16"/>
    </row>
    <row r="5385" spans="4:4">
      <c r="D5385" s="16"/>
    </row>
    <row r="5386" spans="4:4">
      <c r="D5386" s="16"/>
    </row>
    <row r="5387" spans="4:4">
      <c r="D5387" s="16"/>
    </row>
    <row r="5388" spans="4:4">
      <c r="D5388" s="16"/>
    </row>
    <row r="5389" spans="4:4">
      <c r="D5389" s="16"/>
    </row>
    <row r="5390" spans="4:4">
      <c r="D5390" s="16"/>
    </row>
    <row r="5391" spans="4:4">
      <c r="D5391" s="16"/>
    </row>
    <row r="5392" spans="4:4">
      <c r="D5392" s="16"/>
    </row>
    <row r="5393" spans="4:4">
      <c r="D5393" s="16"/>
    </row>
    <row r="5394" spans="4:4">
      <c r="D5394" s="16"/>
    </row>
    <row r="5395" spans="4:4">
      <c r="D5395" s="16"/>
    </row>
    <row r="5396" spans="4:4">
      <c r="D5396" s="16"/>
    </row>
    <row r="5397" spans="4:4">
      <c r="D5397" s="16"/>
    </row>
    <row r="5398" spans="4:4">
      <c r="D5398" s="16"/>
    </row>
    <row r="5399" spans="4:4">
      <c r="D5399" s="16"/>
    </row>
    <row r="5400" spans="4:4">
      <c r="D5400" s="16"/>
    </row>
    <row r="5401" spans="4:4">
      <c r="D5401" s="16"/>
    </row>
    <row r="5402" spans="4:4">
      <c r="D5402" s="16"/>
    </row>
    <row r="5403" spans="4:4">
      <c r="D5403" s="16"/>
    </row>
    <row r="5404" spans="4:4">
      <c r="D5404" s="16"/>
    </row>
    <row r="5405" spans="4:4">
      <c r="D5405" s="16"/>
    </row>
    <row r="5406" spans="4:4">
      <c r="D5406" s="16"/>
    </row>
    <row r="5407" spans="4:4">
      <c r="D5407" s="16"/>
    </row>
    <row r="5408" spans="4:4">
      <c r="D5408" s="16"/>
    </row>
    <row r="5409" spans="4:4">
      <c r="D5409" s="16"/>
    </row>
    <row r="5410" spans="4:4">
      <c r="D5410" s="16"/>
    </row>
    <row r="5411" spans="4:4">
      <c r="D5411" s="16"/>
    </row>
    <row r="5412" spans="4:4">
      <c r="D5412" s="16"/>
    </row>
    <row r="5413" spans="4:4">
      <c r="D5413" s="16"/>
    </row>
    <row r="5414" spans="4:4">
      <c r="D5414" s="16"/>
    </row>
    <row r="5415" spans="4:4">
      <c r="D5415" s="16"/>
    </row>
    <row r="5416" spans="4:4">
      <c r="D5416" s="16"/>
    </row>
    <row r="5417" spans="4:4">
      <c r="D5417" s="16"/>
    </row>
    <row r="5418" spans="4:4">
      <c r="D5418" s="16"/>
    </row>
    <row r="5419" spans="4:4">
      <c r="D5419" s="16"/>
    </row>
    <row r="5420" spans="4:4">
      <c r="D5420" s="16"/>
    </row>
    <row r="5421" spans="4:4">
      <c r="D5421" s="16"/>
    </row>
    <row r="5422" spans="4:4">
      <c r="D5422" s="16"/>
    </row>
    <row r="5423" spans="4:4">
      <c r="D5423" s="16"/>
    </row>
    <row r="5424" spans="4:4">
      <c r="D5424" s="16"/>
    </row>
    <row r="5425" spans="4:4">
      <c r="D5425" s="16"/>
    </row>
    <row r="5426" spans="4:4">
      <c r="D5426" s="16"/>
    </row>
    <row r="5427" spans="4:4">
      <c r="D5427" s="16"/>
    </row>
    <row r="5428" spans="4:4">
      <c r="D5428" s="16"/>
    </row>
    <row r="5429" spans="4:4">
      <c r="D5429" s="16"/>
    </row>
    <row r="5430" spans="4:4">
      <c r="D5430" s="16"/>
    </row>
    <row r="5431" spans="4:4">
      <c r="D5431" s="16"/>
    </row>
    <row r="5432" spans="4:4">
      <c r="D5432" s="16"/>
    </row>
    <row r="5433" spans="4:4">
      <c r="D5433" s="16"/>
    </row>
    <row r="5434" spans="4:4">
      <c r="D5434" s="16"/>
    </row>
    <row r="5435" spans="4:4">
      <c r="D5435" s="16"/>
    </row>
    <row r="5436" spans="4:4">
      <c r="D5436" s="16"/>
    </row>
    <row r="5437" spans="4:4">
      <c r="D5437" s="16"/>
    </row>
    <row r="5438" spans="4:4">
      <c r="D5438" s="16"/>
    </row>
    <row r="5439" spans="4:4">
      <c r="D5439" s="16"/>
    </row>
    <row r="5440" spans="4:4">
      <c r="D5440" s="16"/>
    </row>
    <row r="5441" spans="4:4">
      <c r="D5441" s="16"/>
    </row>
    <row r="5442" spans="4:4">
      <c r="D5442" s="16"/>
    </row>
    <row r="5443" spans="4:4">
      <c r="D5443" s="16"/>
    </row>
    <row r="5444" spans="4:4">
      <c r="D5444" s="16"/>
    </row>
    <row r="5445" spans="4:4">
      <c r="D5445" s="16"/>
    </row>
    <row r="5446" spans="4:4">
      <c r="D5446" s="16"/>
    </row>
    <row r="5447" spans="4:4">
      <c r="D5447" s="16"/>
    </row>
    <row r="5448" spans="4:4">
      <c r="D5448" s="16"/>
    </row>
    <row r="5449" spans="4:4">
      <c r="D5449" s="16"/>
    </row>
    <row r="5450" spans="4:4">
      <c r="D5450" s="16"/>
    </row>
    <row r="5451" spans="4:4">
      <c r="D5451" s="16"/>
    </row>
    <row r="5452" spans="4:4">
      <c r="D5452" s="16"/>
    </row>
    <row r="5453" spans="4:4">
      <c r="D5453" s="16"/>
    </row>
    <row r="5454" spans="4:4">
      <c r="D5454" s="16"/>
    </row>
    <row r="5455" spans="4:4">
      <c r="D5455" s="16"/>
    </row>
    <row r="5456" spans="4:4">
      <c r="D5456" s="16"/>
    </row>
    <row r="5457" spans="4:4">
      <c r="D5457" s="16"/>
    </row>
    <row r="5458" spans="4:4">
      <c r="D5458" s="16"/>
    </row>
    <row r="5459" spans="4:4">
      <c r="D5459" s="16"/>
    </row>
    <row r="5460" spans="4:4">
      <c r="D5460" s="16"/>
    </row>
    <row r="5461" spans="4:4">
      <c r="D5461" s="16"/>
    </row>
    <row r="5462" spans="4:4">
      <c r="D5462" s="16"/>
    </row>
    <row r="5463" spans="4:4">
      <c r="D5463" s="16"/>
    </row>
    <row r="5464" spans="4:4">
      <c r="D5464" s="16"/>
    </row>
    <row r="5465" spans="4:4">
      <c r="D5465" s="16"/>
    </row>
    <row r="5466" spans="4:4">
      <c r="D5466" s="16"/>
    </row>
    <row r="5467" spans="4:4">
      <c r="D5467" s="16"/>
    </row>
    <row r="5468" spans="4:4">
      <c r="D5468" s="16"/>
    </row>
    <row r="5469" spans="4:4">
      <c r="D5469" s="16"/>
    </row>
    <row r="5470" spans="4:4">
      <c r="D5470" s="16"/>
    </row>
    <row r="5471" spans="4:4">
      <c r="D5471" s="16"/>
    </row>
    <row r="5472" spans="4:4">
      <c r="D5472" s="16"/>
    </row>
    <row r="5473" spans="4:4">
      <c r="D5473" s="16"/>
    </row>
    <row r="5474" spans="4:4">
      <c r="D5474" s="16"/>
    </row>
    <row r="5475" spans="4:4">
      <c r="D5475" s="16"/>
    </row>
    <row r="5476" spans="4:4">
      <c r="D5476" s="16"/>
    </row>
    <row r="5477" spans="4:4">
      <c r="D5477" s="16"/>
    </row>
    <row r="5478" spans="4:4">
      <c r="D5478" s="16"/>
    </row>
    <row r="5479" spans="4:4">
      <c r="D5479" s="16"/>
    </row>
    <row r="5480" spans="4:4">
      <c r="D5480" s="16"/>
    </row>
    <row r="5481" spans="4:4">
      <c r="D5481" s="16"/>
    </row>
    <row r="5482" spans="4:4">
      <c r="D5482" s="16"/>
    </row>
    <row r="5483" spans="4:4">
      <c r="D5483" s="16"/>
    </row>
    <row r="5484" spans="4:4">
      <c r="D5484" s="16"/>
    </row>
    <row r="5485" spans="4:4">
      <c r="D5485" s="16"/>
    </row>
    <row r="5486" spans="4:4">
      <c r="D5486" s="16"/>
    </row>
    <row r="5487" spans="4:4">
      <c r="D5487" s="16"/>
    </row>
    <row r="5488" spans="4:4">
      <c r="D5488" s="16"/>
    </row>
    <row r="5489" spans="4:4">
      <c r="D5489" s="16"/>
    </row>
    <row r="5490" spans="4:4">
      <c r="D5490" s="16"/>
    </row>
    <row r="5491" spans="4:4">
      <c r="D5491" s="16"/>
    </row>
    <row r="5492" spans="4:4">
      <c r="D5492" s="16"/>
    </row>
    <row r="5493" spans="4:4">
      <c r="D5493" s="16"/>
    </row>
    <row r="5494" spans="4:4">
      <c r="D5494" s="16"/>
    </row>
    <row r="5495" spans="4:4">
      <c r="D5495" s="16"/>
    </row>
    <row r="5496" spans="4:4">
      <c r="D5496" s="16"/>
    </row>
    <row r="5497" spans="4:4">
      <c r="D5497" s="16"/>
    </row>
    <row r="5498" spans="4:4">
      <c r="D5498" s="16"/>
    </row>
    <row r="5499" spans="4:4">
      <c r="D5499" s="16"/>
    </row>
    <row r="5500" spans="4:4">
      <c r="D5500" s="16"/>
    </row>
    <row r="5501" spans="4:4">
      <c r="D5501" s="16"/>
    </row>
    <row r="5502" spans="4:4">
      <c r="D5502" s="16"/>
    </row>
    <row r="5503" spans="4:4">
      <c r="D5503" s="16"/>
    </row>
    <row r="5504" spans="4:4">
      <c r="D5504" s="16"/>
    </row>
    <row r="5505" spans="4:4">
      <c r="D5505" s="16"/>
    </row>
    <row r="5506" spans="4:4">
      <c r="D5506" s="16"/>
    </row>
    <row r="5507" spans="4:4">
      <c r="D5507" s="16"/>
    </row>
    <row r="5508" spans="4:4">
      <c r="D5508" s="16"/>
    </row>
    <row r="5509" spans="4:4">
      <c r="D5509" s="16"/>
    </row>
    <row r="5510" spans="4:4">
      <c r="D5510" s="16"/>
    </row>
    <row r="5511" spans="4:4">
      <c r="D5511" s="16"/>
    </row>
    <row r="5512" spans="4:4">
      <c r="D5512" s="16"/>
    </row>
    <row r="5513" spans="4:4">
      <c r="D5513" s="16"/>
    </row>
    <row r="5514" spans="4:4">
      <c r="D5514" s="16"/>
    </row>
    <row r="5515" spans="4:4">
      <c r="D5515" s="16"/>
    </row>
    <row r="5516" spans="4:4">
      <c r="D5516" s="16"/>
    </row>
    <row r="5517" spans="4:4">
      <c r="D5517" s="16"/>
    </row>
    <row r="5518" spans="4:4">
      <c r="D5518" s="16"/>
    </row>
    <row r="5519" spans="4:4">
      <c r="D5519" s="16"/>
    </row>
    <row r="5520" spans="4:4">
      <c r="D5520" s="16"/>
    </row>
    <row r="5521" spans="4:4">
      <c r="D5521" s="16"/>
    </row>
    <row r="5522" spans="4:4">
      <c r="D5522" s="16"/>
    </row>
    <row r="5523" spans="4:4">
      <c r="D5523" s="16"/>
    </row>
    <row r="5524" spans="4:4">
      <c r="D5524" s="16"/>
    </row>
    <row r="5525" spans="4:4">
      <c r="D5525" s="16"/>
    </row>
    <row r="5526" spans="4:4">
      <c r="D5526" s="16"/>
    </row>
    <row r="5527" spans="4:4">
      <c r="D5527" s="16"/>
    </row>
    <row r="5528" spans="4:4">
      <c r="D5528" s="16"/>
    </row>
    <row r="5529" spans="4:4">
      <c r="D5529" s="16"/>
    </row>
    <row r="5530" spans="4:4">
      <c r="D5530" s="16"/>
    </row>
    <row r="5531" spans="4:4">
      <c r="D5531" s="16"/>
    </row>
    <row r="5532" spans="4:4">
      <c r="D5532" s="16"/>
    </row>
    <row r="5533" spans="4:4">
      <c r="D5533" s="16"/>
    </row>
    <row r="5534" spans="4:4">
      <c r="D5534" s="16"/>
    </row>
    <row r="5535" spans="4:4">
      <c r="D5535" s="16"/>
    </row>
    <row r="5536" spans="4:4">
      <c r="D5536" s="16"/>
    </row>
    <row r="5537" spans="4:4">
      <c r="D5537" s="16"/>
    </row>
    <row r="5538" spans="4:4">
      <c r="D5538" s="16"/>
    </row>
    <row r="5539" spans="4:4">
      <c r="D5539" s="16"/>
    </row>
    <row r="5540" spans="4:4">
      <c r="D5540" s="16"/>
    </row>
    <row r="5541" spans="4:4">
      <c r="D5541" s="16"/>
    </row>
    <row r="5542" spans="4:4">
      <c r="D5542" s="16"/>
    </row>
    <row r="5543" spans="4:4">
      <c r="D5543" s="16"/>
    </row>
    <row r="5544" spans="4:4">
      <c r="D5544" s="16"/>
    </row>
    <row r="5545" spans="4:4">
      <c r="D5545" s="16"/>
    </row>
    <row r="5546" spans="4:4">
      <c r="D5546" s="16"/>
    </row>
    <row r="5547" spans="4:4">
      <c r="D5547" s="16"/>
    </row>
    <row r="5548" spans="4:4">
      <c r="D5548" s="16"/>
    </row>
    <row r="5549" spans="4:4">
      <c r="D5549" s="16"/>
    </row>
    <row r="5550" spans="4:4">
      <c r="D5550" s="16"/>
    </row>
    <row r="5551" spans="4:4">
      <c r="D5551" s="16"/>
    </row>
    <row r="5552" spans="4:4">
      <c r="D5552" s="16"/>
    </row>
    <row r="5553" spans="4:4">
      <c r="D5553" s="16"/>
    </row>
    <row r="5554" spans="4:4">
      <c r="D5554" s="16"/>
    </row>
    <row r="5555" spans="4:4">
      <c r="D5555" s="16"/>
    </row>
    <row r="5556" spans="4:4">
      <c r="D5556" s="16"/>
    </row>
    <row r="5557" spans="4:4">
      <c r="D5557" s="16"/>
    </row>
    <row r="5558" spans="4:4">
      <c r="D5558" s="16"/>
    </row>
    <row r="5559" spans="4:4">
      <c r="D5559" s="16"/>
    </row>
    <row r="5560" spans="4:4">
      <c r="D5560" s="16"/>
    </row>
    <row r="5561" spans="4:4">
      <c r="D5561" s="16"/>
    </row>
    <row r="5562" spans="4:4">
      <c r="D5562" s="16"/>
    </row>
    <row r="5563" spans="4:4">
      <c r="D5563" s="16"/>
    </row>
    <row r="5564" spans="4:4">
      <c r="D5564" s="16"/>
    </row>
    <row r="5565" spans="4:4">
      <c r="D5565" s="16"/>
    </row>
    <row r="5566" spans="4:4">
      <c r="D5566" s="16"/>
    </row>
    <row r="5567" spans="4:4">
      <c r="D5567" s="16"/>
    </row>
    <row r="5568" spans="4:4">
      <c r="D5568" s="16"/>
    </row>
    <row r="5569" spans="4:4">
      <c r="D5569" s="16"/>
    </row>
    <row r="5570" spans="4:4">
      <c r="D5570" s="16"/>
    </row>
    <row r="5571" spans="4:4">
      <c r="D5571" s="16"/>
    </row>
    <row r="5572" spans="4:4">
      <c r="D5572" s="16"/>
    </row>
    <row r="5573" spans="4:4">
      <c r="D5573" s="16"/>
    </row>
    <row r="5574" spans="4:4">
      <c r="D5574" s="16"/>
    </row>
    <row r="5575" spans="4:4">
      <c r="D5575" s="16"/>
    </row>
    <row r="5576" spans="4:4">
      <c r="D5576" s="16"/>
    </row>
    <row r="5577" spans="4:4">
      <c r="D5577" s="16"/>
    </row>
    <row r="5578" spans="4:4">
      <c r="D5578" s="16"/>
    </row>
    <row r="5579" spans="4:4">
      <c r="D5579" s="16"/>
    </row>
    <row r="5580" spans="4:4">
      <c r="D5580" s="16"/>
    </row>
    <row r="5581" spans="4:4">
      <c r="D5581" s="16"/>
    </row>
    <row r="5582" spans="4:4">
      <c r="D5582" s="16"/>
    </row>
    <row r="5583" spans="4:4">
      <c r="D5583" s="16"/>
    </row>
    <row r="5584" spans="4:4">
      <c r="D5584" s="16"/>
    </row>
    <row r="5585" spans="4:4">
      <c r="D5585" s="16"/>
    </row>
    <row r="5586" spans="4:4">
      <c r="D5586" s="16"/>
    </row>
    <row r="5587" spans="4:4">
      <c r="D5587" s="16"/>
    </row>
    <row r="5588" spans="4:4">
      <c r="D5588" s="16"/>
    </row>
    <row r="5589" spans="4:4">
      <c r="D5589" s="16"/>
    </row>
    <row r="5590" spans="4:4">
      <c r="D5590" s="16"/>
    </row>
    <row r="5591" spans="4:4">
      <c r="D5591" s="16"/>
    </row>
    <row r="5592" spans="4:4">
      <c r="D5592" s="16"/>
    </row>
    <row r="5593" spans="4:4">
      <c r="D5593" s="16"/>
    </row>
    <row r="5594" spans="4:4">
      <c r="D5594" s="16"/>
    </row>
    <row r="5595" spans="4:4">
      <c r="D5595" s="16"/>
    </row>
    <row r="5596" spans="4:4">
      <c r="D5596" s="16"/>
    </row>
    <row r="5597" spans="4:4">
      <c r="D5597" s="16"/>
    </row>
    <row r="5598" spans="4:4">
      <c r="D5598" s="16"/>
    </row>
    <row r="5599" spans="4:4">
      <c r="D5599" s="16"/>
    </row>
    <row r="5600" spans="4:4">
      <c r="D5600" s="16"/>
    </row>
    <row r="5601" spans="4:4">
      <c r="D5601" s="16"/>
    </row>
    <row r="5602" spans="4:4">
      <c r="D5602" s="16"/>
    </row>
    <row r="5603" spans="4:4">
      <c r="D5603" s="16"/>
    </row>
    <row r="5604" spans="4:4">
      <c r="D5604" s="16"/>
    </row>
    <row r="5605" spans="4:4">
      <c r="D5605" s="16"/>
    </row>
    <row r="5606" spans="4:4">
      <c r="D5606" s="16"/>
    </row>
    <row r="5607" spans="4:4">
      <c r="D5607" s="16"/>
    </row>
    <row r="5608" spans="4:4">
      <c r="D5608" s="16"/>
    </row>
    <row r="5609" spans="4:4">
      <c r="D5609" s="16"/>
    </row>
    <row r="5610" spans="4:4">
      <c r="D5610" s="16"/>
    </row>
    <row r="5611" spans="4:4">
      <c r="D5611" s="16"/>
    </row>
    <row r="5612" spans="4:4">
      <c r="D5612" s="16"/>
    </row>
    <row r="5613" spans="4:4">
      <c r="D5613" s="16"/>
    </row>
    <row r="5614" spans="4:4">
      <c r="D5614" s="16"/>
    </row>
    <row r="5615" spans="4:4">
      <c r="D5615" s="16"/>
    </row>
    <row r="5616" spans="4:4">
      <c r="D5616" s="16"/>
    </row>
    <row r="5617" spans="4:4">
      <c r="D5617" s="16"/>
    </row>
    <row r="5618" spans="4:4">
      <c r="D5618" s="16"/>
    </row>
    <row r="5619" spans="4:4">
      <c r="D5619" s="16"/>
    </row>
    <row r="5620" spans="4:4">
      <c r="D5620" s="16"/>
    </row>
    <row r="5621" spans="4:4">
      <c r="D5621" s="16"/>
    </row>
    <row r="5622" spans="4:4">
      <c r="D5622" s="16"/>
    </row>
    <row r="5623" spans="4:4">
      <c r="D5623" s="16"/>
    </row>
    <row r="5624" spans="4:4">
      <c r="D5624" s="16"/>
    </row>
    <row r="5625" spans="4:4">
      <c r="D5625" s="16"/>
    </row>
    <row r="5626" spans="4:4">
      <c r="D5626" s="16"/>
    </row>
    <row r="5627" spans="4:4">
      <c r="D5627" s="16"/>
    </row>
    <row r="5628" spans="4:4">
      <c r="D5628" s="16"/>
    </row>
    <row r="5629" spans="4:4">
      <c r="D5629" s="16"/>
    </row>
    <row r="5630" spans="4:4">
      <c r="D5630" s="16"/>
    </row>
    <row r="5631" spans="4:4">
      <c r="D5631" s="16"/>
    </row>
    <row r="5632" spans="4:4">
      <c r="D5632" s="16"/>
    </row>
    <row r="5633" spans="4:4">
      <c r="D5633" s="16"/>
    </row>
    <row r="5634" spans="4:4">
      <c r="D5634" s="16"/>
    </row>
    <row r="5635" spans="4:4">
      <c r="D5635" s="16"/>
    </row>
    <row r="5636" spans="4:4">
      <c r="D5636" s="16"/>
    </row>
    <row r="5637" spans="4:4">
      <c r="D5637" s="16"/>
    </row>
    <row r="5638" spans="4:4">
      <c r="D5638" s="16"/>
    </row>
    <row r="5639" spans="4:4">
      <c r="D5639" s="16"/>
    </row>
    <row r="5640" spans="4:4">
      <c r="D5640" s="16"/>
    </row>
    <row r="5641" spans="4:4">
      <c r="D5641" s="16"/>
    </row>
    <row r="5642" spans="4:4">
      <c r="D5642" s="16"/>
    </row>
    <row r="5643" spans="4:4">
      <c r="D5643" s="16"/>
    </row>
    <row r="5644" spans="4:4">
      <c r="D5644" s="16"/>
    </row>
    <row r="5645" spans="4:4">
      <c r="D5645" s="16"/>
    </row>
    <row r="5646" spans="4:4">
      <c r="D5646" s="16"/>
    </row>
    <row r="5647" spans="4:4">
      <c r="D5647" s="16"/>
    </row>
    <row r="5648" spans="4:4">
      <c r="D5648" s="16"/>
    </row>
    <row r="5649" spans="4:4">
      <c r="D5649" s="16"/>
    </row>
    <row r="5650" spans="4:4">
      <c r="D5650" s="16"/>
    </row>
    <row r="5651" spans="4:4">
      <c r="D5651" s="16"/>
    </row>
    <row r="5652" spans="4:4">
      <c r="D5652" s="16"/>
    </row>
    <row r="5653" spans="4:4">
      <c r="D5653" s="16"/>
    </row>
    <row r="5654" spans="4:4">
      <c r="D5654" s="16"/>
    </row>
    <row r="5655" spans="4:4">
      <c r="D5655" s="16"/>
    </row>
    <row r="5656" spans="4:4">
      <c r="D5656" s="16"/>
    </row>
    <row r="5657" spans="4:4">
      <c r="D5657" s="16"/>
    </row>
    <row r="5658" spans="4:4">
      <c r="D5658" s="16"/>
    </row>
    <row r="5659" spans="4:4">
      <c r="D5659" s="16"/>
    </row>
    <row r="5660" spans="4:4">
      <c r="D5660" s="16"/>
    </row>
    <row r="5661" spans="4:4">
      <c r="D5661" s="16"/>
    </row>
    <row r="5662" spans="4:4">
      <c r="D5662" s="16"/>
    </row>
    <row r="5663" spans="4:4">
      <c r="D5663" s="16"/>
    </row>
    <row r="5664" spans="4:4">
      <c r="D5664" s="16"/>
    </row>
    <row r="5665" spans="4:4">
      <c r="D5665" s="16"/>
    </row>
    <row r="5666" spans="4:4">
      <c r="D5666" s="16"/>
    </row>
    <row r="5667" spans="4:4">
      <c r="D5667" s="16"/>
    </row>
    <row r="5668" spans="4:4">
      <c r="D5668" s="16"/>
    </row>
    <row r="5669" spans="4:4">
      <c r="D5669" s="16"/>
    </row>
    <row r="5670" spans="4:4">
      <c r="D5670" s="16"/>
    </row>
    <row r="5671" spans="4:4">
      <c r="D5671" s="16"/>
    </row>
    <row r="5672" spans="4:4">
      <c r="D5672" s="16"/>
    </row>
    <row r="5673" spans="4:4">
      <c r="D5673" s="16"/>
    </row>
    <row r="5674" spans="4:4">
      <c r="D5674" s="16"/>
    </row>
    <row r="5675" spans="4:4">
      <c r="D5675" s="16"/>
    </row>
    <row r="5676" spans="4:4">
      <c r="D5676" s="16"/>
    </row>
    <row r="5677" spans="4:4">
      <c r="D5677" s="16"/>
    </row>
    <row r="5678" spans="4:4">
      <c r="D5678" s="16"/>
    </row>
    <row r="5679" spans="4:4">
      <c r="D5679" s="16"/>
    </row>
    <row r="5680" spans="4:4">
      <c r="D5680" s="16"/>
    </row>
    <row r="5681" spans="4:4">
      <c r="D5681" s="16"/>
    </row>
    <row r="5682" spans="4:4">
      <c r="D5682" s="16"/>
    </row>
    <row r="5683" spans="4:4">
      <c r="D5683" s="16"/>
    </row>
    <row r="5684" spans="4:4">
      <c r="D5684" s="16"/>
    </row>
    <row r="5685" spans="4:4">
      <c r="D5685" s="16"/>
    </row>
    <row r="5686" spans="4:4">
      <c r="D5686" s="16"/>
    </row>
    <row r="5687" spans="4:4">
      <c r="D5687" s="16"/>
    </row>
    <row r="5688" spans="4:4">
      <c r="D5688" s="16"/>
    </row>
    <row r="5689" spans="4:4">
      <c r="D5689" s="16"/>
    </row>
    <row r="5690" spans="4:4">
      <c r="D5690" s="16"/>
    </row>
    <row r="5691" spans="4:4">
      <c r="D5691" s="16"/>
    </row>
    <row r="5692" spans="4:4">
      <c r="D5692" s="16"/>
    </row>
    <row r="5693" spans="4:4">
      <c r="D5693" s="16"/>
    </row>
    <row r="5694" spans="4:4">
      <c r="D5694" s="16"/>
    </row>
    <row r="5695" spans="4:4">
      <c r="D5695" s="16"/>
    </row>
    <row r="5696" spans="4:4">
      <c r="D5696" s="16"/>
    </row>
    <row r="5697" spans="4:4">
      <c r="D5697" s="16"/>
    </row>
    <row r="5698" spans="4:4">
      <c r="D5698" s="16"/>
    </row>
    <row r="5699" spans="4:4">
      <c r="D5699" s="16"/>
    </row>
    <row r="5700" spans="4:4">
      <c r="D5700" s="16"/>
    </row>
    <row r="5701" spans="4:4">
      <c r="D5701" s="16"/>
    </row>
    <row r="5702" spans="4:4">
      <c r="D5702" s="16"/>
    </row>
    <row r="5703" spans="4:4">
      <c r="D5703" s="16"/>
    </row>
    <row r="5704" spans="4:4">
      <c r="D5704" s="16"/>
    </row>
    <row r="5705" spans="4:4">
      <c r="D5705" s="16"/>
    </row>
    <row r="5706" spans="4:4">
      <c r="D5706" s="16"/>
    </row>
    <row r="5707" spans="4:4">
      <c r="D5707" s="16"/>
    </row>
    <row r="5708" spans="4:4">
      <c r="D5708" s="16"/>
    </row>
    <row r="5709" spans="4:4">
      <c r="D5709" s="16"/>
    </row>
    <row r="5710" spans="4:4">
      <c r="D5710" s="16"/>
    </row>
    <row r="5711" spans="4:4">
      <c r="D5711" s="16"/>
    </row>
    <row r="5712" spans="4:4">
      <c r="D5712" s="16"/>
    </row>
    <row r="5713" spans="4:4">
      <c r="D5713" s="16"/>
    </row>
    <row r="5714" spans="4:4">
      <c r="D5714" s="16"/>
    </row>
    <row r="5715" spans="4:4">
      <c r="D5715" s="16"/>
    </row>
    <row r="5716" spans="4:4">
      <c r="D5716" s="16"/>
    </row>
    <row r="5717" spans="4:4">
      <c r="D5717" s="16"/>
    </row>
    <row r="5718" spans="4:4">
      <c r="D5718" s="16"/>
    </row>
    <row r="5719" spans="4:4">
      <c r="D5719" s="16"/>
    </row>
    <row r="5720" spans="4:4">
      <c r="D5720" s="16"/>
    </row>
    <row r="5721" spans="4:4">
      <c r="D5721" s="16"/>
    </row>
    <row r="5722" spans="4:4">
      <c r="D5722" s="16"/>
    </row>
    <row r="5723" spans="4:4">
      <c r="D5723" s="16"/>
    </row>
    <row r="5724" spans="4:4">
      <c r="D5724" s="16"/>
    </row>
    <row r="5725" spans="4:4">
      <c r="D5725" s="16"/>
    </row>
    <row r="5726" spans="4:4">
      <c r="D5726" s="16"/>
    </row>
    <row r="5727" spans="4:4">
      <c r="D5727" s="16"/>
    </row>
    <row r="5728" spans="4:4">
      <c r="D5728" s="16"/>
    </row>
    <row r="5729" spans="4:4">
      <c r="D5729" s="16"/>
    </row>
    <row r="5730" spans="4:4">
      <c r="D5730" s="16"/>
    </row>
    <row r="5731" spans="4:4">
      <c r="D5731" s="16"/>
    </row>
    <row r="5732" spans="4:4">
      <c r="D5732" s="16"/>
    </row>
    <row r="5733" spans="4:4">
      <c r="D5733" s="16"/>
    </row>
    <row r="5734" spans="4:4">
      <c r="D5734" s="16"/>
    </row>
    <row r="5735" spans="4:4">
      <c r="D5735" s="16"/>
    </row>
    <row r="5736" spans="4:4">
      <c r="D5736" s="16"/>
    </row>
    <row r="5737" spans="4:4">
      <c r="D5737" s="16"/>
    </row>
    <row r="5738" spans="4:4">
      <c r="D5738" s="16"/>
    </row>
    <row r="5739" spans="4:4">
      <c r="D5739" s="16"/>
    </row>
    <row r="5740" spans="4:4">
      <c r="D5740" s="16"/>
    </row>
    <row r="5741" spans="4:4">
      <c r="D5741" s="16"/>
    </row>
    <row r="5742" spans="4:4">
      <c r="D5742" s="16"/>
    </row>
    <row r="5743" spans="4:4">
      <c r="D5743" s="16"/>
    </row>
    <row r="5744" spans="4:4">
      <c r="D5744" s="16"/>
    </row>
    <row r="5745" spans="4:4">
      <c r="D5745" s="16"/>
    </row>
    <row r="5746" spans="4:4">
      <c r="D5746" s="16"/>
    </row>
    <row r="5747" spans="4:4">
      <c r="D5747" s="16"/>
    </row>
    <row r="5748" spans="4:4">
      <c r="D5748" s="16"/>
    </row>
    <row r="5749" spans="4:4">
      <c r="D5749" s="16"/>
    </row>
    <row r="5750" spans="4:4">
      <c r="D5750" s="16"/>
    </row>
    <row r="5751" spans="4:4">
      <c r="D5751" s="16"/>
    </row>
    <row r="5752" spans="4:4">
      <c r="D5752" s="16"/>
    </row>
    <row r="5753" spans="4:4">
      <c r="D5753" s="16"/>
    </row>
    <row r="5754" spans="4:4">
      <c r="D5754" s="16"/>
    </row>
    <row r="5755" spans="4:4">
      <c r="D5755" s="16"/>
    </row>
    <row r="5756" spans="4:4">
      <c r="D5756" s="16"/>
    </row>
    <row r="5757" spans="4:4">
      <c r="D5757" s="16"/>
    </row>
    <row r="5758" spans="4:4">
      <c r="D5758" s="16"/>
    </row>
    <row r="5759" spans="4:4">
      <c r="D5759" s="16"/>
    </row>
    <row r="5760" spans="4:4">
      <c r="D5760" s="16"/>
    </row>
    <row r="5761" spans="4:4">
      <c r="D5761" s="16"/>
    </row>
    <row r="5762" spans="4:4">
      <c r="D5762" s="16"/>
    </row>
    <row r="5763" spans="4:4">
      <c r="D5763" s="16"/>
    </row>
    <row r="5764" spans="4:4">
      <c r="D5764" s="16"/>
    </row>
    <row r="5765" spans="4:4">
      <c r="D5765" s="16"/>
    </row>
    <row r="5766" spans="4:4">
      <c r="D5766" s="16"/>
    </row>
    <row r="5767" spans="4:4">
      <c r="D5767" s="16"/>
    </row>
    <row r="5768" spans="4:4">
      <c r="D5768" s="16"/>
    </row>
    <row r="5769" spans="4:4">
      <c r="D5769" s="16"/>
    </row>
    <row r="5770" spans="4:4">
      <c r="D5770" s="16"/>
    </row>
    <row r="5771" spans="4:4">
      <c r="D5771" s="16"/>
    </row>
    <row r="5772" spans="4:4">
      <c r="D5772" s="16"/>
    </row>
    <row r="5773" spans="4:4">
      <c r="D5773" s="16"/>
    </row>
    <row r="5774" spans="4:4">
      <c r="D5774" s="16"/>
    </row>
    <row r="5775" spans="4:4">
      <c r="D5775" s="16"/>
    </row>
    <row r="5776" spans="4:4">
      <c r="D5776" s="16"/>
    </row>
    <row r="5777" spans="4:4">
      <c r="D5777" s="16"/>
    </row>
    <row r="5778" spans="4:4">
      <c r="D5778" s="16"/>
    </row>
    <row r="5779" spans="4:4">
      <c r="D5779" s="16"/>
    </row>
    <row r="5780" spans="4:4">
      <c r="D5780" s="16"/>
    </row>
    <row r="5781" spans="4:4">
      <c r="D5781" s="16"/>
    </row>
    <row r="5782" spans="4:4">
      <c r="D5782" s="16"/>
    </row>
    <row r="5783" spans="4:4">
      <c r="D5783" s="16"/>
    </row>
    <row r="5784" spans="4:4">
      <c r="D5784" s="16"/>
    </row>
    <row r="5785" spans="4:4">
      <c r="D5785" s="16"/>
    </row>
    <row r="5786" spans="4:4">
      <c r="D5786" s="16"/>
    </row>
    <row r="5787" spans="4:4">
      <c r="D5787" s="16"/>
    </row>
    <row r="5788" spans="4:4">
      <c r="D5788" s="16"/>
    </row>
    <row r="5789" spans="4:4">
      <c r="D5789" s="16"/>
    </row>
    <row r="5790" spans="4:4">
      <c r="D5790" s="16"/>
    </row>
    <row r="5791" spans="4:4">
      <c r="D5791" s="16"/>
    </row>
    <row r="5792" spans="4:4">
      <c r="D5792" s="16"/>
    </row>
    <row r="5793" spans="4:4">
      <c r="D5793" s="16"/>
    </row>
    <row r="5794" spans="4:4">
      <c r="D5794" s="16"/>
    </row>
    <row r="5795" spans="4:4">
      <c r="D5795" s="16"/>
    </row>
    <row r="5796" spans="4:4">
      <c r="D5796" s="16"/>
    </row>
    <row r="5797" spans="4:4">
      <c r="D5797" s="16"/>
    </row>
    <row r="5798" spans="4:4">
      <c r="D5798" s="16"/>
    </row>
    <row r="5799" spans="4:4">
      <c r="D5799" s="16"/>
    </row>
    <row r="5800" spans="4:4">
      <c r="D5800" s="16"/>
    </row>
    <row r="5801" spans="4:4">
      <c r="D5801" s="16"/>
    </row>
    <row r="5802" spans="4:4">
      <c r="D5802" s="16"/>
    </row>
    <row r="5803" spans="4:4">
      <c r="D5803" s="16"/>
    </row>
    <row r="5804" spans="4:4">
      <c r="D5804" s="16"/>
    </row>
    <row r="5805" spans="4:4">
      <c r="D5805" s="16"/>
    </row>
    <row r="5806" spans="4:4">
      <c r="D5806" s="16"/>
    </row>
    <row r="5807" spans="4:4">
      <c r="D5807" s="16"/>
    </row>
    <row r="5808" spans="4:4">
      <c r="D5808" s="16"/>
    </row>
    <row r="5809" spans="4:4">
      <c r="D5809" s="16"/>
    </row>
    <row r="5810" spans="4:4">
      <c r="D5810" s="16"/>
    </row>
    <row r="5811" spans="4:4">
      <c r="D5811" s="16"/>
    </row>
    <row r="5812" spans="4:4">
      <c r="D5812" s="16"/>
    </row>
    <row r="5813" spans="4:4">
      <c r="D5813" s="16"/>
    </row>
    <row r="5814" spans="4:4">
      <c r="D5814" s="16"/>
    </row>
    <row r="5815" spans="4:4">
      <c r="D5815" s="16"/>
    </row>
    <row r="5816" spans="4:4">
      <c r="D5816" s="16"/>
    </row>
    <row r="5817" spans="4:4">
      <c r="D5817" s="16"/>
    </row>
    <row r="5818" spans="4:4">
      <c r="D5818" s="16"/>
    </row>
    <row r="5819" spans="4:4">
      <c r="D5819" s="16"/>
    </row>
    <row r="5820" spans="4:4">
      <c r="D5820" s="16"/>
    </row>
    <row r="5821" spans="4:4">
      <c r="D5821" s="16"/>
    </row>
    <row r="5822" spans="4:4">
      <c r="D5822" s="16"/>
    </row>
    <row r="5823" spans="4:4">
      <c r="D5823" s="16"/>
    </row>
    <row r="5824" spans="4:4">
      <c r="D5824" s="16"/>
    </row>
    <row r="5825" spans="4:4">
      <c r="D5825" s="16"/>
    </row>
    <row r="5826" spans="4:4">
      <c r="D5826" s="16"/>
    </row>
    <row r="5827" spans="4:4">
      <c r="D5827" s="16"/>
    </row>
    <row r="5828" spans="4:4">
      <c r="D5828" s="16"/>
    </row>
    <row r="5829" spans="4:4">
      <c r="D5829" s="16"/>
    </row>
    <row r="5830" spans="4:4">
      <c r="D5830" s="16"/>
    </row>
    <row r="5831" spans="4:4">
      <c r="D5831" s="16"/>
    </row>
    <row r="5832" spans="4:4">
      <c r="D5832" s="16"/>
    </row>
    <row r="5833" spans="4:4">
      <c r="D5833" s="16"/>
    </row>
    <row r="5834" spans="4:4">
      <c r="D5834" s="16"/>
    </row>
    <row r="5835" spans="4:4">
      <c r="D5835" s="16"/>
    </row>
    <row r="5836" spans="4:4">
      <c r="D5836" s="16"/>
    </row>
    <row r="5837" spans="4:4">
      <c r="D5837" s="16"/>
    </row>
    <row r="5838" spans="4:4">
      <c r="D5838" s="16"/>
    </row>
    <row r="5839" spans="4:4">
      <c r="D5839" s="16"/>
    </row>
    <row r="5840" spans="4:4">
      <c r="D5840" s="16"/>
    </row>
    <row r="5841" spans="4:4">
      <c r="D5841" s="16"/>
    </row>
    <row r="5842" spans="4:4">
      <c r="D5842" s="16"/>
    </row>
    <row r="5843" spans="4:4">
      <c r="D5843" s="16"/>
    </row>
    <row r="5844" spans="4:4">
      <c r="D5844" s="16"/>
    </row>
    <row r="5845" spans="4:4">
      <c r="D5845" s="16"/>
    </row>
    <row r="5846" spans="4:4">
      <c r="D5846" s="16"/>
    </row>
    <row r="5847" spans="4:4">
      <c r="D5847" s="16"/>
    </row>
    <row r="5848" spans="4:4">
      <c r="D5848" s="16"/>
    </row>
    <row r="5849" spans="4:4">
      <c r="D5849" s="16"/>
    </row>
    <row r="5850" spans="4:4">
      <c r="D5850" s="16"/>
    </row>
    <row r="5851" spans="4:4">
      <c r="D5851" s="16"/>
    </row>
    <row r="5852" spans="4:4">
      <c r="D5852" s="16"/>
    </row>
    <row r="5853" spans="4:4">
      <c r="D5853" s="16"/>
    </row>
    <row r="5854" spans="4:4">
      <c r="D5854" s="16"/>
    </row>
    <row r="5855" spans="4:4">
      <c r="D5855" s="16"/>
    </row>
    <row r="5856" spans="4:4">
      <c r="D5856" s="16"/>
    </row>
    <row r="5857" spans="4:4">
      <c r="D5857" s="16"/>
    </row>
    <row r="5858" spans="4:4">
      <c r="D5858" s="16"/>
    </row>
    <row r="5859" spans="4:4">
      <c r="D5859" s="16"/>
    </row>
    <row r="5860" spans="4:4">
      <c r="D5860" s="16"/>
    </row>
    <row r="5861" spans="4:4">
      <c r="D5861" s="16"/>
    </row>
    <row r="5862" spans="4:4">
      <c r="D5862" s="16"/>
    </row>
    <row r="5863" spans="4:4">
      <c r="D5863" s="16"/>
    </row>
    <row r="5864" spans="4:4">
      <c r="D5864" s="16"/>
    </row>
    <row r="5865" spans="4:4">
      <c r="D5865" s="16"/>
    </row>
    <row r="5866" spans="4:4">
      <c r="D5866" s="16"/>
    </row>
    <row r="5867" spans="4:4">
      <c r="D5867" s="16"/>
    </row>
    <row r="5868" spans="4:4">
      <c r="D5868" s="16"/>
    </row>
    <row r="5869" spans="4:4">
      <c r="D5869" s="16"/>
    </row>
    <row r="5870" spans="4:4">
      <c r="D5870" s="16"/>
    </row>
    <row r="5871" spans="4:4">
      <c r="D5871" s="16"/>
    </row>
    <row r="5872" spans="4:4">
      <c r="D5872" s="16"/>
    </row>
    <row r="5873" spans="4:4">
      <c r="D5873" s="16"/>
    </row>
    <row r="5874" spans="4:4">
      <c r="D5874" s="16"/>
    </row>
    <row r="5875" spans="4:4">
      <c r="D5875" s="16"/>
    </row>
    <row r="5876" spans="4:4">
      <c r="D5876" s="16"/>
    </row>
    <row r="5877" spans="4:4">
      <c r="D5877" s="16"/>
    </row>
    <row r="5878" spans="4:4">
      <c r="D5878" s="16"/>
    </row>
    <row r="5879" spans="4:4">
      <c r="D5879" s="16"/>
    </row>
    <row r="5880" spans="4:4">
      <c r="D5880" s="16"/>
    </row>
    <row r="5881" spans="4:4">
      <c r="D5881" s="16"/>
    </row>
    <row r="5882" spans="4:4">
      <c r="D5882" s="16"/>
    </row>
    <row r="5883" spans="4:4">
      <c r="D5883" s="16"/>
    </row>
    <row r="5884" spans="4:4">
      <c r="D5884" s="16"/>
    </row>
    <row r="5885" spans="4:4">
      <c r="D5885" s="16"/>
    </row>
    <row r="5886" spans="4:4">
      <c r="D5886" s="16"/>
    </row>
    <row r="5887" spans="4:4">
      <c r="D5887" s="16"/>
    </row>
    <row r="5888" spans="4:4">
      <c r="D5888" s="16"/>
    </row>
    <row r="5889" spans="4:4">
      <c r="D5889" s="16"/>
    </row>
    <row r="5890" spans="4:4">
      <c r="D5890" s="16"/>
    </row>
    <row r="5891" spans="4:4">
      <c r="D5891" s="16"/>
    </row>
    <row r="5892" spans="4:4">
      <c r="D5892" s="16"/>
    </row>
    <row r="5893" spans="4:4">
      <c r="D5893" s="16"/>
    </row>
    <row r="5894" spans="4:4">
      <c r="D5894" s="16"/>
    </row>
    <row r="5895" spans="4:4">
      <c r="D5895" s="16"/>
    </row>
    <row r="5896" spans="4:4">
      <c r="D5896" s="16"/>
    </row>
    <row r="5897" spans="4:4">
      <c r="D5897" s="16"/>
    </row>
    <row r="5898" spans="4:4">
      <c r="D5898" s="16"/>
    </row>
    <row r="5899" spans="4:4">
      <c r="D5899" s="16"/>
    </row>
    <row r="5900" spans="4:4">
      <c r="D5900" s="16"/>
    </row>
    <row r="5901" spans="4:4">
      <c r="D5901" s="16"/>
    </row>
    <row r="5902" spans="4:4">
      <c r="D5902" s="16"/>
    </row>
    <row r="5903" spans="4:4">
      <c r="D5903" s="16"/>
    </row>
    <row r="5904" spans="4:4">
      <c r="D5904" s="16"/>
    </row>
    <row r="5905" spans="4:4">
      <c r="D5905" s="16"/>
    </row>
    <row r="5906" spans="4:4">
      <c r="D5906" s="16"/>
    </row>
    <row r="5907" spans="4:4">
      <c r="D5907" s="16"/>
    </row>
    <row r="5908" spans="4:4">
      <c r="D5908" s="16"/>
    </row>
    <row r="5909" spans="4:4">
      <c r="D5909" s="16"/>
    </row>
    <row r="5910" spans="4:4">
      <c r="D5910" s="16"/>
    </row>
    <row r="5911" spans="4:4">
      <c r="D5911" s="16"/>
    </row>
    <row r="5912" spans="4:4">
      <c r="D5912" s="16"/>
    </row>
    <row r="5913" spans="4:4">
      <c r="D5913" s="16"/>
    </row>
    <row r="5914" spans="4:4">
      <c r="D5914" s="16"/>
    </row>
    <row r="5915" spans="4:4">
      <c r="D5915" s="16"/>
    </row>
    <row r="5916" spans="4:4">
      <c r="D5916" s="16"/>
    </row>
    <row r="5917" spans="4:4">
      <c r="D5917" s="16"/>
    </row>
    <row r="5918" spans="4:4">
      <c r="D5918" s="16"/>
    </row>
    <row r="5919" spans="4:4">
      <c r="D5919" s="16"/>
    </row>
    <row r="5920" spans="4:4">
      <c r="D5920" s="16"/>
    </row>
    <row r="5921" spans="4:4">
      <c r="D5921" s="16"/>
    </row>
    <row r="5922" spans="4:4">
      <c r="D5922" s="16"/>
    </row>
    <row r="5923" spans="4:4">
      <c r="D5923" s="16"/>
    </row>
    <row r="5924" spans="4:4">
      <c r="D5924" s="16"/>
    </row>
    <row r="5925" spans="4:4">
      <c r="D5925" s="16"/>
    </row>
    <row r="5926" spans="4:4">
      <c r="D5926" s="16"/>
    </row>
    <row r="5927" spans="4:4">
      <c r="D5927" s="16"/>
    </row>
    <row r="5928" spans="4:4">
      <c r="D5928" s="16"/>
    </row>
    <row r="5929" spans="4:4">
      <c r="D5929" s="16"/>
    </row>
    <row r="5930" spans="4:4">
      <c r="D5930" s="16"/>
    </row>
    <row r="5931" spans="4:4">
      <c r="D5931" s="16"/>
    </row>
    <row r="5932" spans="4:4">
      <c r="D5932" s="16"/>
    </row>
    <row r="5933" spans="4:4">
      <c r="D5933" s="16"/>
    </row>
    <row r="5934" spans="4:4">
      <c r="D5934" s="16"/>
    </row>
    <row r="5935" spans="4:4">
      <c r="D5935" s="16"/>
    </row>
    <row r="5936" spans="4:4">
      <c r="D5936" s="16"/>
    </row>
    <row r="5937" spans="4:4">
      <c r="D5937" s="16"/>
    </row>
    <row r="5938" spans="4:4">
      <c r="D5938" s="16"/>
    </row>
    <row r="5939" spans="4:4">
      <c r="D5939" s="16"/>
    </row>
    <row r="5940" spans="4:4">
      <c r="D5940" s="16"/>
    </row>
    <row r="5941" spans="4:4">
      <c r="D5941" s="16"/>
    </row>
    <row r="5942" spans="4:4">
      <c r="D5942" s="16"/>
    </row>
    <row r="5943" spans="4:4">
      <c r="D5943" s="16"/>
    </row>
    <row r="5944" spans="4:4">
      <c r="D5944" s="16"/>
    </row>
    <row r="5945" spans="4:4">
      <c r="D5945" s="16"/>
    </row>
    <row r="5946" spans="4:4">
      <c r="D5946" s="16"/>
    </row>
    <row r="5947" spans="4:4">
      <c r="D5947" s="16"/>
    </row>
    <row r="5948" spans="4:4">
      <c r="D5948" s="16"/>
    </row>
    <row r="5949" spans="4:4">
      <c r="D5949" s="16"/>
    </row>
    <row r="5950" spans="4:4">
      <c r="D5950" s="16"/>
    </row>
    <row r="5951" spans="4:4">
      <c r="D5951" s="16"/>
    </row>
    <row r="5952" spans="4:4">
      <c r="D5952" s="16"/>
    </row>
    <row r="5953" spans="4:4">
      <c r="D5953" s="16"/>
    </row>
    <row r="5954" spans="4:4">
      <c r="D5954" s="16"/>
    </row>
    <row r="5955" spans="4:4">
      <c r="D5955" s="16"/>
    </row>
    <row r="5956" spans="4:4">
      <c r="D5956" s="16"/>
    </row>
    <row r="5957" spans="4:4">
      <c r="D5957" s="16"/>
    </row>
    <row r="5958" spans="4:4">
      <c r="D5958" s="16"/>
    </row>
    <row r="5959" spans="4:4">
      <c r="D5959" s="16"/>
    </row>
    <row r="5960" spans="4:4">
      <c r="D5960" s="16"/>
    </row>
    <row r="5961" spans="4:4">
      <c r="D5961" s="16"/>
    </row>
    <row r="5962" spans="4:4">
      <c r="D5962" s="16"/>
    </row>
    <row r="5963" spans="4:4">
      <c r="D5963" s="16"/>
    </row>
    <row r="5964" spans="4:4">
      <c r="D5964" s="16"/>
    </row>
    <row r="5965" spans="4:4">
      <c r="D5965" s="16"/>
    </row>
    <row r="5966" spans="4:4">
      <c r="D5966" s="16"/>
    </row>
    <row r="5967" spans="4:4">
      <c r="D5967" s="16"/>
    </row>
    <row r="5968" spans="4:4">
      <c r="D5968" s="16"/>
    </row>
    <row r="5969" spans="4:4">
      <c r="D5969" s="16"/>
    </row>
    <row r="5970" spans="4:4">
      <c r="D5970" s="16"/>
    </row>
    <row r="5971" spans="4:4">
      <c r="D5971" s="16"/>
    </row>
    <row r="5972" spans="4:4">
      <c r="D5972" s="16"/>
    </row>
    <row r="5973" spans="4:4">
      <c r="D5973" s="16"/>
    </row>
    <row r="5974" spans="4:4">
      <c r="D5974" s="16"/>
    </row>
    <row r="5975" spans="4:4">
      <c r="D5975" s="16"/>
    </row>
    <row r="5976" spans="4:4">
      <c r="D5976" s="16"/>
    </row>
    <row r="5977" spans="4:4">
      <c r="D5977" s="16"/>
    </row>
    <row r="5978" spans="4:4">
      <c r="D5978" s="16"/>
    </row>
    <row r="5979" spans="4:4">
      <c r="D5979" s="16"/>
    </row>
    <row r="5980" spans="4:4">
      <c r="D5980" s="16"/>
    </row>
    <row r="5981" spans="4:4">
      <c r="D5981" s="16"/>
    </row>
    <row r="5982" spans="4:4">
      <c r="D5982" s="16"/>
    </row>
    <row r="5983" spans="4:4">
      <c r="D5983" s="16"/>
    </row>
    <row r="5984" spans="4:4">
      <c r="D5984" s="16"/>
    </row>
    <row r="5985" spans="4:4">
      <c r="D5985" s="16"/>
    </row>
    <row r="5986" spans="4:4">
      <c r="D5986" s="16"/>
    </row>
    <row r="5987" spans="4:4">
      <c r="D5987" s="16"/>
    </row>
    <row r="5988" spans="4:4">
      <c r="D5988" s="16"/>
    </row>
    <row r="5989" spans="4:4">
      <c r="D5989" s="16"/>
    </row>
    <row r="5990" spans="4:4">
      <c r="D5990" s="16"/>
    </row>
    <row r="5991" spans="4:4">
      <c r="D5991" s="16"/>
    </row>
    <row r="5992" spans="4:4">
      <c r="D5992" s="16"/>
    </row>
    <row r="5993" spans="4:4">
      <c r="D5993" s="16"/>
    </row>
    <row r="5994" spans="4:4">
      <c r="D5994" s="16"/>
    </row>
    <row r="5995" spans="4:4">
      <c r="D5995" s="16"/>
    </row>
    <row r="5996" spans="4:4">
      <c r="D5996" s="16"/>
    </row>
    <row r="5997" spans="4:4">
      <c r="D5997" s="16"/>
    </row>
    <row r="5998" spans="4:4">
      <c r="D5998" s="16"/>
    </row>
    <row r="5999" spans="4:4">
      <c r="D5999" s="16"/>
    </row>
    <row r="6000" spans="4:4">
      <c r="D6000" s="16"/>
    </row>
    <row r="6001" spans="4:4">
      <c r="D6001" s="16"/>
    </row>
    <row r="6002" spans="4:4">
      <c r="D6002" s="16"/>
    </row>
    <row r="6003" spans="4:4">
      <c r="D6003" s="16"/>
    </row>
    <row r="6004" spans="4:4">
      <c r="D6004" s="16"/>
    </row>
    <row r="6005" spans="4:4">
      <c r="D6005" s="16"/>
    </row>
    <row r="6006" spans="4:4">
      <c r="D6006" s="16"/>
    </row>
    <row r="6007" spans="4:4">
      <c r="D6007" s="16"/>
    </row>
    <row r="6008" spans="4:4">
      <c r="D6008" s="16"/>
    </row>
    <row r="6009" spans="4:4">
      <c r="D6009" s="16"/>
    </row>
    <row r="6010" spans="4:4">
      <c r="D6010" s="16"/>
    </row>
    <row r="6011" spans="4:4">
      <c r="D6011" s="16"/>
    </row>
    <row r="6012" spans="4:4">
      <c r="D6012" s="16"/>
    </row>
    <row r="6013" spans="4:4">
      <c r="D6013" s="16"/>
    </row>
    <row r="6014" spans="4:4">
      <c r="D6014" s="16"/>
    </row>
    <row r="6015" spans="4:4">
      <c r="D6015" s="16"/>
    </row>
    <row r="6016" spans="4:4">
      <c r="D6016" s="16"/>
    </row>
    <row r="6017" spans="4:4">
      <c r="D6017" s="16"/>
    </row>
    <row r="6018" spans="4:4">
      <c r="D6018" s="16"/>
    </row>
    <row r="6019" spans="4:4">
      <c r="D6019" s="16"/>
    </row>
    <row r="6020" spans="4:4">
      <c r="D6020" s="16"/>
    </row>
    <row r="6021" spans="4:4">
      <c r="D6021" s="16"/>
    </row>
    <row r="6022" spans="4:4">
      <c r="D6022" s="16"/>
    </row>
    <row r="6023" spans="4:4">
      <c r="D6023" s="16"/>
    </row>
    <row r="6024" spans="4:4">
      <c r="D6024" s="16"/>
    </row>
    <row r="6025" spans="4:4">
      <c r="D6025" s="16"/>
    </row>
    <row r="6026" spans="4:4">
      <c r="D6026" s="16"/>
    </row>
    <row r="6027" spans="4:4">
      <c r="D6027" s="16"/>
    </row>
    <row r="6028" spans="4:4">
      <c r="D6028" s="16"/>
    </row>
    <row r="6029" spans="4:4">
      <c r="D6029" s="16"/>
    </row>
    <row r="6030" spans="4:4">
      <c r="D6030" s="16"/>
    </row>
    <row r="6031" spans="4:4">
      <c r="D6031" s="16"/>
    </row>
    <row r="6032" spans="4:4">
      <c r="D6032" s="16"/>
    </row>
    <row r="6033" spans="4:4">
      <c r="D6033" s="16"/>
    </row>
    <row r="6034" spans="4:4">
      <c r="D6034" s="16"/>
    </row>
    <row r="6035" spans="4:4">
      <c r="D6035" s="16"/>
    </row>
    <row r="6036" spans="4:4">
      <c r="D6036" s="16"/>
    </row>
    <row r="6037" spans="4:4">
      <c r="D6037" s="16"/>
    </row>
    <row r="6038" spans="4:4">
      <c r="D6038" s="16"/>
    </row>
    <row r="6039" spans="4:4">
      <c r="D6039" s="16"/>
    </row>
    <row r="6040" spans="4:4">
      <c r="D6040" s="16"/>
    </row>
    <row r="6041" spans="4:4">
      <c r="D6041" s="16"/>
    </row>
    <row r="6042" spans="4:4">
      <c r="D6042" s="16"/>
    </row>
    <row r="6043" spans="4:4">
      <c r="D6043" s="16"/>
    </row>
    <row r="6044" spans="4:4">
      <c r="D6044" s="16"/>
    </row>
    <row r="6045" spans="4:4">
      <c r="D6045" s="16"/>
    </row>
    <row r="6046" spans="4:4">
      <c r="D6046" s="16"/>
    </row>
    <row r="6047" spans="4:4">
      <c r="D6047" s="16"/>
    </row>
    <row r="6048" spans="4:4">
      <c r="D6048" s="16"/>
    </row>
    <row r="6049" spans="4:4">
      <c r="D6049" s="16"/>
    </row>
    <row r="6050" spans="4:4">
      <c r="D6050" s="16"/>
    </row>
    <row r="6051" spans="4:4">
      <c r="D6051" s="16"/>
    </row>
    <row r="6052" spans="4:4">
      <c r="D6052" s="16"/>
    </row>
    <row r="6053" spans="4:4">
      <c r="D6053" s="16"/>
    </row>
    <row r="6054" spans="4:4">
      <c r="D6054" s="16"/>
    </row>
    <row r="6055" spans="4:4">
      <c r="D6055" s="16"/>
    </row>
    <row r="6056" spans="4:4">
      <c r="D6056" s="16"/>
    </row>
    <row r="6057" spans="4:4">
      <c r="D6057" s="16"/>
    </row>
    <row r="6058" spans="4:4">
      <c r="D6058" s="16"/>
    </row>
    <row r="6059" spans="4:4">
      <c r="D6059" s="16"/>
    </row>
    <row r="6060" spans="4:4">
      <c r="D6060" s="16"/>
    </row>
    <row r="6061" spans="4:4">
      <c r="D6061" s="16"/>
    </row>
    <row r="6062" spans="4:4">
      <c r="D6062" s="16"/>
    </row>
    <row r="6063" spans="4:4">
      <c r="D6063" s="16"/>
    </row>
    <row r="6064" spans="4:4">
      <c r="D6064" s="16"/>
    </row>
    <row r="6065" spans="4:4">
      <c r="D6065" s="16"/>
    </row>
    <row r="6066" spans="4:4">
      <c r="D6066" s="16"/>
    </row>
    <row r="6067" spans="4:4">
      <c r="D6067" s="16"/>
    </row>
    <row r="6068" spans="4:4">
      <c r="D6068" s="16"/>
    </row>
    <row r="6069" spans="4:4">
      <c r="D6069" s="16"/>
    </row>
    <row r="6070" spans="4:4">
      <c r="D6070" s="16"/>
    </row>
    <row r="6071" spans="4:4">
      <c r="D6071" s="16"/>
    </row>
    <row r="6072" spans="4:4">
      <c r="D6072" s="16"/>
    </row>
    <row r="6073" spans="4:4">
      <c r="D6073" s="16"/>
    </row>
    <row r="6074" spans="4:4">
      <c r="D6074" s="16"/>
    </row>
    <row r="6075" spans="4:4">
      <c r="D6075" s="16"/>
    </row>
    <row r="6076" spans="4:4">
      <c r="D6076" s="16"/>
    </row>
    <row r="6077" spans="4:4">
      <c r="D6077" s="16"/>
    </row>
    <row r="6078" spans="4:4">
      <c r="D6078" s="16"/>
    </row>
    <row r="6079" spans="4:4">
      <c r="D6079" s="16"/>
    </row>
    <row r="6080" spans="4:4">
      <c r="D6080" s="16"/>
    </row>
    <row r="6081" spans="4:4">
      <c r="D6081" s="16"/>
    </row>
    <row r="6082" spans="4:4">
      <c r="D6082" s="16"/>
    </row>
    <row r="6083" spans="4:4">
      <c r="D6083" s="16"/>
    </row>
    <row r="6084" spans="4:4">
      <c r="D6084" s="16"/>
    </row>
    <row r="6085" spans="4:4">
      <c r="D6085" s="16"/>
    </row>
    <row r="6086" spans="4:4">
      <c r="D6086" s="16"/>
    </row>
    <row r="6087" spans="4:4">
      <c r="D6087" s="16"/>
    </row>
    <row r="6088" spans="4:4">
      <c r="D6088" s="16"/>
    </row>
    <row r="6089" spans="4:4">
      <c r="D6089" s="16"/>
    </row>
    <row r="6090" spans="4:4">
      <c r="D6090" s="16"/>
    </row>
    <row r="6091" spans="4:4">
      <c r="D6091" s="16"/>
    </row>
    <row r="6092" spans="4:4">
      <c r="D6092" s="16"/>
    </row>
    <row r="6093" spans="4:4">
      <c r="D6093" s="16"/>
    </row>
    <row r="6094" spans="4:4">
      <c r="D6094" s="16"/>
    </row>
    <row r="6095" spans="4:4">
      <c r="D6095" s="16"/>
    </row>
    <row r="6096" spans="4:4">
      <c r="D6096" s="16"/>
    </row>
    <row r="6097" spans="4:4">
      <c r="D6097" s="16"/>
    </row>
    <row r="6098" spans="4:4">
      <c r="D6098" s="16"/>
    </row>
    <row r="6099" spans="4:4">
      <c r="D6099" s="16"/>
    </row>
    <row r="6100" spans="4:4">
      <c r="D6100" s="16"/>
    </row>
    <row r="6101" spans="4:4">
      <c r="D6101" s="16"/>
    </row>
    <row r="6102" spans="4:4">
      <c r="D6102" s="16"/>
    </row>
    <row r="6103" spans="4:4">
      <c r="D6103" s="16"/>
    </row>
    <row r="6104" spans="4:4">
      <c r="D6104" s="16"/>
    </row>
    <row r="6105" spans="4:4">
      <c r="D6105" s="16"/>
    </row>
    <row r="6106" spans="4:4">
      <c r="D6106" s="16"/>
    </row>
    <row r="6107" spans="4:4">
      <c r="D6107" s="16"/>
    </row>
    <row r="6108" spans="4:4">
      <c r="D6108" s="16"/>
    </row>
    <row r="6109" spans="4:4">
      <c r="D6109" s="16"/>
    </row>
    <row r="6110" spans="4:4">
      <c r="D6110" s="16"/>
    </row>
    <row r="6111" spans="4:4">
      <c r="D6111" s="16"/>
    </row>
    <row r="6112" spans="4:4">
      <c r="D6112" s="16"/>
    </row>
    <row r="6113" spans="4:4">
      <c r="D6113" s="16"/>
    </row>
    <row r="6114" spans="4:4">
      <c r="D6114" s="16"/>
    </row>
    <row r="6115" spans="4:4">
      <c r="D6115" s="16"/>
    </row>
    <row r="6116" spans="4:4">
      <c r="D6116" s="16"/>
    </row>
    <row r="6117" spans="4:4">
      <c r="D6117" s="16"/>
    </row>
    <row r="6118" spans="4:4">
      <c r="D6118" s="16"/>
    </row>
    <row r="6119" spans="4:4">
      <c r="D6119" s="16"/>
    </row>
    <row r="6120" spans="4:4">
      <c r="D6120" s="16"/>
    </row>
    <row r="6121" spans="4:4">
      <c r="D6121" s="16"/>
    </row>
    <row r="6122" spans="4:4">
      <c r="D6122" s="16"/>
    </row>
    <row r="6123" spans="4:4">
      <c r="D6123" s="16"/>
    </row>
    <row r="6124" spans="4:4">
      <c r="D6124" s="16"/>
    </row>
    <row r="6125" spans="4:4">
      <c r="D6125" s="16"/>
    </row>
    <row r="6126" spans="4:4">
      <c r="D6126" s="16"/>
    </row>
    <row r="6127" spans="4:4">
      <c r="D6127" s="16"/>
    </row>
    <row r="6128" spans="4:4">
      <c r="D6128" s="16"/>
    </row>
    <row r="6129" spans="4:4">
      <c r="D6129" s="16"/>
    </row>
    <row r="6130" spans="4:4">
      <c r="D6130" s="16"/>
    </row>
    <row r="6131" spans="4:4">
      <c r="D6131" s="16"/>
    </row>
    <row r="6132" spans="4:4">
      <c r="D6132" s="16"/>
    </row>
    <row r="6133" spans="4:4">
      <c r="D6133" s="16"/>
    </row>
    <row r="6134" spans="4:4">
      <c r="D6134" s="16"/>
    </row>
    <row r="6135" spans="4:4">
      <c r="D6135" s="16"/>
    </row>
    <row r="6136" spans="4:4">
      <c r="D6136" s="16"/>
    </row>
    <row r="6137" spans="4:4">
      <c r="D6137" s="16"/>
    </row>
    <row r="6138" spans="4:4">
      <c r="D6138" s="16"/>
    </row>
    <row r="6139" spans="4:4">
      <c r="D6139" s="16"/>
    </row>
    <row r="6140" spans="4:4">
      <c r="D6140" s="16"/>
    </row>
    <row r="6141" spans="4:4">
      <c r="D6141" s="16"/>
    </row>
    <row r="6142" spans="4:4">
      <c r="D6142" s="16"/>
    </row>
    <row r="6143" spans="4:4">
      <c r="D6143" s="16"/>
    </row>
    <row r="6144" spans="4:4">
      <c r="D6144" s="16"/>
    </row>
    <row r="6145" spans="4:4">
      <c r="D6145" s="16"/>
    </row>
    <row r="6146" spans="4:4">
      <c r="D6146" s="16"/>
    </row>
    <row r="6147" spans="4:4">
      <c r="D6147" s="16"/>
    </row>
    <row r="6148" spans="4:4">
      <c r="D6148" s="16"/>
    </row>
    <row r="6149" spans="4:4">
      <c r="D6149" s="16"/>
    </row>
    <row r="6150" spans="4:4">
      <c r="D6150" s="16"/>
    </row>
    <row r="6151" spans="4:4">
      <c r="D6151" s="16"/>
    </row>
    <row r="6152" spans="4:4">
      <c r="D6152" s="16"/>
    </row>
    <row r="6153" spans="4:4">
      <c r="D6153" s="16"/>
    </row>
    <row r="6154" spans="4:4">
      <c r="D6154" s="16"/>
    </row>
    <row r="6155" spans="4:4">
      <c r="D6155" s="16"/>
    </row>
    <row r="6156" spans="4:4">
      <c r="D6156" s="16"/>
    </row>
    <row r="6157" spans="4:4">
      <c r="D6157" s="16"/>
    </row>
    <row r="6158" spans="4:4">
      <c r="D6158" s="16"/>
    </row>
    <row r="6159" spans="4:4">
      <c r="D6159" s="16"/>
    </row>
    <row r="6160" spans="4:4">
      <c r="D6160" s="16"/>
    </row>
    <row r="6161" spans="4:4">
      <c r="D6161" s="16"/>
    </row>
    <row r="6162" spans="4:4">
      <c r="D6162" s="16"/>
    </row>
    <row r="6163" spans="4:4">
      <c r="D6163" s="16"/>
    </row>
    <row r="6164" spans="4:4">
      <c r="D6164" s="16"/>
    </row>
    <row r="6165" spans="4:4">
      <c r="D6165" s="16"/>
    </row>
    <row r="6166" spans="4:4">
      <c r="D6166" s="16"/>
    </row>
    <row r="6167" spans="4:4">
      <c r="D6167" s="16"/>
    </row>
    <row r="6168" spans="4:4">
      <c r="D6168" s="16"/>
    </row>
    <row r="6169" spans="4:4">
      <c r="D6169" s="16"/>
    </row>
    <row r="6170" spans="4:4">
      <c r="D6170" s="16"/>
    </row>
    <row r="6171" spans="4:4">
      <c r="D6171" s="16"/>
    </row>
    <row r="6172" spans="4:4">
      <c r="D6172" s="16"/>
    </row>
    <row r="6173" spans="4:4">
      <c r="D6173" s="16"/>
    </row>
    <row r="6174" spans="4:4">
      <c r="D6174" s="16"/>
    </row>
    <row r="6175" spans="4:4">
      <c r="D6175" s="16"/>
    </row>
    <row r="6176" spans="4:4">
      <c r="D6176" s="16"/>
    </row>
    <row r="6177" spans="4:4">
      <c r="D6177" s="16"/>
    </row>
    <row r="6178" spans="4:4">
      <c r="D6178" s="16"/>
    </row>
    <row r="6179" spans="4:4">
      <c r="D6179" s="16"/>
    </row>
    <row r="6180" spans="4:4">
      <c r="D6180" s="16"/>
    </row>
    <row r="6181" spans="4:4">
      <c r="D6181" s="16"/>
    </row>
    <row r="6182" spans="4:4">
      <c r="D6182" s="16"/>
    </row>
    <row r="6183" spans="4:4">
      <c r="D6183" s="16"/>
    </row>
    <row r="6184" spans="4:4">
      <c r="D6184" s="16"/>
    </row>
    <row r="6185" spans="4:4">
      <c r="D6185" s="16"/>
    </row>
    <row r="6186" spans="4:4">
      <c r="D6186" s="16"/>
    </row>
    <row r="6187" spans="4:4">
      <c r="D6187" s="16"/>
    </row>
    <row r="6188" spans="4:4">
      <c r="D6188" s="16"/>
    </row>
    <row r="6189" spans="4:4">
      <c r="D6189" s="16"/>
    </row>
    <row r="6190" spans="4:4">
      <c r="D6190" s="16"/>
    </row>
    <row r="6191" spans="4:4">
      <c r="D6191" s="16"/>
    </row>
    <row r="6192" spans="4:4">
      <c r="D6192" s="16"/>
    </row>
    <row r="6193" spans="4:4">
      <c r="D6193" s="16"/>
    </row>
    <row r="6194" spans="4:4">
      <c r="D6194" s="16"/>
    </row>
    <row r="6195" spans="4:4">
      <c r="D6195" s="16"/>
    </row>
    <row r="6196" spans="4:4">
      <c r="D6196" s="16"/>
    </row>
    <row r="6197" spans="4:4">
      <c r="D6197" s="16"/>
    </row>
    <row r="6198" spans="4:4">
      <c r="D6198" s="16"/>
    </row>
    <row r="6199" spans="4:4">
      <c r="D6199" s="16"/>
    </row>
    <row r="6200" spans="4:4">
      <c r="D6200" s="16"/>
    </row>
    <row r="6201" spans="4:4">
      <c r="D6201" s="16"/>
    </row>
    <row r="6202" spans="4:4">
      <c r="D6202" s="16"/>
    </row>
    <row r="6203" spans="4:4">
      <c r="D6203" s="16"/>
    </row>
    <row r="6204" spans="4:4">
      <c r="D6204" s="16"/>
    </row>
    <row r="6205" spans="4:4">
      <c r="D6205" s="16"/>
    </row>
    <row r="6206" spans="4:4">
      <c r="D6206" s="16"/>
    </row>
    <row r="6207" spans="4:4">
      <c r="D6207" s="16"/>
    </row>
    <row r="6208" spans="4:4">
      <c r="D6208" s="16"/>
    </row>
    <row r="6209" spans="4:4">
      <c r="D6209" s="16"/>
    </row>
    <row r="6210" spans="4:4">
      <c r="D6210" s="16"/>
    </row>
    <row r="6211" spans="4:4">
      <c r="D6211" s="16"/>
    </row>
    <row r="6212" spans="4:4">
      <c r="D6212" s="16"/>
    </row>
    <row r="6213" spans="4:4">
      <c r="D6213" s="16"/>
    </row>
    <row r="6214" spans="4:4">
      <c r="D6214" s="16"/>
    </row>
    <row r="6215" spans="4:4">
      <c r="D6215" s="16"/>
    </row>
    <row r="6216" spans="4:4">
      <c r="D6216" s="16"/>
    </row>
    <row r="6217" spans="4:4">
      <c r="D6217" s="16"/>
    </row>
    <row r="6218" spans="4:4">
      <c r="D6218" s="16"/>
    </row>
    <row r="6219" spans="4:4">
      <c r="D6219" s="16"/>
    </row>
    <row r="6220" spans="4:4">
      <c r="D6220" s="16"/>
    </row>
    <row r="6221" spans="4:4">
      <c r="D6221" s="16"/>
    </row>
    <row r="6222" spans="4:4">
      <c r="D6222" s="16"/>
    </row>
    <row r="6223" spans="4:4">
      <c r="D6223" s="16"/>
    </row>
    <row r="6224" spans="4:4">
      <c r="D6224" s="16"/>
    </row>
    <row r="6225" spans="4:4">
      <c r="D6225" s="16"/>
    </row>
    <row r="6226" spans="4:4">
      <c r="D6226" s="16"/>
    </row>
    <row r="6227" spans="4:4">
      <c r="D6227" s="16"/>
    </row>
    <row r="6228" spans="4:4">
      <c r="D6228" s="16"/>
    </row>
    <row r="6229" spans="4:4">
      <c r="D6229" s="16"/>
    </row>
    <row r="6230" spans="4:4">
      <c r="D6230" s="16"/>
    </row>
    <row r="6231" spans="4:4">
      <c r="D6231" s="16"/>
    </row>
    <row r="6232" spans="4:4">
      <c r="D6232" s="16"/>
    </row>
    <row r="6233" spans="4:4">
      <c r="D6233" s="16"/>
    </row>
    <row r="6234" spans="4:4">
      <c r="D6234" s="16"/>
    </row>
    <row r="6235" spans="4:4">
      <c r="D6235" s="16"/>
    </row>
    <row r="6236" spans="4:4">
      <c r="D6236" s="16"/>
    </row>
    <row r="6237" spans="4:4">
      <c r="D6237" s="16"/>
    </row>
    <row r="6238" spans="4:4">
      <c r="D6238" s="16"/>
    </row>
    <row r="6239" spans="4:4">
      <c r="D6239" s="16"/>
    </row>
    <row r="6240" spans="4:4">
      <c r="D6240" s="16"/>
    </row>
    <row r="6241" spans="4:4">
      <c r="D6241" s="16"/>
    </row>
    <row r="6242" spans="4:4">
      <c r="D6242" s="16"/>
    </row>
    <row r="6243" spans="4:4">
      <c r="D6243" s="16"/>
    </row>
    <row r="6244" spans="4:4">
      <c r="D6244" s="16"/>
    </row>
    <row r="6245" spans="4:4">
      <c r="D6245" s="16"/>
    </row>
    <row r="6246" spans="4:4">
      <c r="D6246" s="16"/>
    </row>
    <row r="6247" spans="4:4">
      <c r="D6247" s="16"/>
    </row>
    <row r="6248" spans="4:4">
      <c r="D6248" s="16"/>
    </row>
    <row r="6249" spans="4:4">
      <c r="D6249" s="16"/>
    </row>
    <row r="6250" spans="4:4">
      <c r="D6250" s="16"/>
    </row>
    <row r="6251" spans="4:4">
      <c r="D6251" s="16"/>
    </row>
    <row r="6252" spans="4:4">
      <c r="D6252" s="16"/>
    </row>
    <row r="6253" spans="4:4">
      <c r="D6253" s="16"/>
    </row>
    <row r="6254" spans="4:4">
      <c r="D6254" s="16"/>
    </row>
    <row r="6255" spans="4:4">
      <c r="D6255" s="16"/>
    </row>
    <row r="6256" spans="4:4">
      <c r="D6256" s="16"/>
    </row>
    <row r="6257" spans="4:4">
      <c r="D6257" s="16"/>
    </row>
    <row r="6258" spans="4:4">
      <c r="D6258" s="16"/>
    </row>
    <row r="6259" spans="4:4">
      <c r="D6259" s="16"/>
    </row>
    <row r="6260" spans="4:4">
      <c r="D6260" s="16"/>
    </row>
    <row r="6261" spans="4:4">
      <c r="D6261" s="16"/>
    </row>
    <row r="6262" spans="4:4">
      <c r="D6262" s="16"/>
    </row>
    <row r="6263" spans="4:4">
      <c r="D6263" s="16"/>
    </row>
    <row r="6264" spans="4:4">
      <c r="D6264" s="16"/>
    </row>
    <row r="6265" spans="4:4">
      <c r="D6265" s="16"/>
    </row>
    <row r="6266" spans="4:4">
      <c r="D6266" s="16"/>
    </row>
    <row r="6267" spans="4:4">
      <c r="D6267" s="16"/>
    </row>
    <row r="6268" spans="4:4">
      <c r="D6268" s="16"/>
    </row>
    <row r="6269" spans="4:4">
      <c r="D6269" s="16"/>
    </row>
    <row r="6270" spans="4:4">
      <c r="D6270" s="16"/>
    </row>
    <row r="6271" spans="4:4">
      <c r="D6271" s="16"/>
    </row>
    <row r="6272" spans="4:4">
      <c r="D6272" s="16"/>
    </row>
    <row r="6273" spans="4:4">
      <c r="D6273" s="16"/>
    </row>
    <row r="6274" spans="4:4">
      <c r="D6274" s="16"/>
    </row>
    <row r="6275" spans="4:4">
      <c r="D6275" s="16"/>
    </row>
    <row r="6276" spans="4:4">
      <c r="D6276" s="16"/>
    </row>
    <row r="6277" spans="4:4">
      <c r="D6277" s="16"/>
    </row>
    <row r="6278" spans="4:4">
      <c r="D6278" s="16"/>
    </row>
    <row r="6279" spans="4:4">
      <c r="D6279" s="16"/>
    </row>
    <row r="6280" spans="4:4">
      <c r="D6280" s="16"/>
    </row>
    <row r="6281" spans="4:4">
      <c r="D6281" s="16"/>
    </row>
    <row r="6282" spans="4:4">
      <c r="D6282" s="16"/>
    </row>
    <row r="6283" spans="4:4">
      <c r="D6283" s="16"/>
    </row>
    <row r="6284" spans="4:4">
      <c r="D6284" s="16"/>
    </row>
    <row r="6285" spans="4:4">
      <c r="D6285" s="16"/>
    </row>
    <row r="6286" spans="4:4">
      <c r="D6286" s="16"/>
    </row>
    <row r="6287" spans="4:4">
      <c r="D6287" s="16"/>
    </row>
    <row r="6288" spans="4:4">
      <c r="D6288" s="16"/>
    </row>
    <row r="6289" spans="4:4">
      <c r="D6289" s="16"/>
    </row>
    <row r="6290" spans="4:4">
      <c r="D6290" s="16"/>
    </row>
    <row r="6291" spans="4:4">
      <c r="D6291" s="16"/>
    </row>
    <row r="6292" spans="4:4">
      <c r="D6292" s="16"/>
    </row>
    <row r="6293" spans="4:4">
      <c r="D6293" s="16"/>
    </row>
    <row r="6294" spans="4:4">
      <c r="D6294" s="16"/>
    </row>
    <row r="6295" spans="4:4">
      <c r="D6295" s="16"/>
    </row>
    <row r="6296" spans="4:4">
      <c r="D6296" s="16"/>
    </row>
    <row r="6297" spans="4:4">
      <c r="D6297" s="16"/>
    </row>
    <row r="6298" spans="4:4">
      <c r="D6298" s="16"/>
    </row>
    <row r="6299" spans="4:4">
      <c r="D6299" s="16"/>
    </row>
    <row r="6300" spans="4:4">
      <c r="D6300" s="16"/>
    </row>
    <row r="6301" spans="4:4">
      <c r="D6301" s="16"/>
    </row>
    <row r="6302" spans="4:4">
      <c r="D6302" s="16"/>
    </row>
    <row r="6303" spans="4:4">
      <c r="D6303" s="16"/>
    </row>
    <row r="6304" spans="4:4">
      <c r="D6304" s="16"/>
    </row>
    <row r="6305" spans="4:4">
      <c r="D6305" s="16"/>
    </row>
    <row r="6306" spans="4:4">
      <c r="D6306" s="16"/>
    </row>
    <row r="6307" spans="4:4">
      <c r="D6307" s="16"/>
    </row>
    <row r="6308" spans="4:4">
      <c r="D6308" s="16"/>
    </row>
    <row r="6309" spans="4:4">
      <c r="D6309" s="16"/>
    </row>
    <row r="6310" spans="4:4">
      <c r="D6310" s="16"/>
    </row>
    <row r="6311" spans="4:4">
      <c r="D6311" s="16"/>
    </row>
    <row r="6312" spans="4:4">
      <c r="D6312" s="16"/>
    </row>
    <row r="6313" spans="4:4">
      <c r="D6313" s="16"/>
    </row>
    <row r="6314" spans="4:4">
      <c r="D6314" s="16"/>
    </row>
    <row r="6315" spans="4:4">
      <c r="D6315" s="16"/>
    </row>
    <row r="6316" spans="4:4">
      <c r="D6316" s="16"/>
    </row>
    <row r="6317" spans="4:4">
      <c r="D6317" s="16"/>
    </row>
    <row r="6318" spans="4:4">
      <c r="D6318" s="16"/>
    </row>
    <row r="6319" spans="4:4">
      <c r="D6319" s="16"/>
    </row>
    <row r="6320" spans="4:4">
      <c r="D6320" s="16"/>
    </row>
    <row r="6321" spans="4:4">
      <c r="D6321" s="16"/>
    </row>
    <row r="6322" spans="4:4">
      <c r="D6322" s="16"/>
    </row>
    <row r="6323" spans="4:4">
      <c r="D6323" s="16"/>
    </row>
    <row r="6324" spans="4:4">
      <c r="D6324" s="16"/>
    </row>
    <row r="6325" spans="4:4">
      <c r="D6325" s="16"/>
    </row>
    <row r="6326" spans="4:4">
      <c r="D6326" s="16"/>
    </row>
    <row r="6327" spans="4:4">
      <c r="D6327" s="16"/>
    </row>
    <row r="6328" spans="4:4">
      <c r="D6328" s="16"/>
    </row>
    <row r="6329" spans="4:4">
      <c r="D6329" s="16"/>
    </row>
    <row r="6330" spans="4:4">
      <c r="D6330" s="16"/>
    </row>
    <row r="6331" spans="4:4">
      <c r="D6331" s="16"/>
    </row>
    <row r="6332" spans="4:4">
      <c r="D6332" s="16"/>
    </row>
    <row r="6333" spans="4:4">
      <c r="D6333" s="16"/>
    </row>
    <row r="6334" spans="4:4">
      <c r="D6334" s="16"/>
    </row>
    <row r="6335" spans="4:4">
      <c r="D6335" s="16"/>
    </row>
    <row r="6336" spans="4:4">
      <c r="D6336" s="16"/>
    </row>
    <row r="6337" spans="4:4">
      <c r="D6337" s="16"/>
    </row>
    <row r="6338" spans="4:4">
      <c r="D6338" s="16"/>
    </row>
    <row r="6339" spans="4:4">
      <c r="D6339" s="16"/>
    </row>
    <row r="6340" spans="4:4">
      <c r="D6340" s="16"/>
    </row>
    <row r="6341" spans="4:4">
      <c r="D6341" s="16"/>
    </row>
    <row r="6342" spans="4:4">
      <c r="D6342" s="16"/>
    </row>
    <row r="6343" spans="4:4">
      <c r="D6343" s="16"/>
    </row>
    <row r="6344" spans="4:4">
      <c r="D6344" s="16"/>
    </row>
    <row r="6345" spans="4:4">
      <c r="D6345" s="16"/>
    </row>
    <row r="6346" spans="4:4">
      <c r="D6346" s="16"/>
    </row>
    <row r="6347" spans="4:4">
      <c r="D6347" s="16"/>
    </row>
    <row r="6348" spans="4:4">
      <c r="D6348" s="16"/>
    </row>
    <row r="6349" spans="4:4">
      <c r="D6349" s="16"/>
    </row>
    <row r="6350" spans="4:4">
      <c r="D6350" s="16"/>
    </row>
    <row r="6351" spans="4:4">
      <c r="D6351" s="16"/>
    </row>
    <row r="6352" spans="4:4">
      <c r="D6352" s="16"/>
    </row>
    <row r="6353" spans="4:4">
      <c r="D6353" s="16"/>
    </row>
    <row r="6354" spans="4:4">
      <c r="D6354" s="16"/>
    </row>
    <row r="6355" spans="4:4">
      <c r="D6355" s="16"/>
    </row>
    <row r="6356" spans="4:4">
      <c r="D6356" s="16"/>
    </row>
    <row r="6357" spans="4:4">
      <c r="D6357" s="16"/>
    </row>
    <row r="6358" spans="4:4">
      <c r="D6358" s="16"/>
    </row>
    <row r="6359" spans="4:4">
      <c r="D6359" s="16"/>
    </row>
    <row r="6360" spans="4:4">
      <c r="D6360" s="16"/>
    </row>
    <row r="6361" spans="4:4">
      <c r="D6361" s="16"/>
    </row>
    <row r="6362" spans="4:4">
      <c r="D6362" s="16"/>
    </row>
    <row r="6363" spans="4:4">
      <c r="D6363" s="16"/>
    </row>
    <row r="6364" spans="4:4">
      <c r="D6364" s="16"/>
    </row>
    <row r="6365" spans="4:4">
      <c r="D6365" s="16"/>
    </row>
    <row r="6366" spans="4:4">
      <c r="D6366" s="16"/>
    </row>
    <row r="6367" spans="4:4">
      <c r="D6367" s="16"/>
    </row>
    <row r="6368" spans="4:4">
      <c r="D6368" s="16"/>
    </row>
    <row r="6369" spans="4:4">
      <c r="D6369" s="16"/>
    </row>
    <row r="6370" spans="4:4">
      <c r="D6370" s="16"/>
    </row>
    <row r="6371" spans="4:4">
      <c r="D6371" s="16"/>
    </row>
    <row r="6372" spans="4:4">
      <c r="D6372" s="16"/>
    </row>
    <row r="6373" spans="4:4">
      <c r="D6373" s="16"/>
    </row>
    <row r="6374" spans="4:4">
      <c r="D6374" s="16"/>
    </row>
    <row r="6375" spans="4:4">
      <c r="D6375" s="16"/>
    </row>
    <row r="6376" spans="4:4">
      <c r="D6376" s="16"/>
    </row>
    <row r="6377" spans="4:4">
      <c r="D6377" s="16"/>
    </row>
    <row r="6378" spans="4:4">
      <c r="D6378" s="16"/>
    </row>
    <row r="6379" spans="4:4">
      <c r="D6379" s="16"/>
    </row>
    <row r="6380" spans="4:4">
      <c r="D6380" s="16"/>
    </row>
    <row r="6381" spans="4:4">
      <c r="D6381" s="16"/>
    </row>
    <row r="6382" spans="4:4">
      <c r="D6382" s="16"/>
    </row>
    <row r="6383" spans="4:4">
      <c r="D6383" s="16"/>
    </row>
    <row r="6384" spans="4:4">
      <c r="D6384" s="16"/>
    </row>
    <row r="6385" spans="4:4">
      <c r="D6385" s="16"/>
    </row>
    <row r="6386" spans="4:4">
      <c r="D6386" s="16"/>
    </row>
    <row r="6387" spans="4:4">
      <c r="D6387" s="16"/>
    </row>
    <row r="6388" spans="4:4">
      <c r="D6388" s="16"/>
    </row>
    <row r="6389" spans="4:4">
      <c r="D6389" s="16"/>
    </row>
    <row r="6390" spans="4:4">
      <c r="D6390" s="16"/>
    </row>
    <row r="6391" spans="4:4">
      <c r="D6391" s="16"/>
    </row>
    <row r="6392" spans="4:4">
      <c r="D6392" s="16"/>
    </row>
    <row r="6393" spans="4:4">
      <c r="D6393" s="16"/>
    </row>
    <row r="6394" spans="4:4">
      <c r="D6394" s="16"/>
    </row>
    <row r="6395" spans="4:4">
      <c r="D6395" s="16"/>
    </row>
    <row r="6396" spans="4:4">
      <c r="D6396" s="16"/>
    </row>
    <row r="6397" spans="4:4">
      <c r="D6397" s="16"/>
    </row>
    <row r="6398" spans="4:4">
      <c r="D6398" s="16"/>
    </row>
    <row r="6399" spans="4:4">
      <c r="D6399" s="16"/>
    </row>
    <row r="6400" spans="4:4">
      <c r="D6400" s="16"/>
    </row>
    <row r="6401" spans="4:4">
      <c r="D6401" s="16"/>
    </row>
    <row r="6402" spans="4:4">
      <c r="D6402" s="16"/>
    </row>
    <row r="6403" spans="4:4">
      <c r="D6403" s="16"/>
    </row>
    <row r="6404" spans="4:4">
      <c r="D6404" s="16"/>
    </row>
    <row r="6405" spans="4:4">
      <c r="D6405" s="16"/>
    </row>
    <row r="6406" spans="4:4">
      <c r="D6406" s="16"/>
    </row>
    <row r="6407" spans="4:4">
      <c r="D6407" s="16"/>
    </row>
    <row r="6408" spans="4:4">
      <c r="D6408" s="16"/>
    </row>
    <row r="6409" spans="4:4">
      <c r="D6409" s="16"/>
    </row>
    <row r="6410" spans="4:4">
      <c r="D6410" s="16"/>
    </row>
    <row r="6411" spans="4:4">
      <c r="D6411" s="16"/>
    </row>
    <row r="6412" spans="4:4">
      <c r="D6412" s="16"/>
    </row>
    <row r="6413" spans="4:4">
      <c r="D6413" s="16"/>
    </row>
    <row r="6414" spans="4:4">
      <c r="D6414" s="16"/>
    </row>
    <row r="6415" spans="4:4">
      <c r="D6415" s="16"/>
    </row>
    <row r="6416" spans="4:4">
      <c r="D6416" s="16"/>
    </row>
    <row r="6417" spans="4:4">
      <c r="D6417" s="16"/>
    </row>
    <row r="6418" spans="4:4">
      <c r="D6418" s="16"/>
    </row>
    <row r="6419" spans="4:4">
      <c r="D6419" s="16"/>
    </row>
    <row r="6420" spans="4:4">
      <c r="D6420" s="16"/>
    </row>
    <row r="6421" spans="4:4">
      <c r="D6421" s="16"/>
    </row>
    <row r="6422" spans="4:4">
      <c r="D6422" s="16"/>
    </row>
    <row r="6423" spans="4:4">
      <c r="D6423" s="16"/>
    </row>
    <row r="6424" spans="4:4">
      <c r="D6424" s="16"/>
    </row>
    <row r="6425" spans="4:4">
      <c r="D6425" s="16"/>
    </row>
    <row r="6426" spans="4:4">
      <c r="D6426" s="16"/>
    </row>
    <row r="6427" spans="4:4">
      <c r="D6427" s="16"/>
    </row>
    <row r="6428" spans="4:4">
      <c r="D6428" s="16"/>
    </row>
    <row r="6429" spans="4:4">
      <c r="D6429" s="16"/>
    </row>
    <row r="6430" spans="4:4">
      <c r="D6430" s="16"/>
    </row>
    <row r="6431" spans="4:4">
      <c r="D6431" s="16"/>
    </row>
    <row r="6432" spans="4:4">
      <c r="D6432" s="16"/>
    </row>
    <row r="6433" spans="4:4">
      <c r="D6433" s="16"/>
    </row>
    <row r="6434" spans="4:4">
      <c r="D6434" s="16"/>
    </row>
    <row r="6435" spans="4:4">
      <c r="D6435" s="16"/>
    </row>
    <row r="6436" spans="4:4">
      <c r="D6436" s="16"/>
    </row>
    <row r="6437" spans="4:4">
      <c r="D6437" s="16"/>
    </row>
    <row r="6438" spans="4:4">
      <c r="D6438" s="16"/>
    </row>
    <row r="6439" spans="4:4">
      <c r="D6439" s="16"/>
    </row>
    <row r="6440" spans="4:4">
      <c r="D6440" s="16"/>
    </row>
    <row r="6441" spans="4:4">
      <c r="D6441" s="16"/>
    </row>
    <row r="6442" spans="4:4">
      <c r="D6442" s="16"/>
    </row>
    <row r="6443" spans="4:4">
      <c r="D6443" s="16"/>
    </row>
    <row r="6444" spans="4:4">
      <c r="D6444" s="16"/>
    </row>
    <row r="6445" spans="4:4">
      <c r="D6445" s="16"/>
    </row>
    <row r="6446" spans="4:4">
      <c r="D6446" s="16"/>
    </row>
    <row r="6447" spans="4:4">
      <c r="D6447" s="16"/>
    </row>
    <row r="6448" spans="4:4">
      <c r="D6448" s="16"/>
    </row>
    <row r="6449" spans="4:4">
      <c r="D6449" s="16"/>
    </row>
    <row r="6450" spans="4:4">
      <c r="D6450" s="16"/>
    </row>
    <row r="6451" spans="4:4">
      <c r="D6451" s="16"/>
    </row>
    <row r="6452" spans="4:4">
      <c r="D6452" s="16"/>
    </row>
    <row r="6453" spans="4:4">
      <c r="D6453" s="16"/>
    </row>
    <row r="6454" spans="4:4">
      <c r="D6454" s="16"/>
    </row>
    <row r="6455" spans="4:4">
      <c r="D6455" s="16"/>
    </row>
    <row r="6456" spans="4:4">
      <c r="D6456" s="16"/>
    </row>
    <row r="6457" spans="4:4">
      <c r="D6457" s="16"/>
    </row>
    <row r="6458" spans="4:4">
      <c r="D6458" s="16"/>
    </row>
    <row r="6459" spans="4:4">
      <c r="D6459" s="16"/>
    </row>
    <row r="6460" spans="4:4">
      <c r="D6460" s="16"/>
    </row>
    <row r="6461" spans="4:4">
      <c r="D6461" s="16"/>
    </row>
    <row r="6462" spans="4:4">
      <c r="D6462" s="16"/>
    </row>
    <row r="6463" spans="4:4">
      <c r="D6463" s="16"/>
    </row>
    <row r="6464" spans="4:4">
      <c r="D6464" s="16"/>
    </row>
    <row r="6465" spans="4:4">
      <c r="D6465" s="16"/>
    </row>
    <row r="6466" spans="4:4">
      <c r="D6466" s="16"/>
    </row>
    <row r="6467" spans="4:4">
      <c r="D6467" s="16"/>
    </row>
    <row r="6468" spans="4:4">
      <c r="D6468" s="16"/>
    </row>
    <row r="6469" spans="4:4">
      <c r="D6469" s="16"/>
    </row>
    <row r="6470" spans="4:4">
      <c r="D6470" s="16"/>
    </row>
    <row r="6471" spans="4:4">
      <c r="D6471" s="16"/>
    </row>
    <row r="6472" spans="4:4">
      <c r="D6472" s="16"/>
    </row>
    <row r="6473" spans="4:4">
      <c r="D6473" s="16"/>
    </row>
    <row r="6474" spans="4:4">
      <c r="D6474" s="16"/>
    </row>
    <row r="6475" spans="4:4">
      <c r="D6475" s="16"/>
    </row>
    <row r="6476" spans="4:4">
      <c r="D6476" s="16"/>
    </row>
    <row r="6477" spans="4:4">
      <c r="D6477" s="16"/>
    </row>
    <row r="6478" spans="4:4">
      <c r="D6478" s="16"/>
    </row>
    <row r="6479" spans="4:4">
      <c r="D6479" s="16"/>
    </row>
    <row r="6480" spans="4:4">
      <c r="D6480" s="16"/>
    </row>
    <row r="6481" spans="4:4">
      <c r="D6481" s="16"/>
    </row>
    <row r="6482" spans="4:4">
      <c r="D6482" s="16"/>
    </row>
    <row r="6483" spans="4:4">
      <c r="D6483" s="16"/>
    </row>
    <row r="6484" spans="4:4">
      <c r="D6484" s="16"/>
    </row>
    <row r="6485" spans="4:4">
      <c r="D6485" s="16"/>
    </row>
    <row r="6486" spans="4:4">
      <c r="D6486" s="16"/>
    </row>
    <row r="6487" spans="4:4">
      <c r="D6487" s="16"/>
    </row>
    <row r="6488" spans="4:4">
      <c r="D6488" s="16"/>
    </row>
    <row r="6489" spans="4:4">
      <c r="D6489" s="16"/>
    </row>
    <row r="6490" spans="4:4">
      <c r="D6490" s="16"/>
    </row>
    <row r="6491" spans="4:4">
      <c r="D6491" s="16"/>
    </row>
    <row r="6492" spans="4:4">
      <c r="D6492" s="16"/>
    </row>
    <row r="6493" spans="4:4">
      <c r="D6493" s="16"/>
    </row>
    <row r="6494" spans="4:4">
      <c r="D6494" s="16"/>
    </row>
    <row r="6495" spans="4:4">
      <c r="D6495" s="16"/>
    </row>
    <row r="6496" spans="4:4">
      <c r="D6496" s="16"/>
    </row>
    <row r="6497" spans="4:4">
      <c r="D6497" s="16"/>
    </row>
    <row r="6498" spans="4:4">
      <c r="D6498" s="16"/>
    </row>
    <row r="6499" spans="4:4">
      <c r="D6499" s="16"/>
    </row>
    <row r="6500" spans="4:4">
      <c r="D6500" s="16"/>
    </row>
    <row r="6501" spans="4:4">
      <c r="D6501" s="16"/>
    </row>
    <row r="6502" spans="4:4">
      <c r="D6502" s="16"/>
    </row>
    <row r="6503" spans="4:4">
      <c r="D6503" s="16"/>
    </row>
    <row r="6504" spans="4:4">
      <c r="D6504" s="16"/>
    </row>
    <row r="6505" spans="4:4">
      <c r="D6505" s="16"/>
    </row>
    <row r="6506" spans="4:4">
      <c r="D6506" s="16"/>
    </row>
    <row r="6507" spans="4:4">
      <c r="D6507" s="16"/>
    </row>
    <row r="6508" spans="4:4">
      <c r="D6508" s="16"/>
    </row>
    <row r="6509" spans="4:4">
      <c r="D6509" s="16"/>
    </row>
    <row r="6510" spans="4:4">
      <c r="D6510" s="16"/>
    </row>
    <row r="6511" spans="4:4">
      <c r="D6511" s="16"/>
    </row>
    <row r="6512" spans="4:4">
      <c r="D6512" s="16"/>
    </row>
    <row r="6513" spans="4:4">
      <c r="D6513" s="16"/>
    </row>
    <row r="6514" spans="4:4">
      <c r="D6514" s="16"/>
    </row>
    <row r="6515" spans="4:4">
      <c r="D6515" s="16"/>
    </row>
    <row r="6516" spans="4:4">
      <c r="D6516" s="16"/>
    </row>
    <row r="6517" spans="4:4">
      <c r="D6517" s="16"/>
    </row>
    <row r="6518" spans="4:4">
      <c r="D6518" s="16"/>
    </row>
    <row r="6519" spans="4:4">
      <c r="D6519" s="16"/>
    </row>
    <row r="6520" spans="4:4">
      <c r="D6520" s="16"/>
    </row>
    <row r="6521" spans="4:4">
      <c r="D6521" s="16"/>
    </row>
    <row r="6522" spans="4:4">
      <c r="D6522" s="16"/>
    </row>
    <row r="6523" spans="4:4">
      <c r="D6523" s="16"/>
    </row>
    <row r="6524" spans="4:4">
      <c r="D6524" s="16"/>
    </row>
    <row r="6525" spans="4:4">
      <c r="D6525" s="16"/>
    </row>
    <row r="6526" spans="4:4">
      <c r="D6526" s="16"/>
    </row>
    <row r="6527" spans="4:4">
      <c r="D6527" s="16"/>
    </row>
    <row r="6528" spans="4:4">
      <c r="D6528" s="16"/>
    </row>
    <row r="6529" spans="4:4">
      <c r="D6529" s="16"/>
    </row>
    <row r="6530" spans="4:4">
      <c r="D6530" s="16"/>
    </row>
    <row r="6531" spans="4:4">
      <c r="D6531" s="16"/>
    </row>
    <row r="6532" spans="4:4">
      <c r="D6532" s="16"/>
    </row>
    <row r="6533" spans="4:4">
      <c r="D6533" s="16"/>
    </row>
    <row r="6534" spans="4:4">
      <c r="D6534" s="16"/>
    </row>
    <row r="6535" spans="4:4">
      <c r="D6535" s="16"/>
    </row>
    <row r="6536" spans="4:4">
      <c r="D6536" s="16"/>
    </row>
    <row r="6537" spans="4:4">
      <c r="D6537" s="16"/>
    </row>
    <row r="6538" spans="4:4">
      <c r="D6538" s="16"/>
    </row>
    <row r="6539" spans="4:4">
      <c r="D6539" s="16"/>
    </row>
    <row r="6540" spans="4:4">
      <c r="D6540" s="16"/>
    </row>
    <row r="6541" spans="4:4">
      <c r="D6541" s="16"/>
    </row>
    <row r="6542" spans="4:4">
      <c r="D6542" s="16"/>
    </row>
    <row r="6543" spans="4:4">
      <c r="D6543" s="16"/>
    </row>
    <row r="6544" spans="4:4">
      <c r="D6544" s="16"/>
    </row>
    <row r="6545" spans="4:4">
      <c r="D6545" s="16"/>
    </row>
    <row r="6546" spans="4:4">
      <c r="D6546" s="16"/>
    </row>
    <row r="6547" spans="4:4">
      <c r="D6547" s="16"/>
    </row>
    <row r="6548" spans="4:4">
      <c r="D6548" s="16"/>
    </row>
    <row r="6549" spans="4:4">
      <c r="D6549" s="16"/>
    </row>
    <row r="6550" spans="4:4">
      <c r="D6550" s="16"/>
    </row>
    <row r="6551" spans="4:4">
      <c r="D6551" s="16"/>
    </row>
    <row r="6552" spans="4:4">
      <c r="D6552" s="16"/>
    </row>
    <row r="6553" spans="4:4">
      <c r="D6553" s="16"/>
    </row>
    <row r="6554" spans="4:4">
      <c r="D6554" s="16"/>
    </row>
    <row r="6555" spans="4:4">
      <c r="D6555" s="16"/>
    </row>
    <row r="6556" spans="4:4">
      <c r="D6556" s="16"/>
    </row>
    <row r="6557" spans="4:4">
      <c r="D6557" s="16"/>
    </row>
    <row r="6558" spans="4:4">
      <c r="D6558" s="16"/>
    </row>
    <row r="6559" spans="4:4">
      <c r="D6559" s="16"/>
    </row>
    <row r="6560" spans="4:4">
      <c r="D6560" s="16"/>
    </row>
    <row r="6561" spans="4:4">
      <c r="D6561" s="16"/>
    </row>
    <row r="6562" spans="4:4">
      <c r="D6562" s="16"/>
    </row>
    <row r="6563" spans="4:4">
      <c r="D6563" s="16"/>
    </row>
    <row r="6564" spans="4:4">
      <c r="D6564" s="16"/>
    </row>
    <row r="6565" spans="4:4">
      <c r="D6565" s="16"/>
    </row>
    <row r="6566" spans="4:4">
      <c r="D6566" s="16"/>
    </row>
    <row r="6567" spans="4:4">
      <c r="D6567" s="16"/>
    </row>
    <row r="6568" spans="4:4">
      <c r="D6568" s="16"/>
    </row>
    <row r="6569" spans="4:4">
      <c r="D6569" s="16"/>
    </row>
    <row r="6570" spans="4:4">
      <c r="D6570" s="16"/>
    </row>
    <row r="6571" spans="4:4">
      <c r="D6571" s="16"/>
    </row>
    <row r="6572" spans="4:4">
      <c r="D6572" s="16"/>
    </row>
    <row r="6573" spans="4:4">
      <c r="D6573" s="16"/>
    </row>
    <row r="6574" spans="4:4">
      <c r="D6574" s="16"/>
    </row>
    <row r="6575" spans="4:4">
      <c r="D6575" s="16"/>
    </row>
    <row r="6576" spans="4:4">
      <c r="D6576" s="16"/>
    </row>
    <row r="6577" spans="4:4">
      <c r="D6577" s="16"/>
    </row>
    <row r="6578" spans="4:4">
      <c r="D6578" s="16"/>
    </row>
    <row r="6579" spans="4:4">
      <c r="D6579" s="16"/>
    </row>
    <row r="6580" spans="4:4">
      <c r="D6580" s="16"/>
    </row>
    <row r="6581" spans="4:4">
      <c r="D6581" s="16"/>
    </row>
    <row r="6582" spans="4:4">
      <c r="D6582" s="16"/>
    </row>
    <row r="6583" spans="4:4">
      <c r="D6583" s="16"/>
    </row>
    <row r="6584" spans="4:4">
      <c r="D6584" s="16"/>
    </row>
    <row r="6585" spans="4:4">
      <c r="D6585" s="16"/>
    </row>
    <row r="6586" spans="4:4">
      <c r="D6586" s="16"/>
    </row>
    <row r="6587" spans="4:4">
      <c r="D6587" s="16"/>
    </row>
    <row r="6588" spans="4:4">
      <c r="D6588" s="16"/>
    </row>
    <row r="6589" spans="4:4">
      <c r="D6589" s="16"/>
    </row>
    <row r="6590" spans="4:4">
      <c r="D6590" s="16"/>
    </row>
    <row r="6591" spans="4:4">
      <c r="D6591" s="16"/>
    </row>
    <row r="6592" spans="4:4">
      <c r="D6592" s="16"/>
    </row>
    <row r="6593" spans="4:4">
      <c r="D6593" s="16"/>
    </row>
    <row r="6594" spans="4:4">
      <c r="D6594" s="16"/>
    </row>
    <row r="6595" spans="4:4">
      <c r="D6595" s="16"/>
    </row>
    <row r="6596" spans="4:4">
      <c r="D6596" s="16"/>
    </row>
    <row r="6597" spans="4:4">
      <c r="D6597" s="16"/>
    </row>
    <row r="6598" spans="4:4">
      <c r="D6598" s="16"/>
    </row>
    <row r="6599" spans="4:4">
      <c r="D6599" s="16"/>
    </row>
    <row r="6600" spans="4:4">
      <c r="D6600" s="16"/>
    </row>
    <row r="6601" spans="4:4">
      <c r="D6601" s="16"/>
    </row>
    <row r="6602" spans="4:4">
      <c r="D6602" s="16"/>
    </row>
    <row r="6603" spans="4:4">
      <c r="D6603" s="16"/>
    </row>
    <row r="6604" spans="4:4">
      <c r="D6604" s="16"/>
    </row>
    <row r="6605" spans="4:4">
      <c r="D6605" s="16"/>
    </row>
    <row r="6606" spans="4:4">
      <c r="D6606" s="16"/>
    </row>
    <row r="6607" spans="4:4">
      <c r="D6607" s="16"/>
    </row>
    <row r="6608" spans="4:4">
      <c r="D6608" s="16"/>
    </row>
    <row r="6609" spans="4:4">
      <c r="D6609" s="16"/>
    </row>
    <row r="6610" spans="4:4">
      <c r="D6610" s="16"/>
    </row>
    <row r="6611" spans="4:4">
      <c r="D6611" s="16"/>
    </row>
    <row r="6612" spans="4:4">
      <c r="D6612" s="16"/>
    </row>
    <row r="6613" spans="4:4">
      <c r="D6613" s="16"/>
    </row>
    <row r="6614" spans="4:4">
      <c r="D6614" s="16"/>
    </row>
    <row r="6615" spans="4:4">
      <c r="D6615" s="16"/>
    </row>
    <row r="6616" spans="4:4">
      <c r="D6616" s="16"/>
    </row>
    <row r="6617" spans="4:4">
      <c r="D6617" s="16"/>
    </row>
    <row r="6618" spans="4:4">
      <c r="D6618" s="16"/>
    </row>
    <row r="6619" spans="4:4">
      <c r="D6619" s="16"/>
    </row>
    <row r="6620" spans="4:4">
      <c r="D6620" s="16"/>
    </row>
    <row r="6621" spans="4:4">
      <c r="D6621" s="16"/>
    </row>
    <row r="6622" spans="4:4">
      <c r="D6622" s="16"/>
    </row>
    <row r="6623" spans="4:4">
      <c r="D6623" s="16"/>
    </row>
    <row r="6624" spans="4:4">
      <c r="D6624" s="16"/>
    </row>
    <row r="6625" spans="4:4">
      <c r="D6625" s="16"/>
    </row>
    <row r="6626" spans="4:4">
      <c r="D6626" s="16"/>
    </row>
    <row r="6627" spans="4:4">
      <c r="D6627" s="16"/>
    </row>
    <row r="6628" spans="4:4">
      <c r="D6628" s="16"/>
    </row>
    <row r="6629" spans="4:4">
      <c r="D6629" s="16"/>
    </row>
    <row r="6630" spans="4:4">
      <c r="D6630" s="16"/>
    </row>
    <row r="6631" spans="4:4">
      <c r="D6631" s="16"/>
    </row>
    <row r="6632" spans="4:4">
      <c r="D6632" s="16"/>
    </row>
    <row r="6633" spans="4:4">
      <c r="D6633" s="16"/>
    </row>
    <row r="6634" spans="4:4">
      <c r="D6634" s="16"/>
    </row>
    <row r="6635" spans="4:4">
      <c r="D6635" s="16"/>
    </row>
    <row r="6636" spans="4:4">
      <c r="D6636" s="16"/>
    </row>
    <row r="6637" spans="4:4">
      <c r="D6637" s="16"/>
    </row>
    <row r="6638" spans="4:4">
      <c r="D6638" s="16"/>
    </row>
    <row r="6639" spans="4:4">
      <c r="D6639" s="16"/>
    </row>
    <row r="6640" spans="4:4">
      <c r="D6640" s="16"/>
    </row>
    <row r="6641" spans="4:4">
      <c r="D6641" s="16"/>
    </row>
    <row r="6642" spans="4:4">
      <c r="D6642" s="16"/>
    </row>
    <row r="6643" spans="4:4">
      <c r="D6643" s="16"/>
    </row>
    <row r="6644" spans="4:4">
      <c r="D6644" s="16"/>
    </row>
    <row r="6645" spans="4:4">
      <c r="D6645" s="16"/>
    </row>
    <row r="6646" spans="4:4">
      <c r="D6646" s="16"/>
    </row>
    <row r="6647" spans="4:4">
      <c r="D6647" s="16"/>
    </row>
    <row r="6648" spans="4:4">
      <c r="D6648" s="16"/>
    </row>
    <row r="6649" spans="4:4">
      <c r="D6649" s="16"/>
    </row>
    <row r="6650" spans="4:4">
      <c r="D6650" s="16"/>
    </row>
    <row r="6651" spans="4:4">
      <c r="D6651" s="16"/>
    </row>
    <row r="6652" spans="4:4">
      <c r="D6652" s="16"/>
    </row>
    <row r="6653" spans="4:4">
      <c r="D6653" s="16"/>
    </row>
    <row r="6654" spans="4:4">
      <c r="D6654" s="16"/>
    </row>
    <row r="6655" spans="4:4">
      <c r="D6655" s="16"/>
    </row>
    <row r="6656" spans="4:4">
      <c r="D6656" s="16"/>
    </row>
    <row r="6657" spans="4:4">
      <c r="D6657" s="16"/>
    </row>
    <row r="6658" spans="4:4">
      <c r="D6658" s="16"/>
    </row>
    <row r="6659" spans="4:4">
      <c r="D6659" s="16"/>
    </row>
    <row r="6660" spans="4:4">
      <c r="D6660" s="16"/>
    </row>
    <row r="6661" spans="4:4">
      <c r="D6661" s="16"/>
    </row>
    <row r="6662" spans="4:4">
      <c r="D6662" s="16"/>
    </row>
    <row r="6663" spans="4:4">
      <c r="D6663" s="16"/>
    </row>
    <row r="6664" spans="4:4">
      <c r="D6664" s="16"/>
    </row>
    <row r="6665" spans="4:4">
      <c r="D6665" s="16"/>
    </row>
    <row r="6666" spans="4:4">
      <c r="D6666" s="16"/>
    </row>
    <row r="6667" spans="4:4">
      <c r="D6667" s="16"/>
    </row>
    <row r="6668" spans="4:4">
      <c r="D6668" s="16"/>
    </row>
    <row r="6669" spans="4:4">
      <c r="D6669" s="16"/>
    </row>
    <row r="6670" spans="4:4">
      <c r="D6670" s="16"/>
    </row>
    <row r="6671" spans="4:4">
      <c r="D6671" s="16"/>
    </row>
    <row r="6672" spans="4:4">
      <c r="D6672" s="16"/>
    </row>
    <row r="6673" spans="4:4">
      <c r="D6673" s="16"/>
    </row>
    <row r="6674" spans="4:4">
      <c r="D6674" s="16"/>
    </row>
    <row r="6675" spans="4:4">
      <c r="D6675" s="16"/>
    </row>
    <row r="6676" spans="4:4">
      <c r="D6676" s="16"/>
    </row>
    <row r="6677" spans="4:4">
      <c r="D6677" s="16"/>
    </row>
    <row r="6678" spans="4:4">
      <c r="D6678" s="16"/>
    </row>
    <row r="6679" spans="4:4">
      <c r="D6679" s="16"/>
    </row>
    <row r="6680" spans="4:4">
      <c r="D6680" s="16"/>
    </row>
    <row r="6681" spans="4:4">
      <c r="D6681" s="16"/>
    </row>
    <row r="6682" spans="4:4">
      <c r="D6682" s="16"/>
    </row>
    <row r="6683" spans="4:4">
      <c r="D6683" s="16"/>
    </row>
    <row r="6684" spans="4:4">
      <c r="D6684" s="16"/>
    </row>
    <row r="6685" spans="4:4">
      <c r="D6685" s="16"/>
    </row>
    <row r="6686" spans="4:4">
      <c r="D6686" s="16"/>
    </row>
    <row r="6687" spans="4:4">
      <c r="D6687" s="16"/>
    </row>
    <row r="6688" spans="4:4">
      <c r="D6688" s="16"/>
    </row>
    <row r="6689" spans="4:4">
      <c r="D6689" s="16"/>
    </row>
    <row r="6690" spans="4:4">
      <c r="D6690" s="16"/>
    </row>
    <row r="6691" spans="4:4">
      <c r="D6691" s="16"/>
    </row>
    <row r="6692" spans="4:4">
      <c r="D6692" s="16"/>
    </row>
    <row r="6693" spans="4:4">
      <c r="D6693" s="16"/>
    </row>
    <row r="6694" spans="4:4">
      <c r="D6694" s="16"/>
    </row>
    <row r="6695" spans="4:4">
      <c r="D6695" s="16"/>
    </row>
    <row r="6696" spans="4:4">
      <c r="D6696" s="16"/>
    </row>
    <row r="6697" spans="4:4">
      <c r="D6697" s="16"/>
    </row>
    <row r="6698" spans="4:4">
      <c r="D6698" s="16"/>
    </row>
    <row r="6699" spans="4:4">
      <c r="D6699" s="16"/>
    </row>
    <row r="6700" spans="4:4">
      <c r="D6700" s="16"/>
    </row>
    <row r="6701" spans="4:4">
      <c r="D6701" s="16"/>
    </row>
    <row r="6702" spans="4:4">
      <c r="D6702" s="16"/>
    </row>
    <row r="6703" spans="4:4">
      <c r="D6703" s="16"/>
    </row>
    <row r="6704" spans="4:4">
      <c r="D6704" s="16"/>
    </row>
    <row r="6705" spans="4:4">
      <c r="D6705" s="16"/>
    </row>
    <row r="6706" spans="4:4">
      <c r="D6706" s="16"/>
    </row>
    <row r="6707" spans="4:4">
      <c r="D6707" s="16"/>
    </row>
    <row r="6708" spans="4:4">
      <c r="D6708" s="16"/>
    </row>
    <row r="6709" spans="4:4">
      <c r="D6709" s="16"/>
    </row>
    <row r="6710" spans="4:4">
      <c r="D6710" s="16"/>
    </row>
    <row r="6711" spans="4:4">
      <c r="D6711" s="16"/>
    </row>
    <row r="6712" spans="4:4">
      <c r="D6712" s="16"/>
    </row>
    <row r="6713" spans="4:4">
      <c r="D6713" s="16"/>
    </row>
    <row r="6714" spans="4:4">
      <c r="D6714" s="16"/>
    </row>
    <row r="6715" spans="4:4">
      <c r="D6715" s="16"/>
    </row>
    <row r="6716" spans="4:4">
      <c r="D6716" s="16"/>
    </row>
    <row r="6717" spans="4:4">
      <c r="D6717" s="16"/>
    </row>
    <row r="6718" spans="4:4">
      <c r="D6718" s="16"/>
    </row>
    <row r="6719" spans="4:4">
      <c r="D6719" s="16"/>
    </row>
    <row r="6720" spans="4:4">
      <c r="D6720" s="16"/>
    </row>
    <row r="6721" spans="4:4">
      <c r="D6721" s="16"/>
    </row>
    <row r="6722" spans="4:4">
      <c r="D6722" s="16"/>
    </row>
    <row r="6723" spans="4:4">
      <c r="D6723" s="16"/>
    </row>
    <row r="6724" spans="4:4">
      <c r="D6724" s="16"/>
    </row>
    <row r="6725" spans="4:4">
      <c r="D6725" s="16"/>
    </row>
    <row r="6726" spans="4:4">
      <c r="D6726" s="16"/>
    </row>
    <row r="6727" spans="4:4">
      <c r="D6727" s="16"/>
    </row>
    <row r="6728" spans="4:4">
      <c r="D6728" s="16"/>
    </row>
    <row r="6729" spans="4:4">
      <c r="D6729" s="16"/>
    </row>
    <row r="6730" spans="4:4">
      <c r="D6730" s="16"/>
    </row>
    <row r="6731" spans="4:4">
      <c r="D6731" s="16"/>
    </row>
    <row r="6732" spans="4:4">
      <c r="D6732" s="16"/>
    </row>
    <row r="6733" spans="4:4">
      <c r="D6733" s="16"/>
    </row>
    <row r="6734" spans="4:4">
      <c r="D6734" s="16"/>
    </row>
    <row r="6735" spans="4:4">
      <c r="D6735" s="16"/>
    </row>
    <row r="6736" spans="4:4">
      <c r="D6736" s="16"/>
    </row>
    <row r="6737" spans="4:4">
      <c r="D6737" s="16"/>
    </row>
    <row r="6738" spans="4:4">
      <c r="D6738" s="16"/>
    </row>
    <row r="6739" spans="4:4">
      <c r="D6739" s="16"/>
    </row>
    <row r="6740" spans="4:4">
      <c r="D6740" s="16"/>
    </row>
    <row r="6741" spans="4:4">
      <c r="D6741" s="16"/>
    </row>
    <row r="6742" spans="4:4">
      <c r="D6742" s="16"/>
    </row>
    <row r="6743" spans="4:4">
      <c r="D6743" s="16"/>
    </row>
    <row r="6744" spans="4:4">
      <c r="D6744" s="16"/>
    </row>
    <row r="6745" spans="4:4">
      <c r="D6745" s="16"/>
    </row>
    <row r="6746" spans="4:4">
      <c r="D6746" s="16"/>
    </row>
    <row r="6747" spans="4:4">
      <c r="D6747" s="16"/>
    </row>
    <row r="6748" spans="4:4">
      <c r="D6748" s="16"/>
    </row>
    <row r="6749" spans="4:4">
      <c r="D6749" s="16"/>
    </row>
    <row r="6750" spans="4:4">
      <c r="D6750" s="16"/>
    </row>
    <row r="6751" spans="4:4">
      <c r="D6751" s="16"/>
    </row>
    <row r="6752" spans="4:4">
      <c r="D6752" s="16"/>
    </row>
    <row r="6753" spans="4:4">
      <c r="D6753" s="16"/>
    </row>
    <row r="6754" spans="4:4">
      <c r="D6754" s="16"/>
    </row>
    <row r="6755" spans="4:4">
      <c r="D6755" s="16"/>
    </row>
    <row r="6756" spans="4:4">
      <c r="D6756" s="16"/>
    </row>
    <row r="6757" spans="4:4">
      <c r="D6757" s="16"/>
    </row>
    <row r="6758" spans="4:4">
      <c r="D6758" s="16"/>
    </row>
    <row r="6759" spans="4:4">
      <c r="D6759" s="16"/>
    </row>
    <row r="6760" spans="4:4">
      <c r="D6760" s="16"/>
    </row>
    <row r="6761" spans="4:4">
      <c r="D6761" s="16"/>
    </row>
    <row r="6762" spans="4:4">
      <c r="D6762" s="16"/>
    </row>
    <row r="6763" spans="4:4">
      <c r="D6763" s="16"/>
    </row>
    <row r="6764" spans="4:4">
      <c r="D6764" s="16"/>
    </row>
    <row r="6765" spans="4:4">
      <c r="D6765" s="16"/>
    </row>
    <row r="6766" spans="4:4">
      <c r="D6766" s="16"/>
    </row>
    <row r="6767" spans="4:4">
      <c r="D6767" s="16"/>
    </row>
    <row r="6768" spans="4:4">
      <c r="D6768" s="16"/>
    </row>
    <row r="6769" spans="4:4">
      <c r="D6769" s="16"/>
    </row>
    <row r="6770" spans="4:4">
      <c r="D6770" s="16"/>
    </row>
    <row r="6771" spans="4:4">
      <c r="D6771" s="16"/>
    </row>
    <row r="6772" spans="4:4">
      <c r="D6772" s="16"/>
    </row>
    <row r="6773" spans="4:4">
      <c r="D6773" s="16"/>
    </row>
    <row r="6774" spans="4:4">
      <c r="D6774" s="16"/>
    </row>
    <row r="6775" spans="4:4">
      <c r="D6775" s="16"/>
    </row>
    <row r="6776" spans="4:4">
      <c r="D6776" s="16"/>
    </row>
    <row r="6777" spans="4:4">
      <c r="D6777" s="16"/>
    </row>
    <row r="6778" spans="4:4">
      <c r="D6778" s="16"/>
    </row>
    <row r="6779" spans="4:4">
      <c r="D6779" s="16"/>
    </row>
    <row r="6780" spans="4:4">
      <c r="D6780" s="16"/>
    </row>
    <row r="6781" spans="4:4">
      <c r="D6781" s="16"/>
    </row>
    <row r="6782" spans="4:4">
      <c r="D6782" s="16"/>
    </row>
    <row r="6783" spans="4:4">
      <c r="D6783" s="16"/>
    </row>
    <row r="6784" spans="4:4">
      <c r="D6784" s="16"/>
    </row>
    <row r="6785" spans="4:4">
      <c r="D6785" s="16"/>
    </row>
    <row r="6786" spans="4:4">
      <c r="D6786" s="16"/>
    </row>
    <row r="6787" spans="4:4">
      <c r="D6787" s="16"/>
    </row>
    <row r="6788" spans="4:4">
      <c r="D6788" s="16"/>
    </row>
    <row r="6789" spans="4:4">
      <c r="D6789" s="16"/>
    </row>
    <row r="6790" spans="4:4">
      <c r="D6790" s="16"/>
    </row>
    <row r="6791" spans="4:4">
      <c r="D6791" s="16"/>
    </row>
    <row r="6792" spans="4:4">
      <c r="D6792" s="16"/>
    </row>
    <row r="6793" spans="4:4">
      <c r="D6793" s="16"/>
    </row>
    <row r="6794" spans="4:4">
      <c r="D6794" s="16"/>
    </row>
    <row r="6795" spans="4:4">
      <c r="D6795" s="16"/>
    </row>
    <row r="6796" spans="4:4">
      <c r="D6796" s="16"/>
    </row>
    <row r="6797" spans="4:4">
      <c r="D6797" s="16"/>
    </row>
    <row r="6798" spans="4:4">
      <c r="D6798" s="16"/>
    </row>
    <row r="6799" spans="4:4">
      <c r="D6799" s="16"/>
    </row>
    <row r="6800" spans="4:4">
      <c r="D6800" s="16"/>
    </row>
    <row r="6801" spans="4:4">
      <c r="D6801" s="16"/>
    </row>
    <row r="6802" spans="4:4">
      <c r="D6802" s="16"/>
    </row>
    <row r="6803" spans="4:4">
      <c r="D6803" s="16"/>
    </row>
    <row r="6804" spans="4:4">
      <c r="D6804" s="16"/>
    </row>
    <row r="6805" spans="4:4">
      <c r="D6805" s="16"/>
    </row>
    <row r="6806" spans="4:4">
      <c r="D6806" s="16"/>
    </row>
    <row r="6807" spans="4:4">
      <c r="D6807" s="16"/>
    </row>
    <row r="6808" spans="4:4">
      <c r="D6808" s="16"/>
    </row>
    <row r="6809" spans="4:4">
      <c r="D6809" s="16"/>
    </row>
    <row r="6810" spans="4:4">
      <c r="D6810" s="16"/>
    </row>
    <row r="6811" spans="4:4">
      <c r="D6811" s="16"/>
    </row>
    <row r="6812" spans="4:4">
      <c r="D6812" s="16"/>
    </row>
    <row r="6813" spans="4:4">
      <c r="D6813" s="16"/>
    </row>
    <row r="6814" spans="4:4">
      <c r="D6814" s="16"/>
    </row>
    <row r="6815" spans="4:4">
      <c r="D6815" s="16"/>
    </row>
    <row r="6816" spans="4:4">
      <c r="D6816" s="16"/>
    </row>
    <row r="6817" spans="4:4">
      <c r="D6817" s="16"/>
    </row>
    <row r="6818" spans="4:4">
      <c r="D6818" s="16"/>
    </row>
    <row r="6819" spans="4:4">
      <c r="D6819" s="16"/>
    </row>
    <row r="6820" spans="4:4">
      <c r="D6820" s="16"/>
    </row>
    <row r="6821" spans="4:4">
      <c r="D6821" s="16"/>
    </row>
    <row r="6822" spans="4:4">
      <c r="D6822" s="16"/>
    </row>
    <row r="6823" spans="4:4">
      <c r="D6823" s="16"/>
    </row>
    <row r="6824" spans="4:4">
      <c r="D6824" s="16"/>
    </row>
    <row r="6825" spans="4:4">
      <c r="D6825" s="16"/>
    </row>
    <row r="6826" spans="4:4">
      <c r="D6826" s="16"/>
    </row>
    <row r="6827" spans="4:4">
      <c r="D6827" s="16"/>
    </row>
    <row r="6828" spans="4:4">
      <c r="D6828" s="16"/>
    </row>
    <row r="6829" spans="4:4">
      <c r="D6829" s="16"/>
    </row>
    <row r="6830" spans="4:4">
      <c r="D6830" s="16"/>
    </row>
    <row r="6831" spans="4:4">
      <c r="D6831" s="16"/>
    </row>
    <row r="6832" spans="4:4">
      <c r="D6832" s="16"/>
    </row>
    <row r="6833" spans="4:4">
      <c r="D6833" s="16"/>
    </row>
    <row r="6834" spans="4:4">
      <c r="D6834" s="16"/>
    </row>
    <row r="6835" spans="4:4">
      <c r="D6835" s="16"/>
    </row>
    <row r="6836" spans="4:4">
      <c r="D6836" s="16"/>
    </row>
    <row r="6837" spans="4:4">
      <c r="D6837" s="16"/>
    </row>
    <row r="6838" spans="4:4">
      <c r="D6838" s="16"/>
    </row>
    <row r="6839" spans="4:4">
      <c r="D6839" s="16"/>
    </row>
    <row r="6840" spans="4:4">
      <c r="D6840" s="16"/>
    </row>
    <row r="6841" spans="4:4">
      <c r="D6841" s="16"/>
    </row>
    <row r="6842" spans="4:4">
      <c r="D6842" s="16"/>
    </row>
    <row r="6843" spans="4:4">
      <c r="D6843" s="16"/>
    </row>
    <row r="6844" spans="4:4">
      <c r="D6844" s="16"/>
    </row>
    <row r="6845" spans="4:4">
      <c r="D6845" s="16"/>
    </row>
    <row r="6846" spans="4:4">
      <c r="D6846" s="16"/>
    </row>
    <row r="6847" spans="4:4">
      <c r="D6847" s="16"/>
    </row>
    <row r="6848" spans="4:4">
      <c r="D6848" s="16"/>
    </row>
    <row r="6849" spans="4:4">
      <c r="D6849" s="16"/>
    </row>
    <row r="6850" spans="4:4">
      <c r="D6850" s="16"/>
    </row>
    <row r="6851" spans="4:4">
      <c r="D6851" s="16"/>
    </row>
    <row r="6852" spans="4:4">
      <c r="D6852" s="16"/>
    </row>
    <row r="6853" spans="4:4">
      <c r="D6853" s="16"/>
    </row>
    <row r="6854" spans="4:4">
      <c r="D6854" s="16"/>
    </row>
    <row r="6855" spans="4:4">
      <c r="D6855" s="16"/>
    </row>
    <row r="6856" spans="4:4">
      <c r="D6856" s="16"/>
    </row>
    <row r="6857" spans="4:4">
      <c r="D6857" s="16"/>
    </row>
    <row r="6858" spans="4:4">
      <c r="D6858" s="16"/>
    </row>
    <row r="6859" spans="4:4">
      <c r="D6859" s="16"/>
    </row>
    <row r="6860" spans="4:4">
      <c r="D6860" s="16"/>
    </row>
    <row r="6861" spans="4:4">
      <c r="D6861" s="16"/>
    </row>
    <row r="6862" spans="4:4">
      <c r="D6862" s="16"/>
    </row>
    <row r="6863" spans="4:4">
      <c r="D6863" s="16"/>
    </row>
    <row r="6864" spans="4:4">
      <c r="D6864" s="16"/>
    </row>
    <row r="6865" spans="4:4">
      <c r="D6865" s="16"/>
    </row>
    <row r="6866" spans="4:4">
      <c r="D6866" s="16"/>
    </row>
    <row r="6867" spans="4:4">
      <c r="D6867" s="16"/>
    </row>
    <row r="6868" spans="4:4">
      <c r="D6868" s="16"/>
    </row>
    <row r="6869" spans="4:4">
      <c r="D6869" s="16"/>
    </row>
    <row r="6870" spans="4:4">
      <c r="D6870" s="16"/>
    </row>
    <row r="6871" spans="4:4">
      <c r="D6871" s="16"/>
    </row>
    <row r="6872" spans="4:4">
      <c r="D6872" s="16"/>
    </row>
    <row r="6873" spans="4:4">
      <c r="D6873" s="16"/>
    </row>
    <row r="6874" spans="4:4">
      <c r="D6874" s="16"/>
    </row>
    <row r="6875" spans="4:4">
      <c r="D6875" s="16"/>
    </row>
    <row r="6876" spans="4:4">
      <c r="D6876" s="16"/>
    </row>
    <row r="6877" spans="4:4">
      <c r="D6877" s="16"/>
    </row>
    <row r="6878" spans="4:4">
      <c r="D6878" s="16"/>
    </row>
    <row r="6879" spans="4:4">
      <c r="D6879" s="16"/>
    </row>
    <row r="6880" spans="4:4">
      <c r="D6880" s="16"/>
    </row>
    <row r="6881" spans="4:4">
      <c r="D6881" s="16"/>
    </row>
    <row r="6882" spans="4:4">
      <c r="D6882" s="16"/>
    </row>
    <row r="6883" spans="4:4">
      <c r="D6883" s="16"/>
    </row>
    <row r="6884" spans="4:4">
      <c r="D6884" s="16"/>
    </row>
    <row r="6885" spans="4:4">
      <c r="D6885" s="16"/>
    </row>
    <row r="6886" spans="4:4">
      <c r="D6886" s="16"/>
    </row>
    <row r="6887" spans="4:4">
      <c r="D6887" s="16"/>
    </row>
    <row r="6888" spans="4:4">
      <c r="D6888" s="16"/>
    </row>
    <row r="6889" spans="4:4">
      <c r="D6889" s="16"/>
    </row>
    <row r="6890" spans="4:4">
      <c r="D6890" s="16"/>
    </row>
    <row r="6891" spans="4:4">
      <c r="D6891" s="16"/>
    </row>
    <row r="6892" spans="4:4">
      <c r="D6892" s="16"/>
    </row>
    <row r="6893" spans="4:4">
      <c r="D6893" s="16"/>
    </row>
    <row r="6894" spans="4:4">
      <c r="D6894" s="16"/>
    </row>
    <row r="6895" spans="4:4">
      <c r="D6895" s="16"/>
    </row>
    <row r="6896" spans="4:4">
      <c r="D6896" s="16"/>
    </row>
    <row r="6897" spans="4:4">
      <c r="D6897" s="16"/>
    </row>
    <row r="6898" spans="4:4">
      <c r="D6898" s="16"/>
    </row>
    <row r="6899" spans="4:4">
      <c r="D6899" s="16"/>
    </row>
    <row r="6900" spans="4:4">
      <c r="D6900" s="16"/>
    </row>
    <row r="6901" spans="4:4">
      <c r="D6901" s="16"/>
    </row>
    <row r="6902" spans="4:4">
      <c r="D6902" s="16"/>
    </row>
    <row r="6903" spans="4:4">
      <c r="D6903" s="16"/>
    </row>
    <row r="6904" spans="4:4">
      <c r="D6904" s="16"/>
    </row>
    <row r="6905" spans="4:4">
      <c r="D6905" s="16"/>
    </row>
    <row r="6906" spans="4:4">
      <c r="D6906" s="16"/>
    </row>
    <row r="6907" spans="4:4">
      <c r="D6907" s="16"/>
    </row>
    <row r="6908" spans="4:4">
      <c r="D6908" s="16"/>
    </row>
    <row r="6909" spans="4:4">
      <c r="D6909" s="16"/>
    </row>
    <row r="6910" spans="4:4">
      <c r="D6910" s="16"/>
    </row>
    <row r="6911" spans="4:4">
      <c r="D6911" s="16"/>
    </row>
    <row r="6912" spans="4:4">
      <c r="D6912" s="16"/>
    </row>
    <row r="6913" spans="4:4">
      <c r="D6913" s="16"/>
    </row>
    <row r="6914" spans="4:4">
      <c r="D6914" s="16"/>
    </row>
    <row r="6915" spans="4:4">
      <c r="D6915" s="16"/>
    </row>
    <row r="6916" spans="4:4">
      <c r="D6916" s="16"/>
    </row>
    <row r="6917" spans="4:4">
      <c r="D6917" s="16"/>
    </row>
    <row r="6918" spans="4:4">
      <c r="D6918" s="16"/>
    </row>
    <row r="6919" spans="4:4">
      <c r="D6919" s="16"/>
    </row>
    <row r="6920" spans="4:4">
      <c r="D6920" s="16"/>
    </row>
    <row r="6921" spans="4:4">
      <c r="D6921" s="16"/>
    </row>
    <row r="6922" spans="4:4">
      <c r="D6922" s="16"/>
    </row>
    <row r="6923" spans="4:4">
      <c r="D6923" s="16"/>
    </row>
    <row r="6924" spans="4:4">
      <c r="D6924" s="16"/>
    </row>
    <row r="6925" spans="4:4">
      <c r="D6925" s="16"/>
    </row>
    <row r="6926" spans="4:4">
      <c r="D6926" s="16"/>
    </row>
    <row r="6927" spans="4:4">
      <c r="D6927" s="16"/>
    </row>
    <row r="6928" spans="4:4">
      <c r="D6928" s="16"/>
    </row>
    <row r="6929" spans="4:4">
      <c r="D6929" s="16"/>
    </row>
    <row r="6930" spans="4:4">
      <c r="D6930" s="16"/>
    </row>
    <row r="6931" spans="4:4">
      <c r="D6931" s="16"/>
    </row>
    <row r="6932" spans="4:4">
      <c r="D6932" s="16"/>
    </row>
    <row r="6933" spans="4:4">
      <c r="D6933" s="16"/>
    </row>
    <row r="6934" spans="4:4">
      <c r="D6934" s="16"/>
    </row>
    <row r="6935" spans="4:4">
      <c r="D6935" s="16"/>
    </row>
    <row r="6936" spans="4:4">
      <c r="D6936" s="16"/>
    </row>
    <row r="6937" spans="4:4">
      <c r="D6937" s="16"/>
    </row>
    <row r="6938" spans="4:4">
      <c r="D6938" s="16"/>
    </row>
    <row r="6939" spans="4:4">
      <c r="D6939" s="16"/>
    </row>
    <row r="6940" spans="4:4">
      <c r="D6940" s="16"/>
    </row>
    <row r="6941" spans="4:4">
      <c r="D6941" s="16"/>
    </row>
    <row r="6942" spans="4:4">
      <c r="D6942" s="16"/>
    </row>
    <row r="6943" spans="4:4">
      <c r="D6943" s="16"/>
    </row>
    <row r="6944" spans="4:4">
      <c r="D6944" s="16"/>
    </row>
    <row r="6945" spans="4:4">
      <c r="D6945" s="16"/>
    </row>
    <row r="6946" spans="4:4">
      <c r="D6946" s="16"/>
    </row>
    <row r="6947" spans="4:4">
      <c r="D6947" s="16"/>
    </row>
    <row r="6948" spans="4:4">
      <c r="D6948" s="16"/>
    </row>
    <row r="6949" spans="4:4">
      <c r="D6949" s="16"/>
    </row>
    <row r="6950" spans="4:4">
      <c r="D6950" s="16"/>
    </row>
    <row r="6951" spans="4:4">
      <c r="D6951" s="16"/>
    </row>
    <row r="6952" spans="4:4">
      <c r="D6952" s="16"/>
    </row>
    <row r="6953" spans="4:4">
      <c r="D6953" s="16"/>
    </row>
    <row r="6954" spans="4:4">
      <c r="D6954" s="16"/>
    </row>
    <row r="6955" spans="4:4">
      <c r="D6955" s="16"/>
    </row>
    <row r="6956" spans="4:4">
      <c r="D6956" s="16"/>
    </row>
    <row r="6957" spans="4:4">
      <c r="D6957" s="16"/>
    </row>
    <row r="6958" spans="4:4">
      <c r="D6958" s="16"/>
    </row>
    <row r="6959" spans="4:4">
      <c r="D6959" s="16"/>
    </row>
    <row r="6960" spans="4:4">
      <c r="D6960" s="16"/>
    </row>
    <row r="6961" spans="4:4">
      <c r="D6961" s="16"/>
    </row>
    <row r="6962" spans="4:4">
      <c r="D6962" s="16"/>
    </row>
    <row r="6963" spans="4:4">
      <c r="D6963" s="16"/>
    </row>
    <row r="6964" spans="4:4">
      <c r="D6964" s="16"/>
    </row>
    <row r="6965" spans="4:4">
      <c r="D6965" s="16"/>
    </row>
    <row r="6966" spans="4:4">
      <c r="D6966" s="16"/>
    </row>
    <row r="6967" spans="4:4">
      <c r="D6967" s="16"/>
    </row>
    <row r="6968" spans="4:4">
      <c r="D6968" s="16"/>
    </row>
    <row r="6969" spans="4:4">
      <c r="D6969" s="16"/>
    </row>
    <row r="6970" spans="4:4">
      <c r="D6970" s="16"/>
    </row>
    <row r="6971" spans="4:4">
      <c r="D6971" s="16"/>
    </row>
    <row r="6972" spans="4:4">
      <c r="D6972" s="16"/>
    </row>
    <row r="6973" spans="4:4">
      <c r="D6973" s="16"/>
    </row>
    <row r="6974" spans="4:4">
      <c r="D6974" s="16"/>
    </row>
    <row r="6975" spans="4:4">
      <c r="D6975" s="16"/>
    </row>
    <row r="6976" spans="4:4">
      <c r="D6976" s="16"/>
    </row>
    <row r="6977" spans="4:4">
      <c r="D6977" s="16"/>
    </row>
    <row r="6978" spans="4:4">
      <c r="D6978" s="16"/>
    </row>
    <row r="6979" spans="4:4">
      <c r="D6979" s="16"/>
    </row>
    <row r="6980" spans="4:4">
      <c r="D6980" s="16"/>
    </row>
    <row r="6981" spans="4:4">
      <c r="D6981" s="16"/>
    </row>
    <row r="6982" spans="4:4">
      <c r="D6982" s="16"/>
    </row>
    <row r="6983" spans="4:4">
      <c r="D6983" s="16"/>
    </row>
    <row r="6984" spans="4:4">
      <c r="D6984" s="16"/>
    </row>
    <row r="6985" spans="4:4">
      <c r="D6985" s="16"/>
    </row>
    <row r="6986" spans="4:4">
      <c r="D6986" s="16"/>
    </row>
    <row r="6987" spans="4:4">
      <c r="D6987" s="16"/>
    </row>
    <row r="6988" spans="4:4">
      <c r="D6988" s="16"/>
    </row>
    <row r="6989" spans="4:4">
      <c r="D6989" s="16"/>
    </row>
    <row r="6990" spans="4:4">
      <c r="D6990" s="16"/>
    </row>
    <row r="6991" spans="4:4">
      <c r="D6991" s="16"/>
    </row>
    <row r="6992" spans="4:4">
      <c r="D6992" s="16"/>
    </row>
    <row r="6993" spans="4:4">
      <c r="D6993" s="16"/>
    </row>
    <row r="6994" spans="4:4">
      <c r="D6994" s="16"/>
    </row>
    <row r="6995" spans="4:4">
      <c r="D6995" s="16"/>
    </row>
    <row r="6996" spans="4:4">
      <c r="D6996" s="16"/>
    </row>
    <row r="6997" spans="4:4">
      <c r="D6997" s="16"/>
    </row>
    <row r="6998" spans="4:4">
      <c r="D6998" s="16"/>
    </row>
    <row r="6999" spans="4:4">
      <c r="D6999" s="16"/>
    </row>
    <row r="7000" spans="4:4">
      <c r="D7000" s="16"/>
    </row>
    <row r="7001" spans="4:4">
      <c r="D7001" s="16"/>
    </row>
    <row r="7002" spans="4:4">
      <c r="D7002" s="16"/>
    </row>
    <row r="7003" spans="4:4">
      <c r="D7003" s="16"/>
    </row>
    <row r="7004" spans="4:4">
      <c r="D7004" s="16"/>
    </row>
    <row r="7005" spans="4:4">
      <c r="D7005" s="16"/>
    </row>
    <row r="7006" spans="4:4">
      <c r="D7006" s="16"/>
    </row>
    <row r="7007" spans="4:4">
      <c r="D7007" s="16"/>
    </row>
    <row r="7008" spans="4:4">
      <c r="D7008" s="16"/>
    </row>
    <row r="7009" spans="4:4">
      <c r="D7009" s="16"/>
    </row>
    <row r="7010" spans="4:4">
      <c r="D7010" s="16"/>
    </row>
    <row r="7011" spans="4:4">
      <c r="D7011" s="16"/>
    </row>
    <row r="7012" spans="4:4">
      <c r="D7012" s="16"/>
    </row>
    <row r="7013" spans="4:4">
      <c r="D7013" s="16"/>
    </row>
    <row r="7014" spans="4:4">
      <c r="D7014" s="16"/>
    </row>
    <row r="7015" spans="4:4">
      <c r="D7015" s="16"/>
    </row>
    <row r="7016" spans="4:4">
      <c r="D7016" s="16"/>
    </row>
    <row r="7017" spans="4:4">
      <c r="D7017" s="16"/>
    </row>
    <row r="7018" spans="4:4">
      <c r="D7018" s="16"/>
    </row>
    <row r="7019" spans="4:4">
      <c r="D7019" s="16"/>
    </row>
    <row r="7020" spans="4:4">
      <c r="D7020" s="16"/>
    </row>
    <row r="7021" spans="4:4">
      <c r="D7021" s="16"/>
    </row>
    <row r="7022" spans="4:4">
      <c r="D7022" s="16"/>
    </row>
    <row r="7023" spans="4:4">
      <c r="D7023" s="16"/>
    </row>
    <row r="7024" spans="4:4">
      <c r="D7024" s="16"/>
    </row>
    <row r="7025" spans="4:4">
      <c r="D7025" s="16"/>
    </row>
    <row r="7026" spans="4:4">
      <c r="D7026" s="16"/>
    </row>
    <row r="7027" spans="4:4">
      <c r="D7027" s="16"/>
    </row>
    <row r="7028" spans="4:4">
      <c r="D7028" s="16"/>
    </row>
    <row r="7029" spans="4:4">
      <c r="D7029" s="16"/>
    </row>
    <row r="7030" spans="4:4">
      <c r="D7030" s="16"/>
    </row>
    <row r="7031" spans="4:4">
      <c r="D7031" s="16"/>
    </row>
    <row r="7032" spans="4:4">
      <c r="D7032" s="16"/>
    </row>
    <row r="7033" spans="4:4">
      <c r="D7033" s="16"/>
    </row>
    <row r="7034" spans="4:4">
      <c r="D7034" s="16"/>
    </row>
    <row r="7035" spans="4:4">
      <c r="D7035" s="16"/>
    </row>
    <row r="7036" spans="4:4">
      <c r="D7036" s="16"/>
    </row>
    <row r="7037" spans="4:4">
      <c r="D7037" s="16"/>
    </row>
    <row r="7038" spans="4:4">
      <c r="D7038" s="16"/>
    </row>
    <row r="7039" spans="4:4">
      <c r="D7039" s="16"/>
    </row>
    <row r="7040" spans="4:4">
      <c r="D7040" s="16"/>
    </row>
    <row r="7041" spans="4:4">
      <c r="D7041" s="16"/>
    </row>
    <row r="7042" spans="4:4">
      <c r="D7042" s="16"/>
    </row>
    <row r="7043" spans="4:4">
      <c r="D7043" s="16"/>
    </row>
    <row r="7044" spans="4:4">
      <c r="D7044" s="16"/>
    </row>
    <row r="7045" spans="4:4">
      <c r="D7045" s="16"/>
    </row>
    <row r="7046" spans="4:4">
      <c r="D7046" s="16"/>
    </row>
    <row r="7047" spans="4:4">
      <c r="D7047" s="16"/>
    </row>
    <row r="7048" spans="4:4">
      <c r="D7048" s="16"/>
    </row>
    <row r="7049" spans="4:4">
      <c r="D7049" s="16"/>
    </row>
    <row r="7050" spans="4:4">
      <c r="D7050" s="16"/>
    </row>
    <row r="7051" spans="4:4">
      <c r="D7051" s="16"/>
    </row>
    <row r="7052" spans="4:4">
      <c r="D7052" s="16"/>
    </row>
    <row r="7053" spans="4:4">
      <c r="D7053" s="16"/>
    </row>
    <row r="7054" spans="4:4">
      <c r="D7054" s="16"/>
    </row>
    <row r="7055" spans="4:4">
      <c r="D7055" s="16"/>
    </row>
    <row r="7056" spans="4:4">
      <c r="D7056" s="16"/>
    </row>
    <row r="7057" spans="4:4">
      <c r="D7057" s="16"/>
    </row>
    <row r="7058" spans="4:4">
      <c r="D7058" s="16"/>
    </row>
    <row r="7059" spans="4:4">
      <c r="D7059" s="16"/>
    </row>
    <row r="7060" spans="4:4">
      <c r="D7060" s="16"/>
    </row>
    <row r="7061" spans="4:4">
      <c r="D7061" s="16"/>
    </row>
    <row r="7062" spans="4:4">
      <c r="D7062" s="16"/>
    </row>
    <row r="7063" spans="4:4">
      <c r="D7063" s="16"/>
    </row>
    <row r="7064" spans="4:4">
      <c r="D7064" s="16"/>
    </row>
    <row r="7065" spans="4:4">
      <c r="D7065" s="16"/>
    </row>
    <row r="7066" spans="4:4">
      <c r="D7066" s="16"/>
    </row>
    <row r="7067" spans="4:4">
      <c r="D7067" s="16"/>
    </row>
    <row r="7068" spans="4:4">
      <c r="D7068" s="16"/>
    </row>
    <row r="7069" spans="4:4">
      <c r="D7069" s="16"/>
    </row>
    <row r="7070" spans="4:4">
      <c r="D7070" s="16"/>
    </row>
    <row r="7071" spans="4:4">
      <c r="D7071" s="16"/>
    </row>
    <row r="7072" spans="4:4">
      <c r="D7072" s="16"/>
    </row>
    <row r="7073" spans="4:4">
      <c r="D7073" s="16"/>
    </row>
    <row r="7074" spans="4:4">
      <c r="D7074" s="16"/>
    </row>
    <row r="7075" spans="4:4">
      <c r="D7075" s="16"/>
    </row>
    <row r="7076" spans="4:4">
      <c r="D7076" s="16"/>
    </row>
    <row r="7077" spans="4:4">
      <c r="D7077" s="16"/>
    </row>
    <row r="7078" spans="4:4">
      <c r="D7078" s="16"/>
    </row>
    <row r="7079" spans="4:4">
      <c r="D7079" s="16"/>
    </row>
    <row r="7080" spans="4:4">
      <c r="D7080" s="16"/>
    </row>
    <row r="7081" spans="4:4">
      <c r="D7081" s="16"/>
    </row>
    <row r="7082" spans="4:4">
      <c r="D7082" s="16"/>
    </row>
    <row r="7083" spans="4:4">
      <c r="D7083" s="16"/>
    </row>
    <row r="7084" spans="4:4">
      <c r="D7084" s="16"/>
    </row>
    <row r="7085" spans="4:4">
      <c r="D7085" s="16"/>
    </row>
    <row r="7086" spans="4:4">
      <c r="D7086" s="16"/>
    </row>
    <row r="7087" spans="4:4">
      <c r="D7087" s="16"/>
    </row>
    <row r="7088" spans="4:4">
      <c r="D7088" s="16"/>
    </row>
    <row r="7089" spans="4:4">
      <c r="D7089" s="16"/>
    </row>
    <row r="7090" spans="4:4">
      <c r="D7090" s="16"/>
    </row>
    <row r="7091" spans="4:4">
      <c r="D7091" s="16"/>
    </row>
    <row r="7092" spans="4:4">
      <c r="D7092" s="16"/>
    </row>
    <row r="7093" spans="4:4">
      <c r="D7093" s="16"/>
    </row>
    <row r="7094" spans="4:4">
      <c r="D7094" s="16"/>
    </row>
    <row r="7095" spans="4:4">
      <c r="D7095" s="16"/>
    </row>
    <row r="7096" spans="4:4">
      <c r="D7096" s="16"/>
    </row>
    <row r="7097" spans="4:4">
      <c r="D7097" s="16"/>
    </row>
    <row r="7098" spans="4:4">
      <c r="D7098" s="16"/>
    </row>
    <row r="7099" spans="4:4">
      <c r="D7099" s="16"/>
    </row>
    <row r="7100" spans="4:4">
      <c r="D7100" s="16"/>
    </row>
    <row r="7101" spans="4:4">
      <c r="D7101" s="16"/>
    </row>
    <row r="7102" spans="4:4">
      <c r="D7102" s="16"/>
    </row>
    <row r="7103" spans="4:4">
      <c r="D7103" s="16"/>
    </row>
    <row r="7104" spans="4:4">
      <c r="D7104" s="16"/>
    </row>
    <row r="7105" spans="4:4">
      <c r="D7105" s="16"/>
    </row>
    <row r="7106" spans="4:4">
      <c r="D7106" s="16"/>
    </row>
    <row r="7107" spans="4:4">
      <c r="D7107" s="16"/>
    </row>
    <row r="7108" spans="4:4">
      <c r="D7108" s="16"/>
    </row>
    <row r="7109" spans="4:4">
      <c r="D7109" s="16"/>
    </row>
    <row r="7110" spans="4:4">
      <c r="D7110" s="16"/>
    </row>
    <row r="7111" spans="4:4">
      <c r="D7111" s="16"/>
    </row>
    <row r="7112" spans="4:4">
      <c r="D7112" s="16"/>
    </row>
    <row r="7113" spans="4:4">
      <c r="D7113" s="16"/>
    </row>
    <row r="7114" spans="4:4">
      <c r="D7114" s="16"/>
    </row>
    <row r="7115" spans="4:4">
      <c r="D7115" s="16"/>
    </row>
    <row r="7116" spans="4:4">
      <c r="D7116" s="16"/>
    </row>
    <row r="7117" spans="4:4">
      <c r="D7117" s="16"/>
    </row>
    <row r="7118" spans="4:4">
      <c r="D7118" s="16"/>
    </row>
    <row r="7119" spans="4:4">
      <c r="D7119" s="16"/>
    </row>
    <row r="7120" spans="4:4">
      <c r="D7120" s="16"/>
    </row>
    <row r="7121" spans="4:4">
      <c r="D7121" s="16"/>
    </row>
    <row r="7122" spans="4:4">
      <c r="D7122" s="16"/>
    </row>
    <row r="7123" spans="4:4">
      <c r="D7123" s="16"/>
    </row>
    <row r="7124" spans="4:4">
      <c r="D7124" s="16"/>
    </row>
    <row r="7125" spans="4:4">
      <c r="D7125" s="16"/>
    </row>
    <row r="7126" spans="4:4">
      <c r="D7126" s="16"/>
    </row>
    <row r="7127" spans="4:4">
      <c r="D7127" s="16"/>
    </row>
    <row r="7128" spans="4:4">
      <c r="D7128" s="16"/>
    </row>
    <row r="7129" spans="4:4">
      <c r="D7129" s="16"/>
    </row>
    <row r="7130" spans="4:4">
      <c r="D7130" s="16"/>
    </row>
    <row r="7131" spans="4:4">
      <c r="D7131" s="16"/>
    </row>
    <row r="7132" spans="4:4">
      <c r="D7132" s="16"/>
    </row>
    <row r="7133" spans="4:4">
      <c r="D7133" s="16"/>
    </row>
    <row r="7134" spans="4:4">
      <c r="D7134" s="16"/>
    </row>
    <row r="7135" spans="4:4">
      <c r="D7135" s="16"/>
    </row>
    <row r="7136" spans="4:4">
      <c r="D7136" s="16"/>
    </row>
    <row r="7137" spans="4:4">
      <c r="D7137" s="16"/>
    </row>
    <row r="7138" spans="4:4">
      <c r="D7138" s="16"/>
    </row>
    <row r="7139" spans="4:4">
      <c r="D7139" s="16"/>
    </row>
    <row r="7140" spans="4:4">
      <c r="D7140" s="16"/>
    </row>
    <row r="7141" spans="4:4">
      <c r="D7141" s="16"/>
    </row>
    <row r="7142" spans="4:4">
      <c r="D7142" s="16"/>
    </row>
    <row r="7143" spans="4:4">
      <c r="D7143" s="16"/>
    </row>
    <row r="7144" spans="4:4">
      <c r="D7144" s="16"/>
    </row>
    <row r="7145" spans="4:4">
      <c r="D7145" s="16"/>
    </row>
    <row r="7146" spans="4:4">
      <c r="D7146" s="16"/>
    </row>
    <row r="7147" spans="4:4">
      <c r="D7147" s="16"/>
    </row>
    <row r="7148" spans="4:4">
      <c r="D7148" s="16"/>
    </row>
    <row r="7149" spans="4:4">
      <c r="D7149" s="16"/>
    </row>
    <row r="7150" spans="4:4">
      <c r="D7150" s="16"/>
    </row>
    <row r="7151" spans="4:4">
      <c r="D7151" s="16"/>
    </row>
    <row r="7152" spans="4:4">
      <c r="D7152" s="16"/>
    </row>
    <row r="7153" spans="4:4">
      <c r="D7153" s="16"/>
    </row>
    <row r="7154" spans="4:4">
      <c r="D7154" s="16"/>
    </row>
    <row r="7155" spans="4:4">
      <c r="D7155" s="16"/>
    </row>
    <row r="7156" spans="4:4">
      <c r="D7156" s="16"/>
    </row>
    <row r="7157" spans="4:4">
      <c r="D7157" s="16"/>
    </row>
    <row r="7158" spans="4:4">
      <c r="D7158" s="16"/>
    </row>
    <row r="7159" spans="4:4">
      <c r="D7159" s="16"/>
    </row>
    <row r="7160" spans="4:4">
      <c r="D7160" s="16"/>
    </row>
    <row r="7161" spans="4:4">
      <c r="D7161" s="16"/>
    </row>
    <row r="7162" spans="4:4">
      <c r="D7162" s="16"/>
    </row>
    <row r="7163" spans="4:4">
      <c r="D7163" s="16"/>
    </row>
    <row r="7164" spans="4:4">
      <c r="D7164" s="16"/>
    </row>
    <row r="7165" spans="4:4">
      <c r="D7165" s="16"/>
    </row>
    <row r="7166" spans="4:4">
      <c r="D7166" s="16"/>
    </row>
    <row r="7167" spans="4:4">
      <c r="D7167" s="16"/>
    </row>
    <row r="7168" spans="4:4">
      <c r="D7168" s="16"/>
    </row>
    <row r="7169" spans="4:4">
      <c r="D7169" s="16"/>
    </row>
    <row r="7170" spans="4:4">
      <c r="D7170" s="16"/>
    </row>
    <row r="7171" spans="4:4">
      <c r="D7171" s="16"/>
    </row>
    <row r="7172" spans="4:4">
      <c r="D7172" s="16"/>
    </row>
    <row r="7173" spans="4:4">
      <c r="D7173" s="16"/>
    </row>
    <row r="7174" spans="4:4">
      <c r="D7174" s="16"/>
    </row>
    <row r="7175" spans="4:4">
      <c r="D7175" s="16"/>
    </row>
    <row r="7176" spans="4:4">
      <c r="D7176" s="16"/>
    </row>
    <row r="7177" spans="4:4">
      <c r="D7177" s="16"/>
    </row>
    <row r="7178" spans="4:4">
      <c r="D7178" s="16"/>
    </row>
    <row r="7179" spans="4:4">
      <c r="D7179" s="16"/>
    </row>
    <row r="7180" spans="4:4">
      <c r="D7180" s="16"/>
    </row>
    <row r="7181" spans="4:4">
      <c r="D7181" s="16"/>
    </row>
    <row r="7182" spans="4:4">
      <c r="D7182" s="16"/>
    </row>
    <row r="7183" spans="4:4">
      <c r="D7183" s="16"/>
    </row>
    <row r="7184" spans="4:4">
      <c r="D7184" s="16"/>
    </row>
    <row r="7185" spans="4:4">
      <c r="D7185" s="16"/>
    </row>
    <row r="7186" spans="4:4">
      <c r="D7186" s="16"/>
    </row>
    <row r="7187" spans="4:4">
      <c r="D7187" s="16"/>
    </row>
    <row r="7188" spans="4:4">
      <c r="D7188" s="16"/>
    </row>
    <row r="7189" spans="4:4">
      <c r="D7189" s="16"/>
    </row>
    <row r="7190" spans="4:4">
      <c r="D7190" s="16"/>
    </row>
    <row r="7191" spans="4:4">
      <c r="D7191" s="16"/>
    </row>
    <row r="7192" spans="4:4">
      <c r="D7192" s="16"/>
    </row>
    <row r="7193" spans="4:4">
      <c r="D7193" s="16"/>
    </row>
    <row r="7194" spans="4:4">
      <c r="D7194" s="16"/>
    </row>
    <row r="7195" spans="4:4">
      <c r="D7195" s="16"/>
    </row>
    <row r="7196" spans="4:4">
      <c r="D7196" s="16"/>
    </row>
    <row r="7197" spans="4:4">
      <c r="D7197" s="16"/>
    </row>
    <row r="7198" spans="4:4">
      <c r="D7198" s="16"/>
    </row>
    <row r="7199" spans="4:4">
      <c r="D7199" s="16"/>
    </row>
    <row r="7200" spans="4:4">
      <c r="D7200" s="16"/>
    </row>
    <row r="7201" spans="4:4">
      <c r="D7201" s="16"/>
    </row>
    <row r="7202" spans="4:4">
      <c r="D7202" s="16"/>
    </row>
    <row r="7203" spans="4:4">
      <c r="D7203" s="16"/>
    </row>
    <row r="7204" spans="4:4">
      <c r="D7204" s="16"/>
    </row>
    <row r="7205" spans="4:4">
      <c r="D7205" s="16"/>
    </row>
    <row r="7206" spans="4:4">
      <c r="D7206" s="16"/>
    </row>
    <row r="7207" spans="4:4">
      <c r="D7207" s="16"/>
    </row>
    <row r="7208" spans="4:4">
      <c r="D7208" s="16"/>
    </row>
    <row r="7209" spans="4:4">
      <c r="D7209" s="16"/>
    </row>
    <row r="7210" spans="4:4">
      <c r="D7210" s="16"/>
    </row>
    <row r="7211" spans="4:4">
      <c r="D7211" s="16"/>
    </row>
    <row r="7212" spans="4:4">
      <c r="D7212" s="16"/>
    </row>
    <row r="7213" spans="4:4">
      <c r="D7213" s="16"/>
    </row>
    <row r="7214" spans="4:4">
      <c r="D7214" s="16"/>
    </row>
    <row r="7215" spans="4:4">
      <c r="D7215" s="16"/>
    </row>
    <row r="7216" spans="4:4">
      <c r="D7216" s="16"/>
    </row>
    <row r="7217" spans="4:4">
      <c r="D7217" s="16"/>
    </row>
    <row r="7218" spans="4:4">
      <c r="D7218" s="16"/>
    </row>
    <row r="7219" spans="4:4">
      <c r="D7219" s="16"/>
    </row>
    <row r="7220" spans="4:4">
      <c r="D7220" s="16"/>
    </row>
    <row r="7221" spans="4:4">
      <c r="D7221" s="16"/>
    </row>
    <row r="7222" spans="4:4">
      <c r="D7222" s="16"/>
    </row>
    <row r="7223" spans="4:4">
      <c r="D7223" s="16"/>
    </row>
    <row r="7224" spans="4:4">
      <c r="D7224" s="16"/>
    </row>
    <row r="7225" spans="4:4">
      <c r="D7225" s="16"/>
    </row>
    <row r="7226" spans="4:4">
      <c r="D7226" s="16"/>
    </row>
    <row r="7227" spans="4:4">
      <c r="D7227" s="16"/>
    </row>
    <row r="7228" spans="4:4">
      <c r="D7228" s="16"/>
    </row>
    <row r="7229" spans="4:4">
      <c r="D7229" s="16"/>
    </row>
    <row r="7230" spans="4:4">
      <c r="D7230" s="16"/>
    </row>
    <row r="7231" spans="4:4">
      <c r="D7231" s="16"/>
    </row>
    <row r="7232" spans="4:4">
      <c r="D7232" s="16"/>
    </row>
    <row r="7233" spans="4:4">
      <c r="D7233" s="16"/>
    </row>
    <row r="7234" spans="4:4">
      <c r="D7234" s="16"/>
    </row>
    <row r="7235" spans="4:4">
      <c r="D7235" s="16"/>
    </row>
    <row r="7236" spans="4:4">
      <c r="D7236" s="16"/>
    </row>
    <row r="7237" spans="4:4">
      <c r="D7237" s="16"/>
    </row>
    <row r="7238" spans="4:4">
      <c r="D7238" s="16"/>
    </row>
    <row r="7239" spans="4:4">
      <c r="D7239" s="16"/>
    </row>
    <row r="7240" spans="4:4">
      <c r="D7240" s="16"/>
    </row>
    <row r="7241" spans="4:4">
      <c r="D7241" s="16"/>
    </row>
    <row r="7242" spans="4:4">
      <c r="D7242" s="16"/>
    </row>
    <row r="7243" spans="4:4">
      <c r="D7243" s="16"/>
    </row>
    <row r="7244" spans="4:4">
      <c r="D7244" s="16"/>
    </row>
    <row r="7245" spans="4:4">
      <c r="D7245" s="16"/>
    </row>
    <row r="7246" spans="4:4">
      <c r="D7246" s="16"/>
    </row>
    <row r="7247" spans="4:4">
      <c r="D7247" s="16"/>
    </row>
    <row r="7248" spans="4:4">
      <c r="D7248" s="16"/>
    </row>
    <row r="7249" spans="4:4">
      <c r="D7249" s="16"/>
    </row>
    <row r="7250" spans="4:4">
      <c r="D7250" s="16"/>
    </row>
    <row r="7251" spans="4:4">
      <c r="D7251" s="16"/>
    </row>
    <row r="7252" spans="4:4">
      <c r="D7252" s="16"/>
    </row>
    <row r="7253" spans="4:4">
      <c r="D7253" s="16"/>
    </row>
    <row r="7254" spans="4:4">
      <c r="D7254" s="16"/>
    </row>
    <row r="7255" spans="4:4">
      <c r="D7255" s="16"/>
    </row>
    <row r="7256" spans="4:4">
      <c r="D7256" s="16"/>
    </row>
    <row r="7257" spans="4:4">
      <c r="D7257" s="16"/>
    </row>
    <row r="7258" spans="4:4">
      <c r="D7258" s="16"/>
    </row>
    <row r="7259" spans="4:4">
      <c r="D7259" s="16"/>
    </row>
    <row r="7260" spans="4:4">
      <c r="D7260" s="16"/>
    </row>
    <row r="7261" spans="4:4">
      <c r="D7261" s="16"/>
    </row>
    <row r="7262" spans="4:4">
      <c r="D7262" s="16"/>
    </row>
    <row r="7263" spans="4:4">
      <c r="D7263" s="16"/>
    </row>
    <row r="7264" spans="4:4">
      <c r="D7264" s="16"/>
    </row>
    <row r="7265" spans="4:4">
      <c r="D7265" s="16"/>
    </row>
    <row r="7266" spans="4:4">
      <c r="D7266" s="16"/>
    </row>
    <row r="7267" spans="4:4">
      <c r="D7267" s="16"/>
    </row>
    <row r="7268" spans="4:4">
      <c r="D7268" s="16"/>
    </row>
    <row r="7269" spans="4:4">
      <c r="D7269" s="16"/>
    </row>
    <row r="7270" spans="4:4">
      <c r="D7270" s="16"/>
    </row>
    <row r="7271" spans="4:4">
      <c r="D7271" s="16"/>
    </row>
    <row r="7272" spans="4:4">
      <c r="D7272" s="16"/>
    </row>
    <row r="7273" spans="4:4">
      <c r="D7273" s="16"/>
    </row>
    <row r="7274" spans="4:4">
      <c r="D7274" s="16"/>
    </row>
    <row r="7275" spans="4:4">
      <c r="D7275" s="16"/>
    </row>
    <row r="7276" spans="4:4">
      <c r="D7276" s="16"/>
    </row>
    <row r="7277" spans="4:4">
      <c r="D7277" s="16"/>
    </row>
    <row r="7278" spans="4:4">
      <c r="D7278" s="16"/>
    </row>
    <row r="7279" spans="4:4">
      <c r="D7279" s="16"/>
    </row>
    <row r="7280" spans="4:4">
      <c r="D7280" s="16"/>
    </row>
    <row r="7281" spans="4:4">
      <c r="D7281" s="16"/>
    </row>
    <row r="7282" spans="4:4">
      <c r="D7282" s="16"/>
    </row>
    <row r="7283" spans="4:4">
      <c r="D7283" s="16"/>
    </row>
    <row r="7284" spans="4:4">
      <c r="D7284" s="16"/>
    </row>
    <row r="7285" spans="4:4">
      <c r="D7285" s="16"/>
    </row>
    <row r="7286" spans="4:4">
      <c r="D7286" s="16"/>
    </row>
    <row r="7287" spans="4:4">
      <c r="D7287" s="16"/>
    </row>
    <row r="7288" spans="4:4">
      <c r="D7288" s="16"/>
    </row>
    <row r="7289" spans="4:4">
      <c r="D7289" s="16"/>
    </row>
    <row r="7290" spans="4:4">
      <c r="D7290" s="16"/>
    </row>
    <row r="7291" spans="4:4">
      <c r="D7291" s="16"/>
    </row>
    <row r="7292" spans="4:4">
      <c r="D7292" s="16"/>
    </row>
    <row r="7293" spans="4:4">
      <c r="D7293" s="16"/>
    </row>
    <row r="7294" spans="4:4">
      <c r="D7294" s="16"/>
    </row>
    <row r="7295" spans="4:4">
      <c r="D7295" s="16"/>
    </row>
    <row r="7296" spans="4:4">
      <c r="D7296" s="16"/>
    </row>
    <row r="7297" spans="4:4">
      <c r="D7297" s="16"/>
    </row>
    <row r="7298" spans="4:4">
      <c r="D7298" s="16"/>
    </row>
    <row r="7299" spans="4:4">
      <c r="D7299" s="16"/>
    </row>
    <row r="7300" spans="4:4">
      <c r="D7300" s="16"/>
    </row>
    <row r="7301" spans="4:4">
      <c r="D7301" s="16"/>
    </row>
    <row r="7302" spans="4:4">
      <c r="D7302" s="16"/>
    </row>
    <row r="7303" spans="4:4">
      <c r="D7303" s="16"/>
    </row>
    <row r="7304" spans="4:4">
      <c r="D7304" s="16"/>
    </row>
    <row r="7305" spans="4:4">
      <c r="D7305" s="16"/>
    </row>
    <row r="7306" spans="4:4">
      <c r="D7306" s="16"/>
    </row>
    <row r="7307" spans="4:4">
      <c r="D7307" s="16"/>
    </row>
    <row r="7308" spans="4:4">
      <c r="D7308" s="16"/>
    </row>
    <row r="7309" spans="4:4">
      <c r="D7309" s="16"/>
    </row>
    <row r="7310" spans="4:4">
      <c r="D7310" s="16"/>
    </row>
    <row r="7311" spans="4:4">
      <c r="D7311" s="16"/>
    </row>
    <row r="7312" spans="4:4">
      <c r="D7312" s="16"/>
    </row>
    <row r="7313" spans="4:4">
      <c r="D7313" s="16"/>
    </row>
    <row r="7314" spans="4:4">
      <c r="D7314" s="16"/>
    </row>
    <row r="7315" spans="4:4">
      <c r="D7315" s="16"/>
    </row>
    <row r="7316" spans="4:4">
      <c r="D7316" s="16"/>
    </row>
    <row r="7317" spans="4:4">
      <c r="D7317" s="16"/>
    </row>
    <row r="7318" spans="4:4">
      <c r="D7318" s="16"/>
    </row>
    <row r="7319" spans="4:4">
      <c r="D7319" s="16"/>
    </row>
    <row r="7320" spans="4:4">
      <c r="D7320" s="16"/>
    </row>
    <row r="7321" spans="4:4">
      <c r="D7321" s="16"/>
    </row>
    <row r="7322" spans="4:4">
      <c r="D7322" s="16"/>
    </row>
    <row r="7323" spans="4:4">
      <c r="D7323" s="16"/>
    </row>
    <row r="7324" spans="4:4">
      <c r="D7324" s="16"/>
    </row>
    <row r="7325" spans="4:4">
      <c r="D7325" s="16"/>
    </row>
    <row r="7326" spans="4:4">
      <c r="D7326" s="16"/>
    </row>
    <row r="7327" spans="4:4">
      <c r="D7327" s="16"/>
    </row>
    <row r="7328" spans="4:4">
      <c r="D7328" s="16"/>
    </row>
    <row r="7329" spans="4:4">
      <c r="D7329" s="16"/>
    </row>
    <row r="7330" spans="4:4">
      <c r="D7330" s="16"/>
    </row>
    <row r="7331" spans="4:4">
      <c r="D7331" s="16"/>
    </row>
    <row r="7332" spans="4:4">
      <c r="D7332" s="16"/>
    </row>
    <row r="7333" spans="4:4">
      <c r="D7333" s="16"/>
    </row>
    <row r="7334" spans="4:4">
      <c r="D7334" s="16"/>
    </row>
    <row r="7335" spans="4:4">
      <c r="D7335" s="16"/>
    </row>
    <row r="7336" spans="4:4">
      <c r="D7336" s="16"/>
    </row>
    <row r="7337" spans="4:4">
      <c r="D7337" s="16"/>
    </row>
    <row r="7338" spans="4:4">
      <c r="D7338" s="16"/>
    </row>
    <row r="7339" spans="4:4">
      <c r="D7339" s="16"/>
    </row>
    <row r="7340" spans="4:4">
      <c r="D7340" s="16"/>
    </row>
    <row r="7341" spans="4:4">
      <c r="D7341" s="16"/>
    </row>
    <row r="7342" spans="4:4">
      <c r="D7342" s="16"/>
    </row>
    <row r="7343" spans="4:4">
      <c r="D7343" s="16"/>
    </row>
    <row r="7344" spans="4:4">
      <c r="D7344" s="16"/>
    </row>
    <row r="7345" spans="4:4">
      <c r="D7345" s="16"/>
    </row>
    <row r="7346" spans="4:4">
      <c r="D7346" s="16"/>
    </row>
    <row r="7347" spans="4:4">
      <c r="D7347" s="16"/>
    </row>
    <row r="7348" spans="4:4">
      <c r="D7348" s="16"/>
    </row>
    <row r="7349" spans="4:4">
      <c r="D7349" s="16"/>
    </row>
    <row r="7350" spans="4:4">
      <c r="D7350" s="16"/>
    </row>
    <row r="7351" spans="4:4">
      <c r="D7351" s="16"/>
    </row>
    <row r="7352" spans="4:4">
      <c r="D7352" s="16"/>
    </row>
    <row r="7353" spans="4:4">
      <c r="D7353" s="16"/>
    </row>
    <row r="7354" spans="4:4">
      <c r="D7354" s="16"/>
    </row>
    <row r="7355" spans="4:4">
      <c r="D7355" s="16"/>
    </row>
    <row r="7356" spans="4:4">
      <c r="D7356" s="16"/>
    </row>
    <row r="7357" spans="4:4">
      <c r="D7357" s="16"/>
    </row>
    <row r="7358" spans="4:4">
      <c r="D7358" s="16"/>
    </row>
    <row r="7359" spans="4:4">
      <c r="D7359" s="16"/>
    </row>
    <row r="7360" spans="4:4">
      <c r="D7360" s="16"/>
    </row>
    <row r="7361" spans="4:4">
      <c r="D7361" s="16"/>
    </row>
    <row r="7362" spans="4:4">
      <c r="D7362" s="16"/>
    </row>
    <row r="7363" spans="4:4">
      <c r="D7363" s="16"/>
    </row>
    <row r="7364" spans="4:4">
      <c r="D7364" s="16"/>
    </row>
    <row r="7365" spans="4:4">
      <c r="D7365" s="16"/>
    </row>
    <row r="7366" spans="4:4">
      <c r="D7366" s="16"/>
    </row>
    <row r="7367" spans="4:4">
      <c r="D7367" s="16"/>
    </row>
    <row r="7368" spans="4:4">
      <c r="D7368" s="16"/>
    </row>
    <row r="7369" spans="4:4">
      <c r="D7369" s="16"/>
    </row>
    <row r="7370" spans="4:4">
      <c r="D7370" s="16"/>
    </row>
    <row r="7371" spans="4:4">
      <c r="D7371" s="16"/>
    </row>
    <row r="7372" spans="4:4">
      <c r="D7372" s="16"/>
    </row>
    <row r="7373" spans="4:4">
      <c r="D7373" s="16"/>
    </row>
    <row r="7374" spans="4:4">
      <c r="D7374" s="16"/>
    </row>
    <row r="7375" spans="4:4">
      <c r="D7375" s="16"/>
    </row>
    <row r="7376" spans="4:4">
      <c r="D7376" s="16"/>
    </row>
    <row r="7377" spans="4:4">
      <c r="D7377" s="16"/>
    </row>
    <row r="7378" spans="4:4">
      <c r="D7378" s="16"/>
    </row>
    <row r="7379" spans="4:4">
      <c r="D7379" s="16"/>
    </row>
    <row r="7380" spans="4:4">
      <c r="D7380" s="16"/>
    </row>
    <row r="7381" spans="4:4">
      <c r="D7381" s="16"/>
    </row>
    <row r="7382" spans="4:4">
      <c r="D7382" s="16"/>
    </row>
    <row r="7383" spans="4:4">
      <c r="D7383" s="16"/>
    </row>
    <row r="7384" spans="4:4">
      <c r="D7384" s="16"/>
    </row>
    <row r="7385" spans="4:4">
      <c r="D7385" s="16"/>
    </row>
    <row r="7386" spans="4:4">
      <c r="D7386" s="16"/>
    </row>
    <row r="7387" spans="4:4">
      <c r="D7387" s="16"/>
    </row>
    <row r="7388" spans="4:4">
      <c r="D7388" s="16"/>
    </row>
    <row r="7389" spans="4:4">
      <c r="D7389" s="16"/>
    </row>
    <row r="7390" spans="4:4">
      <c r="D7390" s="16"/>
    </row>
    <row r="7391" spans="4:4">
      <c r="D7391" s="16"/>
    </row>
    <row r="7392" spans="4:4">
      <c r="D7392" s="16"/>
    </row>
    <row r="7393" spans="4:4">
      <c r="D7393" s="16"/>
    </row>
    <row r="7394" spans="4:4">
      <c r="D7394" s="16"/>
    </row>
    <row r="7395" spans="4:4">
      <c r="D7395" s="16"/>
    </row>
    <row r="7396" spans="4:4">
      <c r="D7396" s="16"/>
    </row>
    <row r="7397" spans="4:4">
      <c r="D7397" s="16"/>
    </row>
    <row r="7398" spans="4:4">
      <c r="D7398" s="16"/>
    </row>
    <row r="7399" spans="4:4">
      <c r="D7399" s="16"/>
    </row>
    <row r="7400" spans="4:4">
      <c r="D7400" s="16"/>
    </row>
    <row r="7401" spans="4:4">
      <c r="D7401" s="16"/>
    </row>
    <row r="7402" spans="4:4">
      <c r="D7402" s="16"/>
    </row>
    <row r="7403" spans="4:4">
      <c r="D7403" s="16"/>
    </row>
    <row r="7404" spans="4:4">
      <c r="D7404" s="16"/>
    </row>
    <row r="7405" spans="4:4">
      <c r="D7405" s="16"/>
    </row>
    <row r="7406" spans="4:4">
      <c r="D7406" s="16"/>
    </row>
    <row r="7407" spans="4:4">
      <c r="D7407" s="16"/>
    </row>
    <row r="7408" spans="4:4">
      <c r="D7408" s="16"/>
    </row>
    <row r="7409" spans="4:4">
      <c r="D7409" s="16"/>
    </row>
    <row r="7410" spans="4:4">
      <c r="D7410" s="16"/>
    </row>
    <row r="7411" spans="4:4">
      <c r="D7411" s="16"/>
    </row>
    <row r="7412" spans="4:4">
      <c r="D7412" s="16"/>
    </row>
    <row r="7413" spans="4:4">
      <c r="D7413" s="16"/>
    </row>
    <row r="7414" spans="4:4">
      <c r="D7414" s="16"/>
    </row>
    <row r="7415" spans="4:4">
      <c r="D7415" s="16"/>
    </row>
    <row r="7416" spans="4:4">
      <c r="D7416" s="16"/>
    </row>
    <row r="7417" spans="4:4">
      <c r="D7417" s="16"/>
    </row>
    <row r="7418" spans="4:4">
      <c r="D7418" s="16"/>
    </row>
    <row r="7419" spans="4:4">
      <c r="D7419" s="16"/>
    </row>
    <row r="7420" spans="4:4">
      <c r="D7420" s="16"/>
    </row>
    <row r="7421" spans="4:4">
      <c r="D7421" s="16"/>
    </row>
    <row r="7422" spans="4:4">
      <c r="D7422" s="16"/>
    </row>
    <row r="7423" spans="4:4">
      <c r="D7423" s="16"/>
    </row>
    <row r="7424" spans="4:4">
      <c r="D7424" s="16"/>
    </row>
    <row r="7425" spans="4:4">
      <c r="D7425" s="16"/>
    </row>
    <row r="7426" spans="4:4">
      <c r="D7426" s="16"/>
    </row>
    <row r="7427" spans="4:4">
      <c r="D7427" s="16"/>
    </row>
    <row r="7428" spans="4:4">
      <c r="D7428" s="16"/>
    </row>
    <row r="7429" spans="4:4">
      <c r="D7429" s="16"/>
    </row>
    <row r="7430" spans="4:4">
      <c r="D7430" s="16"/>
    </row>
    <row r="7431" spans="4:4">
      <c r="D7431" s="16"/>
    </row>
    <row r="7432" spans="4:4">
      <c r="D7432" s="16"/>
    </row>
    <row r="7433" spans="4:4">
      <c r="D7433" s="16"/>
    </row>
    <row r="7434" spans="4:4">
      <c r="D7434" s="16"/>
    </row>
    <row r="7435" spans="4:4">
      <c r="D7435" s="16"/>
    </row>
    <row r="7436" spans="4:4">
      <c r="D7436" s="16"/>
    </row>
    <row r="7437" spans="4:4">
      <c r="D7437" s="16"/>
    </row>
    <row r="7438" spans="4:4">
      <c r="D7438" s="16"/>
    </row>
    <row r="7439" spans="4:4">
      <c r="D7439" s="16"/>
    </row>
    <row r="7440" spans="4:4">
      <c r="D7440" s="16"/>
    </row>
    <row r="7441" spans="4:4">
      <c r="D7441" s="16"/>
    </row>
    <row r="7442" spans="4:4">
      <c r="D7442" s="16"/>
    </row>
    <row r="7443" spans="4:4">
      <c r="D7443" s="16"/>
    </row>
    <row r="7444" spans="4:4">
      <c r="D7444" s="16"/>
    </row>
    <row r="7445" spans="4:4">
      <c r="D7445" s="16"/>
    </row>
    <row r="7446" spans="4:4">
      <c r="D7446" s="16"/>
    </row>
    <row r="7447" spans="4:4">
      <c r="D7447" s="16"/>
    </row>
    <row r="7448" spans="4:4">
      <c r="D7448" s="16"/>
    </row>
    <row r="7449" spans="4:4">
      <c r="D7449" s="16"/>
    </row>
    <row r="7450" spans="4:4">
      <c r="D7450" s="16"/>
    </row>
    <row r="7451" spans="4:4">
      <c r="D7451" s="16"/>
    </row>
    <row r="7452" spans="4:4">
      <c r="D7452" s="16"/>
    </row>
    <row r="7453" spans="4:4">
      <c r="D7453" s="16"/>
    </row>
    <row r="7454" spans="4:4">
      <c r="D7454" s="16"/>
    </row>
    <row r="7455" spans="4:4">
      <c r="D7455" s="16"/>
    </row>
    <row r="7456" spans="4:4">
      <c r="D7456" s="16"/>
    </row>
    <row r="7457" spans="4:4">
      <c r="D7457" s="16"/>
    </row>
    <row r="7458" spans="4:4">
      <c r="D7458" s="16"/>
    </row>
    <row r="7459" spans="4:4">
      <c r="D7459" s="16"/>
    </row>
    <row r="7460" spans="4:4">
      <c r="D7460" s="16"/>
    </row>
    <row r="7461" spans="4:4">
      <c r="D7461" s="16"/>
    </row>
    <row r="7462" spans="4:4">
      <c r="D7462" s="16"/>
    </row>
    <row r="7463" spans="4:4">
      <c r="D7463" s="16"/>
    </row>
    <row r="7464" spans="4:4">
      <c r="D7464" s="16"/>
    </row>
    <row r="7465" spans="4:4">
      <c r="D7465" s="16"/>
    </row>
    <row r="7466" spans="4:4">
      <c r="D7466" s="16"/>
    </row>
    <row r="7467" spans="4:4">
      <c r="D7467" s="16"/>
    </row>
    <row r="7468" spans="4:4">
      <c r="D7468" s="16"/>
    </row>
    <row r="7469" spans="4:4">
      <c r="D7469" s="16"/>
    </row>
    <row r="7470" spans="4:4">
      <c r="D7470" s="16"/>
    </row>
    <row r="7471" spans="4:4">
      <c r="D7471" s="16"/>
    </row>
    <row r="7472" spans="4:4">
      <c r="D7472" s="16"/>
    </row>
    <row r="7473" spans="4:4">
      <c r="D7473" s="16"/>
    </row>
    <row r="7474" spans="4:4">
      <c r="D7474" s="16"/>
    </row>
    <row r="7475" spans="4:4">
      <c r="D7475" s="16"/>
    </row>
    <row r="7476" spans="4:4">
      <c r="D7476" s="16"/>
    </row>
    <row r="7477" spans="4:4">
      <c r="D7477" s="16"/>
    </row>
    <row r="7478" spans="4:4">
      <c r="D7478" s="16"/>
    </row>
    <row r="7479" spans="4:4">
      <c r="D7479" s="16"/>
    </row>
    <row r="7480" spans="4:4">
      <c r="D7480" s="16"/>
    </row>
    <row r="7481" spans="4:4">
      <c r="D7481" s="16"/>
    </row>
    <row r="7482" spans="4:4">
      <c r="D7482" s="16"/>
    </row>
    <row r="7483" spans="4:4">
      <c r="D7483" s="16"/>
    </row>
    <row r="7484" spans="4:4">
      <c r="D7484" s="16"/>
    </row>
    <row r="7485" spans="4:4">
      <c r="D7485" s="16"/>
    </row>
    <row r="7486" spans="4:4">
      <c r="D7486" s="16"/>
    </row>
    <row r="7487" spans="4:4">
      <c r="D7487" s="16"/>
    </row>
    <row r="7488" spans="4:4">
      <c r="D7488" s="16"/>
    </row>
    <row r="7489" spans="4:4">
      <c r="D7489" s="16"/>
    </row>
    <row r="7490" spans="4:4">
      <c r="D7490" s="16"/>
    </row>
    <row r="7491" spans="4:4">
      <c r="D7491" s="16"/>
    </row>
    <row r="7492" spans="4:4">
      <c r="D7492" s="16"/>
    </row>
    <row r="7493" spans="4:4">
      <c r="D7493" s="16"/>
    </row>
    <row r="7494" spans="4:4">
      <c r="D7494" s="16"/>
    </row>
    <row r="7495" spans="4:4">
      <c r="D7495" s="16"/>
    </row>
    <row r="7496" spans="4:4">
      <c r="D7496" s="16"/>
    </row>
    <row r="7497" spans="4:4">
      <c r="D7497" s="16"/>
    </row>
    <row r="7498" spans="4:4">
      <c r="D7498" s="16"/>
    </row>
    <row r="7499" spans="4:4">
      <c r="D7499" s="16"/>
    </row>
    <row r="7500" spans="4:4">
      <c r="D7500" s="16"/>
    </row>
    <row r="7501" spans="4:4">
      <c r="D7501" s="16"/>
    </row>
    <row r="7502" spans="4:4">
      <c r="D7502" s="16"/>
    </row>
    <row r="7503" spans="4:4">
      <c r="D7503" s="16"/>
    </row>
    <row r="7504" spans="4:4">
      <c r="D7504" s="16"/>
    </row>
    <row r="7505" spans="4:4">
      <c r="D7505" s="16"/>
    </row>
    <row r="7506" spans="4:4">
      <c r="D7506" s="16"/>
    </row>
    <row r="7507" spans="4:4">
      <c r="D7507" s="16"/>
    </row>
    <row r="7508" spans="4:4">
      <c r="D7508" s="16"/>
    </row>
    <row r="7509" spans="4:4">
      <c r="D7509" s="16"/>
    </row>
    <row r="7510" spans="4:4">
      <c r="D7510" s="16"/>
    </row>
    <row r="7511" spans="4:4">
      <c r="D7511" s="16"/>
    </row>
    <row r="7512" spans="4:4">
      <c r="D7512" s="16"/>
    </row>
    <row r="7513" spans="4:4">
      <c r="D7513" s="16"/>
    </row>
    <row r="7514" spans="4:4">
      <c r="D7514" s="16"/>
    </row>
    <row r="7515" spans="4:4">
      <c r="D7515" s="16"/>
    </row>
    <row r="7516" spans="4:4">
      <c r="D7516" s="16"/>
    </row>
    <row r="7517" spans="4:4">
      <c r="D7517" s="16"/>
    </row>
    <row r="7518" spans="4:4">
      <c r="D7518" s="16"/>
    </row>
    <row r="7519" spans="4:4">
      <c r="D7519" s="16"/>
    </row>
    <row r="7520" spans="4:4">
      <c r="D7520" s="16"/>
    </row>
    <row r="7521" spans="4:4">
      <c r="D7521" s="16"/>
    </row>
    <row r="7522" spans="4:4">
      <c r="D7522" s="16"/>
    </row>
    <row r="7523" spans="4:4">
      <c r="D7523" s="16"/>
    </row>
    <row r="7524" spans="4:4">
      <c r="D7524" s="16"/>
    </row>
    <row r="7525" spans="4:4">
      <c r="D7525" s="16"/>
    </row>
    <row r="7526" spans="4:4">
      <c r="D7526" s="16"/>
    </row>
    <row r="7527" spans="4:4">
      <c r="D7527" s="16"/>
    </row>
    <row r="7528" spans="4:4">
      <c r="D7528" s="16"/>
    </row>
    <row r="7529" spans="4:4">
      <c r="D7529" s="16"/>
    </row>
    <row r="7530" spans="4:4">
      <c r="D7530" s="16"/>
    </row>
    <row r="7531" spans="4:4">
      <c r="D7531" s="16"/>
    </row>
    <row r="7532" spans="4:4">
      <c r="D7532" s="16"/>
    </row>
    <row r="7533" spans="4:4">
      <c r="D7533" s="16"/>
    </row>
    <row r="7534" spans="4:4">
      <c r="D7534" s="16"/>
    </row>
    <row r="7535" spans="4:4">
      <c r="D7535" s="16"/>
    </row>
    <row r="7536" spans="4:4">
      <c r="D7536" s="16"/>
    </row>
    <row r="7537" spans="4:4">
      <c r="D7537" s="16"/>
    </row>
    <row r="7538" spans="4:4">
      <c r="D7538" s="16"/>
    </row>
    <row r="7539" spans="4:4">
      <c r="D7539" s="16"/>
    </row>
    <row r="7540" spans="4:4">
      <c r="D7540" s="16"/>
    </row>
    <row r="7541" spans="4:4">
      <c r="D7541" s="16"/>
    </row>
    <row r="7542" spans="4:4">
      <c r="D7542" s="16"/>
    </row>
    <row r="7543" spans="4:4">
      <c r="D7543" s="16"/>
    </row>
    <row r="7544" spans="4:4">
      <c r="D7544" s="16"/>
    </row>
    <row r="7545" spans="4:4">
      <c r="D7545" s="16"/>
    </row>
    <row r="7546" spans="4:4">
      <c r="D7546" s="16"/>
    </row>
    <row r="7547" spans="4:4">
      <c r="D7547" s="16"/>
    </row>
    <row r="7548" spans="4:4">
      <c r="D7548" s="16"/>
    </row>
    <row r="7549" spans="4:4">
      <c r="D7549" s="16"/>
    </row>
    <row r="7550" spans="4:4">
      <c r="D7550" s="16"/>
    </row>
    <row r="7551" spans="4:4">
      <c r="D7551" s="16"/>
    </row>
    <row r="7552" spans="4:4">
      <c r="D7552" s="16"/>
    </row>
    <row r="7553" spans="4:4">
      <c r="D7553" s="16"/>
    </row>
    <row r="7554" spans="4:4">
      <c r="D7554" s="16"/>
    </row>
    <row r="7555" spans="4:4">
      <c r="D7555" s="16"/>
    </row>
    <row r="7556" spans="4:4">
      <c r="D7556" s="16"/>
    </row>
    <row r="7557" spans="4:4">
      <c r="D7557" s="16"/>
    </row>
    <row r="7558" spans="4:4">
      <c r="D7558" s="16"/>
    </row>
    <row r="7559" spans="4:4">
      <c r="D7559" s="16"/>
    </row>
    <row r="7560" spans="4:4">
      <c r="D7560" s="16"/>
    </row>
    <row r="7561" spans="4:4">
      <c r="D7561" s="16"/>
    </row>
    <row r="7562" spans="4:4">
      <c r="D7562" s="16"/>
    </row>
    <row r="7563" spans="4:4">
      <c r="D7563" s="16"/>
    </row>
    <row r="7564" spans="4:4">
      <c r="D7564" s="16"/>
    </row>
    <row r="7565" spans="4:4">
      <c r="D7565" s="16"/>
    </row>
    <row r="7566" spans="4:4">
      <c r="D7566" s="16"/>
    </row>
    <row r="7567" spans="4:4">
      <c r="D7567" s="16"/>
    </row>
    <row r="7568" spans="4:4">
      <c r="D7568" s="16"/>
    </row>
    <row r="7569" spans="4:4">
      <c r="D7569" s="16"/>
    </row>
    <row r="7570" spans="4:4">
      <c r="D7570" s="16"/>
    </row>
    <row r="7571" spans="4:4">
      <c r="D7571" s="16"/>
    </row>
    <row r="7572" spans="4:4">
      <c r="D7572" s="16"/>
    </row>
    <row r="7573" spans="4:4">
      <c r="D7573" s="16"/>
    </row>
    <row r="7574" spans="4:4">
      <c r="D7574" s="16"/>
    </row>
    <row r="7575" spans="4:4">
      <c r="D7575" s="16"/>
    </row>
    <row r="7576" spans="4:4">
      <c r="D7576" s="16"/>
    </row>
    <row r="7577" spans="4:4">
      <c r="D7577" s="16"/>
    </row>
    <row r="7578" spans="4:4">
      <c r="D7578" s="16"/>
    </row>
    <row r="7579" spans="4:4">
      <c r="D7579" s="16"/>
    </row>
    <row r="7580" spans="4:4">
      <c r="D7580" s="16"/>
    </row>
    <row r="7581" spans="4:4">
      <c r="D7581" s="16"/>
    </row>
    <row r="7582" spans="4:4">
      <c r="D7582" s="16"/>
    </row>
    <row r="7583" spans="4:4">
      <c r="D7583" s="16"/>
    </row>
    <row r="7584" spans="4:4">
      <c r="D7584" s="16"/>
    </row>
    <row r="7585" spans="4:4">
      <c r="D7585" s="16"/>
    </row>
    <row r="7586" spans="4:4">
      <c r="D7586" s="16"/>
    </row>
    <row r="7587" spans="4:4">
      <c r="D7587" s="16"/>
    </row>
    <row r="7588" spans="4:4">
      <c r="D7588" s="16"/>
    </row>
    <row r="7589" spans="4:4">
      <c r="D7589" s="16"/>
    </row>
    <row r="7590" spans="4:4">
      <c r="D7590" s="16"/>
    </row>
    <row r="7591" spans="4:4">
      <c r="D7591" s="16"/>
    </row>
    <row r="7592" spans="4:4">
      <c r="D7592" s="16"/>
    </row>
    <row r="7593" spans="4:4">
      <c r="D7593" s="16"/>
    </row>
    <row r="7594" spans="4:4">
      <c r="D7594" s="16"/>
    </row>
    <row r="7595" spans="4:4">
      <c r="D7595" s="16"/>
    </row>
    <row r="7596" spans="4:4">
      <c r="D7596" s="16"/>
    </row>
    <row r="7597" spans="4:4">
      <c r="D7597" s="16"/>
    </row>
    <row r="7598" spans="4:4">
      <c r="D7598" s="16"/>
    </row>
    <row r="7599" spans="4:4">
      <c r="D7599" s="16"/>
    </row>
    <row r="7600" spans="4:4">
      <c r="D7600" s="16"/>
    </row>
    <row r="7601" spans="4:4">
      <c r="D7601" s="16"/>
    </row>
    <row r="7602" spans="4:4">
      <c r="D7602" s="16"/>
    </row>
    <row r="7603" spans="4:4">
      <c r="D7603" s="16"/>
    </row>
    <row r="7604" spans="4:4">
      <c r="D7604" s="16"/>
    </row>
    <row r="7605" spans="4:4">
      <c r="D7605" s="16"/>
    </row>
    <row r="7606" spans="4:4">
      <c r="D7606" s="16"/>
    </row>
    <row r="7607" spans="4:4">
      <c r="D7607" s="16"/>
    </row>
    <row r="7608" spans="4:4">
      <c r="D7608" s="16"/>
    </row>
    <row r="7609" spans="4:4">
      <c r="D7609" s="16"/>
    </row>
    <row r="7610" spans="4:4">
      <c r="D7610" s="16"/>
    </row>
    <row r="7611" spans="4:4">
      <c r="D7611" s="16"/>
    </row>
    <row r="7612" spans="4:4">
      <c r="D7612" s="16"/>
    </row>
    <row r="7613" spans="4:4">
      <c r="D7613" s="16"/>
    </row>
    <row r="7614" spans="4:4">
      <c r="D7614" s="16"/>
    </row>
    <row r="7615" spans="4:4">
      <c r="D7615" s="16"/>
    </row>
    <row r="7616" spans="4:4">
      <c r="D7616" s="16"/>
    </row>
    <row r="7617" spans="4:4">
      <c r="D7617" s="16"/>
    </row>
    <row r="7618" spans="4:4">
      <c r="D7618" s="16"/>
    </row>
    <row r="7619" spans="4:4">
      <c r="D7619" s="16"/>
    </row>
    <row r="7620" spans="4:4">
      <c r="D7620" s="16"/>
    </row>
    <row r="7621" spans="4:4">
      <c r="D7621" s="16"/>
    </row>
    <row r="7622" spans="4:4">
      <c r="D7622" s="16"/>
    </row>
    <row r="7623" spans="4:4">
      <c r="D7623" s="16"/>
    </row>
    <row r="7624" spans="4:4">
      <c r="D7624" s="16"/>
    </row>
    <row r="7625" spans="4:4">
      <c r="D7625" s="16"/>
    </row>
    <row r="7626" spans="4:4">
      <c r="D7626" s="16"/>
    </row>
    <row r="7627" spans="4:4">
      <c r="D7627" s="16"/>
    </row>
    <row r="7628" spans="4:4">
      <c r="D7628" s="16"/>
    </row>
    <row r="7629" spans="4:4">
      <c r="D7629" s="16"/>
    </row>
    <row r="7630" spans="4:4">
      <c r="D7630" s="16"/>
    </row>
    <row r="7631" spans="4:4">
      <c r="D7631" s="16"/>
    </row>
    <row r="7632" spans="4:4">
      <c r="D7632" s="16"/>
    </row>
    <row r="7633" spans="4:4">
      <c r="D7633" s="16"/>
    </row>
    <row r="7634" spans="4:4">
      <c r="D7634" s="16"/>
    </row>
    <row r="7635" spans="4:4">
      <c r="D7635" s="16"/>
    </row>
    <row r="7636" spans="4:4">
      <c r="D7636" s="16"/>
    </row>
    <row r="7637" spans="4:4">
      <c r="D7637" s="16"/>
    </row>
    <row r="7638" spans="4:4">
      <c r="D7638" s="16"/>
    </row>
    <row r="7639" spans="4:4">
      <c r="D7639" s="16"/>
    </row>
    <row r="7640" spans="4:4">
      <c r="D7640" s="16"/>
    </row>
    <row r="7641" spans="4:4">
      <c r="D7641" s="16"/>
    </row>
    <row r="7642" spans="4:4">
      <c r="D7642" s="16"/>
    </row>
    <row r="7643" spans="4:4">
      <c r="D7643" s="16"/>
    </row>
    <row r="7644" spans="4:4">
      <c r="D7644" s="16"/>
    </row>
    <row r="7645" spans="4:4">
      <c r="D7645" s="16"/>
    </row>
    <row r="7646" spans="4:4">
      <c r="D7646" s="16"/>
    </row>
    <row r="7647" spans="4:4">
      <c r="D7647" s="16"/>
    </row>
    <row r="7648" spans="4:4">
      <c r="D7648" s="16"/>
    </row>
    <row r="7649" spans="4:4">
      <c r="D7649" s="16"/>
    </row>
    <row r="7650" spans="4:4">
      <c r="D7650" s="16"/>
    </row>
    <row r="7651" spans="4:4">
      <c r="D7651" s="16"/>
    </row>
    <row r="7652" spans="4:4">
      <c r="D7652" s="16"/>
    </row>
    <row r="7653" spans="4:4">
      <c r="D7653" s="16"/>
    </row>
    <row r="7654" spans="4:4">
      <c r="D7654" s="16"/>
    </row>
    <row r="7655" spans="4:4">
      <c r="D7655" s="16"/>
    </row>
    <row r="7656" spans="4:4">
      <c r="D7656" s="16"/>
    </row>
    <row r="7657" spans="4:4">
      <c r="D7657" s="16"/>
    </row>
    <row r="7658" spans="4:4">
      <c r="D7658" s="16"/>
    </row>
    <row r="7659" spans="4:4">
      <c r="D7659" s="16"/>
    </row>
    <row r="7660" spans="4:4">
      <c r="D7660" s="16"/>
    </row>
    <row r="7661" spans="4:4">
      <c r="D7661" s="16"/>
    </row>
    <row r="7662" spans="4:4">
      <c r="D7662" s="16"/>
    </row>
    <row r="7663" spans="4:4">
      <c r="D7663" s="16"/>
    </row>
    <row r="7664" spans="4:4">
      <c r="D7664" s="16"/>
    </row>
    <row r="7665" spans="4:4">
      <c r="D7665" s="16"/>
    </row>
    <row r="7666" spans="4:4">
      <c r="D7666" s="16"/>
    </row>
    <row r="7667" spans="4:4">
      <c r="D7667" s="16"/>
    </row>
    <row r="7668" spans="4:4">
      <c r="D7668" s="16"/>
    </row>
    <row r="7669" spans="4:4">
      <c r="D7669" s="16"/>
    </row>
    <row r="7670" spans="4:4">
      <c r="D7670" s="16"/>
    </row>
    <row r="7671" spans="4:4">
      <c r="D7671" s="16"/>
    </row>
    <row r="7672" spans="4:4">
      <c r="D7672" s="16"/>
    </row>
    <row r="7673" spans="4:4">
      <c r="D7673" s="16"/>
    </row>
    <row r="7674" spans="4:4">
      <c r="D7674" s="16"/>
    </row>
    <row r="7675" spans="4:4">
      <c r="D7675" s="16"/>
    </row>
    <row r="7676" spans="4:4">
      <c r="D7676" s="16"/>
    </row>
    <row r="7677" spans="4:4">
      <c r="D7677" s="16"/>
    </row>
    <row r="7678" spans="4:4">
      <c r="D7678" s="16"/>
    </row>
    <row r="7679" spans="4:4">
      <c r="D7679" s="16"/>
    </row>
    <row r="7680" spans="4:4">
      <c r="D7680" s="16"/>
    </row>
    <row r="7681" spans="4:4">
      <c r="D7681" s="16"/>
    </row>
    <row r="7682" spans="4:4">
      <c r="D7682" s="16"/>
    </row>
    <row r="7683" spans="4:4">
      <c r="D7683" s="16"/>
    </row>
    <row r="7684" spans="4:4">
      <c r="D7684" s="16"/>
    </row>
    <row r="7685" spans="4:4">
      <c r="D7685" s="16"/>
    </row>
    <row r="7686" spans="4:4">
      <c r="D7686" s="16"/>
    </row>
    <row r="7687" spans="4:4">
      <c r="D7687" s="16"/>
    </row>
    <row r="7688" spans="4:4">
      <c r="D7688" s="16"/>
    </row>
    <row r="7689" spans="4:4">
      <c r="D7689" s="16"/>
    </row>
    <row r="7690" spans="4:4">
      <c r="D7690" s="16"/>
    </row>
    <row r="7691" spans="4:4">
      <c r="D7691" s="16"/>
    </row>
    <row r="7692" spans="4:4">
      <c r="D7692" s="16"/>
    </row>
    <row r="7693" spans="4:4">
      <c r="D7693" s="16"/>
    </row>
    <row r="7694" spans="4:4">
      <c r="D7694" s="16"/>
    </row>
    <row r="7695" spans="4:4">
      <c r="D7695" s="16"/>
    </row>
    <row r="7696" spans="4:4">
      <c r="D7696" s="16"/>
    </row>
    <row r="7697" spans="4:4">
      <c r="D7697" s="16"/>
    </row>
    <row r="7698" spans="4:4">
      <c r="D7698" s="16"/>
    </row>
    <row r="7699" spans="4:4">
      <c r="D7699" s="16"/>
    </row>
    <row r="7700" spans="4:4">
      <c r="D7700" s="16"/>
    </row>
    <row r="7701" spans="4:4">
      <c r="D7701" s="16"/>
    </row>
    <row r="7702" spans="4:4">
      <c r="D7702" s="16"/>
    </row>
    <row r="7703" spans="4:4">
      <c r="D7703" s="16"/>
    </row>
    <row r="7704" spans="4:4">
      <c r="D7704" s="16"/>
    </row>
    <row r="7705" spans="4:4">
      <c r="D7705" s="16"/>
    </row>
    <row r="7706" spans="4:4">
      <c r="D7706" s="16"/>
    </row>
    <row r="7707" spans="4:4">
      <c r="D7707" s="16"/>
    </row>
    <row r="7708" spans="4:4">
      <c r="D7708" s="16"/>
    </row>
    <row r="7709" spans="4:4">
      <c r="D7709" s="16"/>
    </row>
    <row r="7710" spans="4:4">
      <c r="D7710" s="16"/>
    </row>
    <row r="7711" spans="4:4">
      <c r="D7711" s="16"/>
    </row>
    <row r="7712" spans="4:4">
      <c r="D7712" s="16"/>
    </row>
    <row r="7713" spans="4:4">
      <c r="D7713" s="16"/>
    </row>
    <row r="7714" spans="4:4">
      <c r="D7714" s="16"/>
    </row>
    <row r="7715" spans="4:4">
      <c r="D7715" s="16"/>
    </row>
    <row r="7716" spans="4:4">
      <c r="D7716" s="16"/>
    </row>
    <row r="7717" spans="4:4">
      <c r="D7717" s="16"/>
    </row>
    <row r="7718" spans="4:4">
      <c r="D7718" s="16"/>
    </row>
    <row r="7719" spans="4:4">
      <c r="D7719" s="16"/>
    </row>
    <row r="7720" spans="4:4">
      <c r="D7720" s="16"/>
    </row>
    <row r="7721" spans="4:4">
      <c r="D7721" s="16"/>
    </row>
    <row r="7722" spans="4:4">
      <c r="D7722" s="16"/>
    </row>
    <row r="7723" spans="4:4">
      <c r="D7723" s="16"/>
    </row>
    <row r="7724" spans="4:4">
      <c r="D7724" s="16"/>
    </row>
    <row r="7725" spans="4:4">
      <c r="D7725" s="16"/>
    </row>
    <row r="7726" spans="4:4">
      <c r="D7726" s="16"/>
    </row>
    <row r="7727" spans="4:4">
      <c r="D7727" s="16"/>
    </row>
    <row r="7728" spans="4:4">
      <c r="D7728" s="16"/>
    </row>
    <row r="7729" spans="4:4">
      <c r="D7729" s="16"/>
    </row>
    <row r="7730" spans="4:4">
      <c r="D7730" s="16"/>
    </row>
    <row r="7731" spans="4:4">
      <c r="D7731" s="16"/>
    </row>
    <row r="7732" spans="4:4">
      <c r="D7732" s="16"/>
    </row>
    <row r="7733" spans="4:4">
      <c r="D7733" s="16"/>
    </row>
    <row r="7734" spans="4:4">
      <c r="D7734" s="16"/>
    </row>
    <row r="7735" spans="4:4">
      <c r="D7735" s="16"/>
    </row>
    <row r="7736" spans="4:4">
      <c r="D7736" s="16"/>
    </row>
    <row r="7737" spans="4:4">
      <c r="D7737" s="16"/>
    </row>
    <row r="7738" spans="4:4">
      <c r="D7738" s="16"/>
    </row>
    <row r="7739" spans="4:4">
      <c r="D7739" s="16"/>
    </row>
    <row r="7740" spans="4:4">
      <c r="D7740" s="16"/>
    </row>
    <row r="7741" spans="4:4">
      <c r="D7741" s="16"/>
    </row>
    <row r="7742" spans="4:4">
      <c r="D7742" s="16"/>
    </row>
    <row r="7743" spans="4:4">
      <c r="D7743" s="16"/>
    </row>
    <row r="7744" spans="4:4">
      <c r="D7744" s="16"/>
    </row>
    <row r="7745" spans="4:4">
      <c r="D7745" s="16"/>
    </row>
    <row r="7746" spans="4:4">
      <c r="D7746" s="16"/>
    </row>
    <row r="7747" spans="4:4">
      <c r="D7747" s="16"/>
    </row>
    <row r="7748" spans="4:4">
      <c r="D7748" s="16"/>
    </row>
    <row r="7749" spans="4:4">
      <c r="D7749" s="16"/>
    </row>
    <row r="7750" spans="4:4">
      <c r="D7750" s="16"/>
    </row>
    <row r="7751" spans="4:4">
      <c r="D7751" s="16"/>
    </row>
    <row r="7752" spans="4:4">
      <c r="D7752" s="16"/>
    </row>
    <row r="7753" spans="4:4">
      <c r="D7753" s="16"/>
    </row>
    <row r="7754" spans="4:4">
      <c r="D7754" s="16"/>
    </row>
    <row r="7755" spans="4:4">
      <c r="D7755" s="16"/>
    </row>
    <row r="7756" spans="4:4">
      <c r="D7756" s="16"/>
    </row>
    <row r="7757" spans="4:4">
      <c r="D7757" s="16"/>
    </row>
    <row r="7758" spans="4:4">
      <c r="D7758" s="16"/>
    </row>
    <row r="7759" spans="4:4">
      <c r="D7759" s="16"/>
    </row>
    <row r="7760" spans="4:4">
      <c r="D7760" s="16"/>
    </row>
    <row r="7761" spans="4:4">
      <c r="D7761" s="16"/>
    </row>
    <row r="7762" spans="4:4">
      <c r="D7762" s="16"/>
    </row>
    <row r="7763" spans="4:4">
      <c r="D7763" s="16"/>
    </row>
    <row r="7764" spans="4:4">
      <c r="D7764" s="16"/>
    </row>
    <row r="7765" spans="4:4">
      <c r="D7765" s="16"/>
    </row>
    <row r="7766" spans="4:4">
      <c r="D7766" s="16"/>
    </row>
    <row r="7767" spans="4:4">
      <c r="D7767" s="16"/>
    </row>
    <row r="7768" spans="4:4">
      <c r="D7768" s="16"/>
    </row>
    <row r="7769" spans="4:4">
      <c r="D7769" s="16"/>
    </row>
    <row r="7770" spans="4:4">
      <c r="D7770" s="16"/>
    </row>
    <row r="7771" spans="4:4">
      <c r="D7771" s="16"/>
    </row>
    <row r="7772" spans="4:4">
      <c r="D7772" s="16"/>
    </row>
    <row r="7773" spans="4:4">
      <c r="D7773" s="16"/>
    </row>
    <row r="7774" spans="4:4">
      <c r="D7774" s="16"/>
    </row>
    <row r="7775" spans="4:4">
      <c r="D7775" s="16"/>
    </row>
    <row r="7776" spans="4:4">
      <c r="D7776" s="16"/>
    </row>
    <row r="7777" spans="4:4">
      <c r="D7777" s="16"/>
    </row>
    <row r="7778" spans="4:4">
      <c r="D7778" s="16"/>
    </row>
    <row r="7779" spans="4:4">
      <c r="D7779" s="16"/>
    </row>
    <row r="7780" spans="4:4">
      <c r="D7780" s="16"/>
    </row>
    <row r="7781" spans="4:4">
      <c r="D7781" s="16"/>
    </row>
    <row r="7782" spans="4:4">
      <c r="D7782" s="16"/>
    </row>
    <row r="7783" spans="4:4">
      <c r="D7783" s="16"/>
    </row>
    <row r="7784" spans="4:4">
      <c r="D7784" s="16"/>
    </row>
    <row r="7785" spans="4:4">
      <c r="D7785" s="16"/>
    </row>
    <row r="7786" spans="4:4">
      <c r="D7786" s="16"/>
    </row>
    <row r="7787" spans="4:4">
      <c r="D7787" s="16"/>
    </row>
    <row r="7788" spans="4:4">
      <c r="D7788" s="16"/>
    </row>
    <row r="7789" spans="4:4">
      <c r="D7789" s="16"/>
    </row>
    <row r="7790" spans="4:4">
      <c r="D7790" s="16"/>
    </row>
    <row r="7791" spans="4:4">
      <c r="D7791" s="16"/>
    </row>
    <row r="7792" spans="4:4">
      <c r="D7792" s="16"/>
    </row>
    <row r="7793" spans="4:4">
      <c r="D7793" s="16"/>
    </row>
    <row r="7794" spans="4:4">
      <c r="D7794" s="16"/>
    </row>
    <row r="7795" spans="4:4">
      <c r="D7795" s="16"/>
    </row>
    <row r="7796" spans="4:4">
      <c r="D7796" s="16"/>
    </row>
    <row r="7797" spans="4:4">
      <c r="D7797" s="16"/>
    </row>
    <row r="7798" spans="4:4">
      <c r="D7798" s="16"/>
    </row>
    <row r="7799" spans="4:4">
      <c r="D7799" s="16"/>
    </row>
    <row r="7800" spans="4:4">
      <c r="D7800" s="16"/>
    </row>
    <row r="7801" spans="4:4">
      <c r="D7801" s="16"/>
    </row>
    <row r="7802" spans="4:4">
      <c r="D7802" s="16"/>
    </row>
    <row r="7803" spans="4:4">
      <c r="D7803" s="16"/>
    </row>
    <row r="7804" spans="4:4">
      <c r="D7804" s="16"/>
    </row>
    <row r="7805" spans="4:4">
      <c r="D7805" s="16"/>
    </row>
    <row r="7806" spans="4:4">
      <c r="D7806" s="16"/>
    </row>
    <row r="7807" spans="4:4">
      <c r="D7807" s="16"/>
    </row>
    <row r="7808" spans="4:4">
      <c r="D7808" s="16"/>
    </row>
    <row r="7809" spans="4:4">
      <c r="D7809" s="16"/>
    </row>
    <row r="7810" spans="4:4">
      <c r="D7810" s="16"/>
    </row>
    <row r="7811" spans="4:4">
      <c r="D7811" s="16"/>
    </row>
    <row r="7812" spans="4:4">
      <c r="D7812" s="16"/>
    </row>
    <row r="7813" spans="4:4">
      <c r="D7813" s="16"/>
    </row>
    <row r="7814" spans="4:4">
      <c r="D7814" s="16"/>
    </row>
    <row r="7815" spans="4:4">
      <c r="D7815" s="16"/>
    </row>
    <row r="7816" spans="4:4">
      <c r="D7816" s="16"/>
    </row>
    <row r="7817" spans="4:4">
      <c r="D7817" s="16"/>
    </row>
    <row r="7818" spans="4:4">
      <c r="D7818" s="16"/>
    </row>
    <row r="7819" spans="4:4">
      <c r="D7819" s="16"/>
    </row>
    <row r="7820" spans="4:4">
      <c r="D7820" s="16"/>
    </row>
    <row r="7821" spans="4:4">
      <c r="D7821" s="16"/>
    </row>
    <row r="7822" spans="4:4">
      <c r="D7822" s="16"/>
    </row>
    <row r="7823" spans="4:4">
      <c r="D7823" s="16"/>
    </row>
    <row r="7824" spans="4:4">
      <c r="D7824" s="16"/>
    </row>
    <row r="7825" spans="4:4">
      <c r="D7825" s="16"/>
    </row>
    <row r="7826" spans="4:4">
      <c r="D7826" s="16"/>
    </row>
    <row r="7827" spans="4:4">
      <c r="D7827" s="16"/>
    </row>
    <row r="7828" spans="4:4">
      <c r="D7828" s="16"/>
    </row>
    <row r="7829" spans="4:4">
      <c r="D7829" s="16"/>
    </row>
    <row r="7830" spans="4:4">
      <c r="D7830" s="16"/>
    </row>
    <row r="7831" spans="4:4">
      <c r="D7831" s="16"/>
    </row>
    <row r="7832" spans="4:4">
      <c r="D7832" s="16"/>
    </row>
    <row r="7833" spans="4:4">
      <c r="D7833" s="16"/>
    </row>
    <row r="7834" spans="4:4">
      <c r="D7834" s="16"/>
    </row>
    <row r="7835" spans="4:4">
      <c r="D7835" s="16"/>
    </row>
    <row r="7836" spans="4:4">
      <c r="D7836" s="16"/>
    </row>
    <row r="7837" spans="4:4">
      <c r="D7837" s="16"/>
    </row>
    <row r="7838" spans="4:4">
      <c r="D7838" s="16"/>
    </row>
    <row r="7839" spans="4:4">
      <c r="D7839" s="16"/>
    </row>
    <row r="7840" spans="4:4">
      <c r="D7840" s="16"/>
    </row>
    <row r="7841" spans="4:4">
      <c r="D7841" s="16"/>
    </row>
    <row r="7842" spans="4:4">
      <c r="D7842" s="16"/>
    </row>
    <row r="7843" spans="4:4">
      <c r="D7843" s="16"/>
    </row>
    <row r="7844" spans="4:4">
      <c r="D7844" s="16"/>
    </row>
    <row r="7845" spans="4:4">
      <c r="D7845" s="16"/>
    </row>
    <row r="7846" spans="4:4">
      <c r="D7846" s="16"/>
    </row>
    <row r="7847" spans="4:4">
      <c r="D7847" s="16"/>
    </row>
    <row r="7848" spans="4:4">
      <c r="D7848" s="16"/>
    </row>
    <row r="7849" spans="4:4">
      <c r="D7849" s="16"/>
    </row>
    <row r="7850" spans="4:4">
      <c r="D7850" s="16"/>
    </row>
    <row r="7851" spans="4:4">
      <c r="D7851" s="16"/>
    </row>
    <row r="7852" spans="4:4">
      <c r="D7852" s="16"/>
    </row>
    <row r="7853" spans="4:4">
      <c r="D7853" s="16"/>
    </row>
    <row r="7854" spans="4:4">
      <c r="D7854" s="16"/>
    </row>
    <row r="7855" spans="4:4">
      <c r="D7855" s="16"/>
    </row>
    <row r="7856" spans="4:4">
      <c r="D7856" s="16"/>
    </row>
    <row r="7857" spans="4:4">
      <c r="D7857" s="16"/>
    </row>
    <row r="7858" spans="4:4">
      <c r="D7858" s="16"/>
    </row>
    <row r="7859" spans="4:4">
      <c r="D7859" s="16"/>
    </row>
    <row r="7860" spans="4:4">
      <c r="D7860" s="16"/>
    </row>
    <row r="7861" spans="4:4">
      <c r="D7861" s="16"/>
    </row>
    <row r="7862" spans="4:4">
      <c r="D7862" s="16"/>
    </row>
    <row r="7863" spans="4:4">
      <c r="D7863" s="16"/>
    </row>
    <row r="7864" spans="4:4">
      <c r="D7864" s="16"/>
    </row>
    <row r="7865" spans="4:4">
      <c r="D7865" s="16"/>
    </row>
    <row r="7866" spans="4:4">
      <c r="D7866" s="16"/>
    </row>
    <row r="7867" spans="4:4">
      <c r="D7867" s="16"/>
    </row>
    <row r="7868" spans="4:4">
      <c r="D7868" s="16"/>
    </row>
    <row r="7869" spans="4:4">
      <c r="D7869" s="16"/>
    </row>
    <row r="7870" spans="4:4">
      <c r="D7870" s="16"/>
    </row>
    <row r="7871" spans="4:4">
      <c r="D7871" s="16"/>
    </row>
    <row r="7872" spans="4:4">
      <c r="D7872" s="16"/>
    </row>
    <row r="7873" spans="4:4">
      <c r="D7873" s="16"/>
    </row>
    <row r="7874" spans="4:4">
      <c r="D7874" s="16"/>
    </row>
    <row r="7875" spans="4:4">
      <c r="D7875" s="16"/>
    </row>
    <row r="7876" spans="4:4">
      <c r="D7876" s="16"/>
    </row>
    <row r="7877" spans="4:4">
      <c r="D7877" s="16"/>
    </row>
    <row r="7878" spans="4:4">
      <c r="D7878" s="16"/>
    </row>
    <row r="7879" spans="4:4">
      <c r="D7879" s="16"/>
    </row>
    <row r="7880" spans="4:4">
      <c r="D7880" s="16"/>
    </row>
    <row r="7881" spans="4:4">
      <c r="D7881" s="16"/>
    </row>
    <row r="7882" spans="4:4">
      <c r="D7882" s="16"/>
    </row>
    <row r="7883" spans="4:4">
      <c r="D7883" s="16"/>
    </row>
    <row r="7884" spans="4:4">
      <c r="D7884" s="16"/>
    </row>
    <row r="7885" spans="4:4">
      <c r="D7885" s="16"/>
    </row>
    <row r="7886" spans="4:4">
      <c r="D7886" s="16"/>
    </row>
    <row r="7887" spans="4:4">
      <c r="D7887" s="16"/>
    </row>
    <row r="7888" spans="4:4">
      <c r="D7888" s="16"/>
    </row>
    <row r="7889" spans="4:4">
      <c r="D7889" s="16"/>
    </row>
    <row r="7890" spans="4:4">
      <c r="D7890" s="16"/>
    </row>
    <row r="7891" spans="4:4">
      <c r="D7891" s="16"/>
    </row>
    <row r="7892" spans="4:4">
      <c r="D7892" s="16"/>
    </row>
    <row r="7893" spans="4:4">
      <c r="D7893" s="16"/>
    </row>
    <row r="7894" spans="4:4">
      <c r="D7894" s="16"/>
    </row>
    <row r="7895" spans="4:4">
      <c r="D7895" s="16"/>
    </row>
    <row r="7896" spans="4:4">
      <c r="D7896" s="16"/>
    </row>
    <row r="7897" spans="4:4">
      <c r="D7897" s="16"/>
    </row>
    <row r="7898" spans="4:4">
      <c r="D7898" s="16"/>
    </row>
    <row r="7899" spans="4:4">
      <c r="D7899" s="16"/>
    </row>
    <row r="7900" spans="4:4">
      <c r="D7900" s="16"/>
    </row>
    <row r="7901" spans="4:4">
      <c r="D7901" s="16"/>
    </row>
    <row r="7902" spans="4:4">
      <c r="D7902" s="16"/>
    </row>
    <row r="7903" spans="4:4">
      <c r="D7903" s="16"/>
    </row>
    <row r="7904" spans="4:4">
      <c r="D7904" s="16"/>
    </row>
    <row r="7905" spans="4:4">
      <c r="D7905" s="16"/>
    </row>
    <row r="7906" spans="4:4">
      <c r="D7906" s="16"/>
    </row>
    <row r="7907" spans="4:4">
      <c r="D7907" s="16"/>
    </row>
    <row r="7908" spans="4:4">
      <c r="D7908" s="16"/>
    </row>
    <row r="7909" spans="4:4">
      <c r="D7909" s="16"/>
    </row>
    <row r="7910" spans="4:4">
      <c r="D7910" s="16"/>
    </row>
    <row r="7911" spans="4:4">
      <c r="D7911" s="16"/>
    </row>
    <row r="7912" spans="4:4">
      <c r="D7912" s="16"/>
    </row>
    <row r="7913" spans="4:4">
      <c r="D7913" s="16"/>
    </row>
    <row r="7914" spans="4:4">
      <c r="D7914" s="16"/>
    </row>
    <row r="7915" spans="4:4">
      <c r="D7915" s="16"/>
    </row>
    <row r="7916" spans="4:4">
      <c r="D7916" s="16"/>
    </row>
    <row r="7917" spans="4:4">
      <c r="D7917" s="16"/>
    </row>
    <row r="7918" spans="4:4">
      <c r="D7918" s="16"/>
    </row>
    <row r="7919" spans="4:4">
      <c r="D7919" s="16"/>
    </row>
    <row r="7920" spans="4:4">
      <c r="D7920" s="16"/>
    </row>
    <row r="7921" spans="4:4">
      <c r="D7921" s="16"/>
    </row>
    <row r="7922" spans="4:4">
      <c r="D7922" s="16"/>
    </row>
    <row r="7923" spans="4:4">
      <c r="D7923" s="16"/>
    </row>
    <row r="7924" spans="4:4">
      <c r="D7924" s="16"/>
    </row>
    <row r="7925" spans="4:4">
      <c r="D7925" s="16"/>
    </row>
    <row r="7926" spans="4:4">
      <c r="D7926" s="16"/>
    </row>
    <row r="7927" spans="4:4">
      <c r="D7927" s="16"/>
    </row>
    <row r="7928" spans="4:4">
      <c r="D7928" s="16"/>
    </row>
    <row r="7929" spans="4:4">
      <c r="D7929" s="16"/>
    </row>
    <row r="7930" spans="4:4">
      <c r="D7930" s="16"/>
    </row>
    <row r="7931" spans="4:4">
      <c r="D7931" s="16"/>
    </row>
    <row r="7932" spans="4:4">
      <c r="D7932" s="16"/>
    </row>
    <row r="7933" spans="4:4">
      <c r="D7933" s="16"/>
    </row>
    <row r="7934" spans="4:4">
      <c r="D7934" s="16"/>
    </row>
    <row r="7935" spans="4:4">
      <c r="D7935" s="16"/>
    </row>
    <row r="7936" spans="4:4">
      <c r="D7936" s="16"/>
    </row>
    <row r="7937" spans="4:4">
      <c r="D7937" s="16"/>
    </row>
    <row r="7938" spans="4:4">
      <c r="D7938" s="16"/>
    </row>
    <row r="7939" spans="4:4">
      <c r="D7939" s="16"/>
    </row>
    <row r="7940" spans="4:4">
      <c r="D7940" s="16"/>
    </row>
    <row r="7941" spans="4:4">
      <c r="D7941" s="16"/>
    </row>
    <row r="7942" spans="4:4">
      <c r="D7942" s="16"/>
    </row>
    <row r="7943" spans="4:4">
      <c r="D7943" s="16"/>
    </row>
    <row r="7944" spans="4:4">
      <c r="D7944" s="16"/>
    </row>
    <row r="7945" spans="4:4">
      <c r="D7945" s="16"/>
    </row>
    <row r="7946" spans="4:4">
      <c r="D7946" s="16"/>
    </row>
    <row r="7947" spans="4:4">
      <c r="D7947" s="16"/>
    </row>
    <row r="7948" spans="4:4">
      <c r="D7948" s="16"/>
    </row>
    <row r="7949" spans="4:4">
      <c r="D7949" s="16"/>
    </row>
    <row r="7950" spans="4:4">
      <c r="D7950" s="16"/>
    </row>
    <row r="7951" spans="4:4">
      <c r="D7951" s="16"/>
    </row>
    <row r="7952" spans="4:4">
      <c r="D7952" s="16"/>
    </row>
    <row r="7953" spans="4:4">
      <c r="D7953" s="16"/>
    </row>
    <row r="7954" spans="4:4">
      <c r="D7954" s="16"/>
    </row>
    <row r="7955" spans="4:4">
      <c r="D7955" s="16"/>
    </row>
    <row r="7956" spans="4:4">
      <c r="D7956" s="16"/>
    </row>
    <row r="7957" spans="4:4">
      <c r="D7957" s="16"/>
    </row>
    <row r="7958" spans="4:4">
      <c r="D7958" s="16"/>
    </row>
    <row r="7959" spans="4:4">
      <c r="D7959" s="16"/>
    </row>
    <row r="7960" spans="4:4">
      <c r="D7960" s="16"/>
    </row>
    <row r="7961" spans="4:4">
      <c r="D7961" s="16"/>
    </row>
    <row r="7962" spans="4:4">
      <c r="D7962" s="16"/>
    </row>
    <row r="7963" spans="4:4">
      <c r="D7963" s="16"/>
    </row>
    <row r="7964" spans="4:4">
      <c r="D7964" s="16"/>
    </row>
    <row r="7965" spans="4:4">
      <c r="D7965" s="16"/>
    </row>
    <row r="7966" spans="4:4">
      <c r="D7966" s="16"/>
    </row>
    <row r="7967" spans="4:4">
      <c r="D7967" s="16"/>
    </row>
    <row r="7968" spans="4:4">
      <c r="D7968" s="16"/>
    </row>
    <row r="7969" spans="4:4">
      <c r="D7969" s="16"/>
    </row>
    <row r="7970" spans="4:4">
      <c r="D7970" s="16"/>
    </row>
    <row r="7971" spans="4:4">
      <c r="D7971" s="16"/>
    </row>
    <row r="7972" spans="4:4">
      <c r="D7972" s="16"/>
    </row>
    <row r="7973" spans="4:4">
      <c r="D7973" s="16"/>
    </row>
    <row r="7974" spans="4:4">
      <c r="D7974" s="16"/>
    </row>
    <row r="7975" spans="4:4">
      <c r="D7975" s="16"/>
    </row>
    <row r="7976" spans="4:4">
      <c r="D7976" s="16"/>
    </row>
    <row r="7977" spans="4:4">
      <c r="D7977" s="16"/>
    </row>
    <row r="7978" spans="4:4">
      <c r="D7978" s="16"/>
    </row>
    <row r="7979" spans="4:4">
      <c r="D7979" s="16"/>
    </row>
    <row r="7980" spans="4:4">
      <c r="D7980" s="16"/>
    </row>
    <row r="7981" spans="4:4">
      <c r="D7981" s="16"/>
    </row>
    <row r="7982" spans="4:4">
      <c r="D7982" s="16"/>
    </row>
    <row r="7983" spans="4:4">
      <c r="D7983" s="16"/>
    </row>
    <row r="7984" spans="4:4">
      <c r="D7984" s="16"/>
    </row>
    <row r="7985" spans="4:4">
      <c r="D7985" s="16"/>
    </row>
    <row r="7986" spans="4:4">
      <c r="D7986" s="16"/>
    </row>
    <row r="7987" spans="4:4">
      <c r="D7987" s="16"/>
    </row>
    <row r="7988" spans="4:4">
      <c r="D7988" s="16"/>
    </row>
    <row r="7989" spans="4:4">
      <c r="D7989" s="16"/>
    </row>
    <row r="7990" spans="4:4">
      <c r="D7990" s="16"/>
    </row>
    <row r="7991" spans="4:4">
      <c r="D7991" s="16"/>
    </row>
    <row r="7992" spans="4:4">
      <c r="D7992" s="16"/>
    </row>
    <row r="7993" spans="4:4">
      <c r="D7993" s="16"/>
    </row>
    <row r="7994" spans="4:4">
      <c r="D7994" s="16"/>
    </row>
    <row r="7995" spans="4:4">
      <c r="D7995" s="16"/>
    </row>
    <row r="7996" spans="4:4">
      <c r="D7996" s="16"/>
    </row>
    <row r="7997" spans="4:4">
      <c r="D7997" s="16"/>
    </row>
    <row r="7998" spans="4:4">
      <c r="D7998" s="16"/>
    </row>
    <row r="7999" spans="4:4">
      <c r="D7999" s="16"/>
    </row>
    <row r="8000" spans="4:4">
      <c r="D8000" s="16"/>
    </row>
    <row r="8001" spans="4:4">
      <c r="D8001" s="16"/>
    </row>
    <row r="8002" spans="4:4">
      <c r="D8002" s="16"/>
    </row>
    <row r="8003" spans="4:4">
      <c r="D8003" s="16"/>
    </row>
    <row r="8004" spans="4:4">
      <c r="D8004" s="16"/>
    </row>
    <row r="8005" spans="4:4">
      <c r="D8005" s="16"/>
    </row>
    <row r="8006" spans="4:4">
      <c r="D8006" s="16"/>
    </row>
    <row r="8007" spans="4:4">
      <c r="D8007" s="16"/>
    </row>
    <row r="8008" spans="4:4">
      <c r="D8008" s="16"/>
    </row>
    <row r="8009" spans="4:4">
      <c r="D8009" s="16"/>
    </row>
    <row r="8010" spans="4:4">
      <c r="D8010" s="16"/>
    </row>
    <row r="8011" spans="4:4">
      <c r="D8011" s="16"/>
    </row>
    <row r="8012" spans="4:4">
      <c r="D8012" s="16"/>
    </row>
    <row r="8013" spans="4:4">
      <c r="D8013" s="16"/>
    </row>
    <row r="8014" spans="4:4">
      <c r="D8014" s="16"/>
    </row>
    <row r="8015" spans="4:4">
      <c r="D8015" s="16"/>
    </row>
    <row r="8016" spans="4:4">
      <c r="D8016" s="16"/>
    </row>
    <row r="8017" spans="4:4">
      <c r="D8017" s="16"/>
    </row>
    <row r="8018" spans="4:4">
      <c r="D8018" s="16"/>
    </row>
    <row r="8019" spans="4:4">
      <c r="D8019" s="16"/>
    </row>
    <row r="8020" spans="4:4">
      <c r="D8020" s="16"/>
    </row>
    <row r="8021" spans="4:4">
      <c r="D8021" s="16"/>
    </row>
    <row r="8022" spans="4:4">
      <c r="D8022" s="16"/>
    </row>
    <row r="8023" spans="4:4">
      <c r="D8023" s="16"/>
    </row>
    <row r="8024" spans="4:4">
      <c r="D8024" s="16"/>
    </row>
    <row r="8025" spans="4:4">
      <c r="D8025" s="16"/>
    </row>
    <row r="8026" spans="4:4">
      <c r="D8026" s="16"/>
    </row>
    <row r="8027" spans="4:4">
      <c r="D8027" s="16"/>
    </row>
    <row r="8028" spans="4:4">
      <c r="D8028" s="16"/>
    </row>
    <row r="8029" spans="4:4">
      <c r="D8029" s="16"/>
    </row>
    <row r="8030" spans="4:4">
      <c r="D8030" s="16"/>
    </row>
    <row r="8031" spans="4:4">
      <c r="D8031" s="16"/>
    </row>
    <row r="8032" spans="4:4">
      <c r="D8032" s="16"/>
    </row>
    <row r="8033" spans="4:4">
      <c r="D8033" s="16"/>
    </row>
    <row r="8034" spans="4:4">
      <c r="D8034" s="16"/>
    </row>
    <row r="8035" spans="4:4">
      <c r="D8035" s="16"/>
    </row>
    <row r="8036" spans="4:4">
      <c r="D8036" s="16"/>
    </row>
    <row r="8037" spans="4:4">
      <c r="D8037" s="16"/>
    </row>
    <row r="8038" spans="4:4">
      <c r="D8038" s="16"/>
    </row>
    <row r="8039" spans="4:4">
      <c r="D8039" s="16"/>
    </row>
    <row r="8040" spans="4:4">
      <c r="D8040" s="16"/>
    </row>
    <row r="8041" spans="4:4">
      <c r="D8041" s="16"/>
    </row>
    <row r="8042" spans="4:4">
      <c r="D8042" s="16"/>
    </row>
    <row r="8043" spans="4:4">
      <c r="D8043" s="16"/>
    </row>
    <row r="8044" spans="4:4">
      <c r="D8044" s="16"/>
    </row>
    <row r="8045" spans="4:4">
      <c r="D8045" s="16"/>
    </row>
    <row r="8046" spans="4:4">
      <c r="D8046" s="16"/>
    </row>
    <row r="8047" spans="4:4">
      <c r="D8047" s="16"/>
    </row>
    <row r="8048" spans="4:4">
      <c r="D8048" s="16"/>
    </row>
    <row r="8049" spans="4:4">
      <c r="D8049" s="16"/>
    </row>
    <row r="8050" spans="4:4">
      <c r="D8050" s="16"/>
    </row>
    <row r="8051" spans="4:4">
      <c r="D8051" s="16"/>
    </row>
    <row r="8052" spans="4:4">
      <c r="D8052" s="16"/>
    </row>
    <row r="8053" spans="4:4">
      <c r="D8053" s="16"/>
    </row>
    <row r="8054" spans="4:4">
      <c r="D8054" s="16"/>
    </row>
    <row r="8055" spans="4:4">
      <c r="D8055" s="16"/>
    </row>
    <row r="8056" spans="4:4">
      <c r="D8056" s="16"/>
    </row>
    <row r="8057" spans="4:4">
      <c r="D8057" s="16"/>
    </row>
    <row r="8058" spans="4:4">
      <c r="D8058" s="16"/>
    </row>
    <row r="8059" spans="4:4">
      <c r="D8059" s="16"/>
    </row>
    <row r="8060" spans="4:4">
      <c r="D8060" s="16"/>
    </row>
    <row r="8061" spans="4:4">
      <c r="D8061" s="16"/>
    </row>
    <row r="8062" spans="4:4">
      <c r="D8062" s="16"/>
    </row>
    <row r="8063" spans="4:4">
      <c r="D8063" s="16"/>
    </row>
    <row r="8064" spans="4:4">
      <c r="D8064" s="16"/>
    </row>
    <row r="8065" spans="4:4">
      <c r="D8065" s="16"/>
    </row>
    <row r="8066" spans="4:4">
      <c r="D8066" s="16"/>
    </row>
    <row r="8067" spans="4:4">
      <c r="D8067" s="16"/>
    </row>
    <row r="8068" spans="4:4">
      <c r="D8068" s="16"/>
    </row>
    <row r="8069" spans="4:4">
      <c r="D8069" s="16"/>
    </row>
    <row r="8070" spans="4:4">
      <c r="D8070" s="16"/>
    </row>
    <row r="8071" spans="4:4">
      <c r="D8071" s="16"/>
    </row>
    <row r="8072" spans="4:4">
      <c r="D8072" s="16"/>
    </row>
    <row r="8073" spans="4:4">
      <c r="D8073" s="16"/>
    </row>
    <row r="8074" spans="4:4">
      <c r="D8074" s="16"/>
    </row>
    <row r="8075" spans="4:4">
      <c r="D8075" s="16"/>
    </row>
    <row r="8076" spans="4:4">
      <c r="D8076" s="16"/>
    </row>
    <row r="8077" spans="4:4">
      <c r="D8077" s="16"/>
    </row>
    <row r="8078" spans="4:4">
      <c r="D8078" s="16"/>
    </row>
    <row r="8079" spans="4:4">
      <c r="D8079" s="16"/>
    </row>
    <row r="8080" spans="4:4">
      <c r="D8080" s="16"/>
    </row>
    <row r="8081" spans="4:4">
      <c r="D8081" s="16"/>
    </row>
    <row r="8082" spans="4:4">
      <c r="D8082" s="16"/>
    </row>
    <row r="8083" spans="4:4">
      <c r="D8083" s="16"/>
    </row>
    <row r="8084" spans="4:4">
      <c r="D8084" s="16"/>
    </row>
    <row r="8085" spans="4:4">
      <c r="D8085" s="16"/>
    </row>
    <row r="8086" spans="4:4">
      <c r="D8086" s="16"/>
    </row>
    <row r="8087" spans="4:4">
      <c r="D8087" s="16"/>
    </row>
    <row r="8088" spans="4:4">
      <c r="D8088" s="16"/>
    </row>
    <row r="8089" spans="4:4">
      <c r="D8089" s="16"/>
    </row>
    <row r="8090" spans="4:4">
      <c r="D8090" s="16"/>
    </row>
    <row r="8091" spans="4:4">
      <c r="D8091" s="16"/>
    </row>
    <row r="8092" spans="4:4">
      <c r="D8092" s="16"/>
    </row>
    <row r="8093" spans="4:4">
      <c r="D8093" s="16"/>
    </row>
    <row r="8094" spans="4:4">
      <c r="D8094" s="16"/>
    </row>
    <row r="8095" spans="4:4">
      <c r="D8095" s="16"/>
    </row>
    <row r="8096" spans="4:4">
      <c r="D8096" s="16"/>
    </row>
    <row r="8097" spans="4:4">
      <c r="D8097" s="16"/>
    </row>
    <row r="8098" spans="4:4">
      <c r="D8098" s="16"/>
    </row>
    <row r="8099" spans="4:4">
      <c r="D8099" s="16"/>
    </row>
    <row r="8100" spans="4:4">
      <c r="D8100" s="16"/>
    </row>
    <row r="8101" spans="4:4">
      <c r="D8101" s="16"/>
    </row>
    <row r="8102" spans="4:4">
      <c r="D8102" s="16"/>
    </row>
    <row r="8103" spans="4:4">
      <c r="D8103" s="16"/>
    </row>
    <row r="8104" spans="4:4">
      <c r="D8104" s="16"/>
    </row>
    <row r="8105" spans="4:4">
      <c r="D8105" s="16"/>
    </row>
    <row r="8106" spans="4:4">
      <c r="D8106" s="16"/>
    </row>
    <row r="8107" spans="4:4">
      <c r="D8107" s="16"/>
    </row>
    <row r="8108" spans="4:4">
      <c r="D8108" s="16"/>
    </row>
    <row r="8109" spans="4:4">
      <c r="D8109" s="16"/>
    </row>
    <row r="8110" spans="4:4">
      <c r="D8110" s="16"/>
    </row>
    <row r="8111" spans="4:4">
      <c r="D8111" s="16"/>
    </row>
    <row r="8112" spans="4:4">
      <c r="D8112" s="16"/>
    </row>
    <row r="8113" spans="4:4">
      <c r="D8113" s="16"/>
    </row>
    <row r="8114" spans="4:4">
      <c r="D8114" s="16"/>
    </row>
    <row r="8115" spans="4:4">
      <c r="D8115" s="16"/>
    </row>
    <row r="8116" spans="4:4">
      <c r="D8116" s="16"/>
    </row>
    <row r="8117" spans="4:4">
      <c r="D8117" s="16"/>
    </row>
    <row r="8118" spans="4:4">
      <c r="D8118" s="16"/>
    </row>
    <row r="8119" spans="4:4">
      <c r="D8119" s="16"/>
    </row>
    <row r="8120" spans="4:4">
      <c r="D8120" s="16"/>
    </row>
    <row r="8121" spans="4:4">
      <c r="D8121" s="16"/>
    </row>
    <row r="8122" spans="4:4">
      <c r="D8122" s="16"/>
    </row>
    <row r="8123" spans="4:4">
      <c r="D8123" s="16"/>
    </row>
    <row r="8124" spans="4:4">
      <c r="D8124" s="16"/>
    </row>
    <row r="8125" spans="4:4">
      <c r="D8125" s="16"/>
    </row>
    <row r="8126" spans="4:4">
      <c r="D8126" s="16"/>
    </row>
    <row r="8127" spans="4:4">
      <c r="D8127" s="16"/>
    </row>
    <row r="8128" spans="4:4">
      <c r="D8128" s="16"/>
    </row>
    <row r="8129" spans="4:4">
      <c r="D8129" s="16"/>
    </row>
    <row r="8130" spans="4:4">
      <c r="D8130" s="16"/>
    </row>
    <row r="8131" spans="4:4">
      <c r="D8131" s="16"/>
    </row>
    <row r="8132" spans="4:4">
      <c r="D8132" s="16"/>
    </row>
    <row r="8133" spans="4:4">
      <c r="D8133" s="16"/>
    </row>
    <row r="8134" spans="4:4">
      <c r="D8134" s="16"/>
    </row>
    <row r="8135" spans="4:4">
      <c r="D8135" s="16"/>
    </row>
    <row r="8136" spans="4:4">
      <c r="D8136" s="16"/>
    </row>
    <row r="8137" spans="4:4">
      <c r="D8137" s="16"/>
    </row>
    <row r="8138" spans="4:4">
      <c r="D8138" s="16"/>
    </row>
    <row r="8139" spans="4:4">
      <c r="D8139" s="16"/>
    </row>
    <row r="8140" spans="4:4">
      <c r="D8140" s="16"/>
    </row>
    <row r="8141" spans="4:4">
      <c r="D8141" s="16"/>
    </row>
    <row r="8142" spans="4:4">
      <c r="D8142" s="16"/>
    </row>
    <row r="8143" spans="4:4">
      <c r="D8143" s="16"/>
    </row>
    <row r="8144" spans="4:4">
      <c r="D8144" s="16"/>
    </row>
    <row r="8145" spans="4:4">
      <c r="D8145" s="16"/>
    </row>
    <row r="8146" spans="4:4">
      <c r="D8146" s="16"/>
    </row>
    <row r="8147" spans="4:4">
      <c r="D8147" s="16"/>
    </row>
    <row r="8148" spans="4:4">
      <c r="D8148" s="16"/>
    </row>
    <row r="8149" spans="4:4">
      <c r="D8149" s="16"/>
    </row>
    <row r="8150" spans="4:4">
      <c r="D8150" s="16"/>
    </row>
    <row r="8151" spans="4:4">
      <c r="D8151" s="16"/>
    </row>
    <row r="8152" spans="4:4">
      <c r="D8152" s="16"/>
    </row>
    <row r="8153" spans="4:4">
      <c r="D8153" s="16"/>
    </row>
    <row r="8154" spans="4:4">
      <c r="D8154" s="16"/>
    </row>
    <row r="8155" spans="4:4">
      <c r="D8155" s="16"/>
    </row>
    <row r="8156" spans="4:4">
      <c r="D8156" s="16"/>
    </row>
    <row r="8157" spans="4:4">
      <c r="D8157" s="16"/>
    </row>
    <row r="8158" spans="4:4">
      <c r="D8158" s="16"/>
    </row>
    <row r="8159" spans="4:4">
      <c r="D8159" s="16"/>
    </row>
    <row r="8160" spans="4:4">
      <c r="D8160" s="16"/>
    </row>
    <row r="8161" spans="4:4">
      <c r="D8161" s="16"/>
    </row>
    <row r="8162" spans="4:4">
      <c r="D8162" s="16"/>
    </row>
    <row r="8163" spans="4:4">
      <c r="D8163" s="16"/>
    </row>
    <row r="8164" spans="4:4">
      <c r="D8164" s="16"/>
    </row>
    <row r="8165" spans="4:4">
      <c r="D8165" s="16"/>
    </row>
    <row r="8166" spans="4:4">
      <c r="D8166" s="16"/>
    </row>
    <row r="8167" spans="4:4">
      <c r="D8167" s="16"/>
    </row>
    <row r="8168" spans="4:4">
      <c r="D8168" s="16"/>
    </row>
    <row r="8169" spans="4:4">
      <c r="D8169" s="16"/>
    </row>
    <row r="8170" spans="4:4">
      <c r="D8170" s="16"/>
    </row>
    <row r="8171" spans="4:4">
      <c r="D8171" s="16"/>
    </row>
    <row r="8172" spans="4:4">
      <c r="D8172" s="16"/>
    </row>
    <row r="8173" spans="4:4">
      <c r="D8173" s="16"/>
    </row>
    <row r="8174" spans="4:4">
      <c r="D8174" s="16"/>
    </row>
    <row r="8175" spans="4:4">
      <c r="D8175" s="16"/>
    </row>
    <row r="8176" spans="4:4">
      <c r="D8176" s="16"/>
    </row>
    <row r="8177" spans="4:4">
      <c r="D8177" s="16"/>
    </row>
    <row r="8178" spans="4:4">
      <c r="D8178" s="16"/>
    </row>
    <row r="8179" spans="4:4">
      <c r="D8179" s="16"/>
    </row>
    <row r="8180" spans="4:4">
      <c r="D8180" s="16"/>
    </row>
    <row r="8181" spans="4:4">
      <c r="D8181" s="16"/>
    </row>
    <row r="8182" spans="4:4">
      <c r="D8182" s="16"/>
    </row>
    <row r="8183" spans="4:4">
      <c r="D8183" s="16"/>
    </row>
    <row r="8184" spans="4:4">
      <c r="D8184" s="16"/>
    </row>
    <row r="8185" spans="4:4">
      <c r="D8185" s="16"/>
    </row>
    <row r="8186" spans="4:4">
      <c r="D8186" s="16"/>
    </row>
    <row r="8187" spans="4:4">
      <c r="D8187" s="16"/>
    </row>
    <row r="8188" spans="4:4">
      <c r="D8188" s="16"/>
    </row>
    <row r="8189" spans="4:4">
      <c r="D8189" s="16"/>
    </row>
    <row r="8190" spans="4:4">
      <c r="D8190" s="16"/>
    </row>
    <row r="8191" spans="4:4">
      <c r="D8191" s="16"/>
    </row>
    <row r="8192" spans="4:4">
      <c r="D8192" s="16"/>
    </row>
    <row r="8193" spans="4:4">
      <c r="D8193" s="16"/>
    </row>
    <row r="8194" spans="4:4">
      <c r="D8194" s="16"/>
    </row>
    <row r="8195" spans="4:4">
      <c r="D8195" s="16"/>
    </row>
    <row r="8196" spans="4:4">
      <c r="D8196" s="16"/>
    </row>
    <row r="8197" spans="4:4">
      <c r="D8197" s="16"/>
    </row>
    <row r="8198" spans="4:4">
      <c r="D8198" s="16"/>
    </row>
    <row r="8199" spans="4:4">
      <c r="D8199" s="16"/>
    </row>
    <row r="8200" spans="4:4">
      <c r="D8200" s="16"/>
    </row>
    <row r="8201" spans="4:4">
      <c r="D8201" s="16"/>
    </row>
    <row r="8202" spans="4:4">
      <c r="D8202" s="16"/>
    </row>
    <row r="8203" spans="4:4">
      <c r="D8203" s="16"/>
    </row>
    <row r="8204" spans="4:4">
      <c r="D8204" s="16"/>
    </row>
    <row r="8205" spans="4:4">
      <c r="D8205" s="16"/>
    </row>
    <row r="8206" spans="4:4">
      <c r="D8206" s="16"/>
    </row>
    <row r="8207" spans="4:4">
      <c r="D8207" s="16"/>
    </row>
    <row r="8208" spans="4:4">
      <c r="D8208" s="16"/>
    </row>
    <row r="8209" spans="4:4">
      <c r="D8209" s="16"/>
    </row>
    <row r="8210" spans="4:4">
      <c r="D8210" s="16"/>
    </row>
    <row r="8211" spans="4:4">
      <c r="D8211" s="16"/>
    </row>
    <row r="8212" spans="4:4">
      <c r="D8212" s="16"/>
    </row>
    <row r="8213" spans="4:4">
      <c r="D8213" s="16"/>
    </row>
    <row r="8214" spans="4:4">
      <c r="D8214" s="16"/>
    </row>
    <row r="8215" spans="4:4">
      <c r="D8215" s="16"/>
    </row>
    <row r="8216" spans="4:4">
      <c r="D8216" s="16"/>
    </row>
    <row r="8217" spans="4:4">
      <c r="D8217" s="16"/>
    </row>
    <row r="8218" spans="4:4">
      <c r="D8218" s="16"/>
    </row>
    <row r="8219" spans="4:4">
      <c r="D8219" s="16"/>
    </row>
    <row r="8220" spans="4:4">
      <c r="D8220" s="16"/>
    </row>
    <row r="8221" spans="4:4">
      <c r="D8221" s="16"/>
    </row>
    <row r="8222" spans="4:4">
      <c r="D8222" s="16"/>
    </row>
    <row r="8223" spans="4:4">
      <c r="D8223" s="16"/>
    </row>
    <row r="8224" spans="4:4">
      <c r="D8224" s="16"/>
    </row>
    <row r="8225" spans="4:4">
      <c r="D8225" s="16"/>
    </row>
    <row r="8226" spans="4:4">
      <c r="D8226" s="16"/>
    </row>
    <row r="8227" spans="4:4">
      <c r="D8227" s="16"/>
    </row>
    <row r="8228" spans="4:4">
      <c r="D8228" s="16"/>
    </row>
    <row r="8229" spans="4:4">
      <c r="D8229" s="16"/>
    </row>
    <row r="8230" spans="4:4">
      <c r="D8230" s="16"/>
    </row>
    <row r="8231" spans="4:4">
      <c r="D8231" s="16"/>
    </row>
    <row r="8232" spans="4:4">
      <c r="D8232" s="16"/>
    </row>
    <row r="8233" spans="4:4">
      <c r="D8233" s="16"/>
    </row>
    <row r="8234" spans="4:4">
      <c r="D8234" s="16"/>
    </row>
    <row r="8235" spans="4:4">
      <c r="D8235" s="16"/>
    </row>
    <row r="8236" spans="4:4">
      <c r="D8236" s="16"/>
    </row>
    <row r="8237" spans="4:4">
      <c r="D8237" s="16"/>
    </row>
    <row r="8238" spans="4:4">
      <c r="D8238" s="16"/>
    </row>
    <row r="8239" spans="4:4">
      <c r="D8239" s="16"/>
    </row>
    <row r="8240" spans="4:4">
      <c r="D8240" s="16"/>
    </row>
    <row r="8241" spans="4:4">
      <c r="D8241" s="16"/>
    </row>
    <row r="8242" spans="4:4">
      <c r="D8242" s="16"/>
    </row>
    <row r="8243" spans="4:4">
      <c r="D8243" s="16"/>
    </row>
    <row r="8244" spans="4:4">
      <c r="D8244" s="16"/>
    </row>
    <row r="8245" spans="4:4">
      <c r="D8245" s="16"/>
    </row>
    <row r="8246" spans="4:4">
      <c r="D8246" s="16"/>
    </row>
    <row r="8247" spans="4:4">
      <c r="D8247" s="16"/>
    </row>
    <row r="8248" spans="4:4">
      <c r="D8248" s="16"/>
    </row>
    <row r="8249" spans="4:4">
      <c r="D8249" s="16"/>
    </row>
    <row r="8250" spans="4:4">
      <c r="D8250" s="16"/>
    </row>
    <row r="8251" spans="4:4">
      <c r="D8251" s="16"/>
    </row>
    <row r="8252" spans="4:4">
      <c r="D8252" s="16"/>
    </row>
    <row r="8253" spans="4:4">
      <c r="D8253" s="16"/>
    </row>
    <row r="8254" spans="4:4">
      <c r="D8254" s="16"/>
    </row>
    <row r="8255" spans="4:4">
      <c r="D8255" s="16"/>
    </row>
    <row r="8256" spans="4:4">
      <c r="D8256" s="16"/>
    </row>
    <row r="8257" spans="4:4">
      <c r="D8257" s="16"/>
    </row>
    <row r="8258" spans="4:4">
      <c r="D8258" s="16"/>
    </row>
    <row r="8259" spans="4:4">
      <c r="D8259" s="16"/>
    </row>
    <row r="8260" spans="4:4">
      <c r="D8260" s="16"/>
    </row>
    <row r="8261" spans="4:4">
      <c r="D8261" s="16"/>
    </row>
    <row r="8262" spans="4:4">
      <c r="D8262" s="16"/>
    </row>
    <row r="8263" spans="4:4">
      <c r="D8263" s="16"/>
    </row>
    <row r="8264" spans="4:4">
      <c r="D8264" s="16"/>
    </row>
    <row r="8265" spans="4:4">
      <c r="D8265" s="16"/>
    </row>
    <row r="8266" spans="4:4">
      <c r="D8266" s="16"/>
    </row>
    <row r="8267" spans="4:4">
      <c r="D8267" s="16"/>
    </row>
    <row r="8268" spans="4:4">
      <c r="D8268" s="16"/>
    </row>
    <row r="8269" spans="4:4">
      <c r="D8269" s="16"/>
    </row>
    <row r="8270" spans="4:4">
      <c r="D8270" s="16"/>
    </row>
    <row r="8271" spans="4:4">
      <c r="D8271" s="16"/>
    </row>
    <row r="8272" spans="4:4">
      <c r="D8272" s="16"/>
    </row>
    <row r="8273" spans="4:4">
      <c r="D8273" s="16"/>
    </row>
    <row r="8274" spans="4:4">
      <c r="D8274" s="16"/>
    </row>
    <row r="8275" spans="4:4">
      <c r="D8275" s="16"/>
    </row>
    <row r="8276" spans="4:4">
      <c r="D8276" s="16"/>
    </row>
    <row r="8277" spans="4:4">
      <c r="D8277" s="16"/>
    </row>
    <row r="8278" spans="4:4">
      <c r="D8278" s="16"/>
    </row>
    <row r="8279" spans="4:4">
      <c r="D8279" s="16"/>
    </row>
    <row r="8280" spans="4:4">
      <c r="D8280" s="16"/>
    </row>
    <row r="8281" spans="4:4">
      <c r="D8281" s="16"/>
    </row>
    <row r="8282" spans="4:4">
      <c r="D8282" s="16"/>
    </row>
    <row r="8283" spans="4:4">
      <c r="D8283" s="16"/>
    </row>
    <row r="8284" spans="4:4">
      <c r="D8284" s="16"/>
    </row>
    <row r="8285" spans="4:4">
      <c r="D8285" s="16"/>
    </row>
    <row r="8286" spans="4:4">
      <c r="D8286" s="16"/>
    </row>
    <row r="8287" spans="4:4">
      <c r="D8287" s="16"/>
    </row>
    <row r="8288" spans="4:4">
      <c r="D8288" s="16"/>
    </row>
    <row r="8289" spans="4:4">
      <c r="D8289" s="16"/>
    </row>
    <row r="8290" spans="4:4">
      <c r="D8290" s="16"/>
    </row>
    <row r="8291" spans="4:4">
      <c r="D8291" s="16"/>
    </row>
    <row r="8292" spans="4:4">
      <c r="D8292" s="16"/>
    </row>
    <row r="8293" spans="4:4">
      <c r="D8293" s="16"/>
    </row>
    <row r="8294" spans="4:4">
      <c r="D8294" s="16"/>
    </row>
    <row r="8295" spans="4:4">
      <c r="D8295" s="16"/>
    </row>
    <row r="8296" spans="4:4">
      <c r="D8296" s="16"/>
    </row>
    <row r="8297" spans="4:4">
      <c r="D8297" s="16"/>
    </row>
    <row r="8298" spans="4:4">
      <c r="D8298" s="16"/>
    </row>
    <row r="8299" spans="4:4">
      <c r="D8299" s="16"/>
    </row>
    <row r="8300" spans="4:4">
      <c r="D8300" s="16"/>
    </row>
    <row r="8301" spans="4:4">
      <c r="D8301" s="16"/>
    </row>
    <row r="8302" spans="4:4">
      <c r="D8302" s="16"/>
    </row>
    <row r="8303" spans="4:4">
      <c r="D8303" s="16"/>
    </row>
    <row r="8304" spans="4:4">
      <c r="D8304" s="16"/>
    </row>
    <row r="8305" spans="4:4">
      <c r="D8305" s="16"/>
    </row>
    <row r="8306" spans="4:4">
      <c r="D8306" s="16"/>
    </row>
    <row r="8307" spans="4:4">
      <c r="D8307" s="16"/>
    </row>
    <row r="8308" spans="4:4">
      <c r="D8308" s="16"/>
    </row>
    <row r="8309" spans="4:4">
      <c r="D8309" s="16"/>
    </row>
    <row r="8310" spans="4:4">
      <c r="D8310" s="16"/>
    </row>
    <row r="8311" spans="4:4">
      <c r="D8311" s="16"/>
    </row>
    <row r="8312" spans="4:4">
      <c r="D8312" s="16"/>
    </row>
    <row r="8313" spans="4:4">
      <c r="D8313" s="16"/>
    </row>
    <row r="8314" spans="4:4">
      <c r="D8314" s="16"/>
    </row>
    <row r="8315" spans="4:4">
      <c r="D8315" s="16"/>
    </row>
    <row r="8316" spans="4:4">
      <c r="D8316" s="16"/>
    </row>
    <row r="8317" spans="4:4">
      <c r="D8317" s="16"/>
    </row>
    <row r="8318" spans="4:4">
      <c r="D8318" s="16"/>
    </row>
    <row r="8319" spans="4:4">
      <c r="D8319" s="16"/>
    </row>
    <row r="8320" spans="4:4">
      <c r="D8320" s="16"/>
    </row>
    <row r="8321" spans="4:4">
      <c r="D8321" s="16"/>
    </row>
    <row r="8322" spans="4:4">
      <c r="D8322" s="16"/>
    </row>
    <row r="8323" spans="4:4">
      <c r="D8323" s="16"/>
    </row>
    <row r="8324" spans="4:4">
      <c r="D8324" s="16"/>
    </row>
    <row r="8325" spans="4:4">
      <c r="D8325" s="16"/>
    </row>
    <row r="8326" spans="4:4">
      <c r="D8326" s="16"/>
    </row>
    <row r="8327" spans="4:4">
      <c r="D8327" s="16"/>
    </row>
    <row r="8328" spans="4:4">
      <c r="D8328" s="16"/>
    </row>
    <row r="8329" spans="4:4">
      <c r="D8329" s="16"/>
    </row>
    <row r="8330" spans="4:4">
      <c r="D8330" s="16"/>
    </row>
    <row r="8331" spans="4:4">
      <c r="D8331" s="16"/>
    </row>
    <row r="8332" spans="4:4">
      <c r="D8332" s="16"/>
    </row>
    <row r="8333" spans="4:4">
      <c r="D8333" s="16"/>
    </row>
    <row r="8334" spans="4:4">
      <c r="D8334" s="16"/>
    </row>
    <row r="8335" spans="4:4">
      <c r="D8335" s="16"/>
    </row>
    <row r="8336" spans="4:4">
      <c r="D8336" s="16"/>
    </row>
    <row r="8337" spans="4:4">
      <c r="D8337" s="16"/>
    </row>
    <row r="8338" spans="4:4">
      <c r="D8338" s="16"/>
    </row>
    <row r="8339" spans="4:4">
      <c r="D8339" s="16"/>
    </row>
    <row r="8340" spans="4:4">
      <c r="D8340" s="16"/>
    </row>
    <row r="8341" spans="4:4">
      <c r="D8341" s="16"/>
    </row>
    <row r="8342" spans="4:4">
      <c r="D8342" s="16"/>
    </row>
    <row r="8343" spans="4:4">
      <c r="D8343" s="16"/>
    </row>
    <row r="8344" spans="4:4">
      <c r="D8344" s="16"/>
    </row>
    <row r="8345" spans="4:4">
      <c r="D8345" s="16"/>
    </row>
    <row r="8346" spans="4:4">
      <c r="D8346" s="16"/>
    </row>
    <row r="8347" spans="4:4">
      <c r="D8347" s="16"/>
    </row>
    <row r="8348" spans="4:4">
      <c r="D8348" s="16"/>
    </row>
    <row r="8349" spans="4:4">
      <c r="D8349" s="16"/>
    </row>
    <row r="8350" spans="4:4">
      <c r="D8350" s="16"/>
    </row>
    <row r="8351" spans="4:4">
      <c r="D8351" s="16"/>
    </row>
    <row r="8352" spans="4:4">
      <c r="D8352" s="16"/>
    </row>
    <row r="8353" spans="4:4">
      <c r="D8353" s="16"/>
    </row>
    <row r="8354" spans="4:4">
      <c r="D8354" s="16"/>
    </row>
    <row r="8355" spans="4:4">
      <c r="D8355" s="16"/>
    </row>
    <row r="8356" spans="4:4">
      <c r="D8356" s="16"/>
    </row>
    <row r="8357" spans="4:4">
      <c r="D8357" s="16"/>
    </row>
    <row r="8358" spans="4:4">
      <c r="D8358" s="16"/>
    </row>
    <row r="8359" spans="4:4">
      <c r="D8359" s="16"/>
    </row>
    <row r="8360" spans="4:4">
      <c r="D8360" s="16"/>
    </row>
    <row r="8361" spans="4:4">
      <c r="D8361" s="16"/>
    </row>
    <row r="8362" spans="4:4">
      <c r="D8362" s="16"/>
    </row>
    <row r="8363" spans="4:4">
      <c r="D8363" s="16"/>
    </row>
    <row r="8364" spans="4:4">
      <c r="D8364" s="16"/>
    </row>
    <row r="8365" spans="4:4">
      <c r="D8365" s="16"/>
    </row>
    <row r="8366" spans="4:4">
      <c r="D8366" s="16"/>
    </row>
    <row r="8367" spans="4:4">
      <c r="D8367" s="16"/>
    </row>
    <row r="8368" spans="4:4">
      <c r="D8368" s="16"/>
    </row>
    <row r="8369" spans="4:4">
      <c r="D8369" s="16"/>
    </row>
    <row r="8370" spans="4:4">
      <c r="D8370" s="16"/>
    </row>
    <row r="8371" spans="4:4">
      <c r="D8371" s="16"/>
    </row>
    <row r="8372" spans="4:4">
      <c r="D8372" s="16"/>
    </row>
    <row r="8373" spans="4:4">
      <c r="D8373" s="16"/>
    </row>
    <row r="8374" spans="4:4">
      <c r="D8374" s="16"/>
    </row>
    <row r="8375" spans="4:4">
      <c r="D8375" s="16"/>
    </row>
    <row r="8376" spans="4:4">
      <c r="D8376" s="16"/>
    </row>
    <row r="8377" spans="4:4">
      <c r="D8377" s="16"/>
    </row>
    <row r="8378" spans="4:4">
      <c r="D8378" s="16"/>
    </row>
    <row r="8379" spans="4:4">
      <c r="D8379" s="16"/>
    </row>
    <row r="8380" spans="4:4">
      <c r="D8380" s="16"/>
    </row>
    <row r="8381" spans="4:4">
      <c r="D8381" s="16"/>
    </row>
    <row r="8382" spans="4:4">
      <c r="D8382" s="16"/>
    </row>
    <row r="8383" spans="4:4">
      <c r="D8383" s="16"/>
    </row>
    <row r="8384" spans="4:4">
      <c r="D8384" s="16"/>
    </row>
    <row r="8385" spans="4:4">
      <c r="D8385" s="16"/>
    </row>
    <row r="8386" spans="4:4">
      <c r="D8386" s="16"/>
    </row>
    <row r="8387" spans="4:4">
      <c r="D8387" s="16"/>
    </row>
    <row r="8388" spans="4:4">
      <c r="D8388" s="16"/>
    </row>
    <row r="8389" spans="4:4">
      <c r="D8389" s="16"/>
    </row>
    <row r="8390" spans="4:4">
      <c r="D8390" s="16"/>
    </row>
    <row r="8391" spans="4:4">
      <c r="D8391" s="16"/>
    </row>
    <row r="8392" spans="4:4">
      <c r="D8392" s="16"/>
    </row>
    <row r="8393" spans="4:4">
      <c r="D8393" s="16"/>
    </row>
    <row r="8394" spans="4:4">
      <c r="D8394" s="16"/>
    </row>
    <row r="8395" spans="4:4">
      <c r="D8395" s="16"/>
    </row>
    <row r="8396" spans="4:4">
      <c r="D8396" s="16"/>
    </row>
    <row r="8397" spans="4:4">
      <c r="D8397" s="16"/>
    </row>
    <row r="8398" spans="4:4">
      <c r="D8398" s="16"/>
    </row>
    <row r="8399" spans="4:4">
      <c r="D8399" s="16"/>
    </row>
    <row r="8400" spans="4:4">
      <c r="D8400" s="16"/>
    </row>
    <row r="8401" spans="4:4">
      <c r="D8401" s="16"/>
    </row>
    <row r="8402" spans="4:4">
      <c r="D8402" s="16"/>
    </row>
    <row r="8403" spans="4:4">
      <c r="D8403" s="16"/>
    </row>
    <row r="8404" spans="4:4">
      <c r="D8404" s="16"/>
    </row>
    <row r="8405" spans="4:4">
      <c r="D8405" s="16"/>
    </row>
    <row r="8406" spans="4:4">
      <c r="D8406" s="16"/>
    </row>
    <row r="8407" spans="4:4">
      <c r="D8407" s="16"/>
    </row>
    <row r="8408" spans="4:4">
      <c r="D8408" s="16"/>
    </row>
    <row r="8409" spans="4:4">
      <c r="D8409" s="16"/>
    </row>
    <row r="8410" spans="4:4">
      <c r="D8410" s="16"/>
    </row>
    <row r="8411" spans="4:4">
      <c r="D8411" s="16"/>
    </row>
    <row r="8412" spans="4:4">
      <c r="D8412" s="16"/>
    </row>
    <row r="8413" spans="4:4">
      <c r="D8413" s="16"/>
    </row>
    <row r="8414" spans="4:4">
      <c r="D8414" s="16"/>
    </row>
    <row r="8415" spans="4:4">
      <c r="D8415" s="16"/>
    </row>
    <row r="8416" spans="4:4">
      <c r="D8416" s="16"/>
    </row>
    <row r="8417" spans="4:4">
      <c r="D8417" s="16"/>
    </row>
    <row r="8418" spans="4:4">
      <c r="D8418" s="16"/>
    </row>
    <row r="8419" spans="4:4">
      <c r="D8419" s="16"/>
    </row>
    <row r="8420" spans="4:4">
      <c r="D8420" s="16"/>
    </row>
    <row r="8421" spans="4:4">
      <c r="D8421" s="16"/>
    </row>
    <row r="8422" spans="4:4">
      <c r="D8422" s="16"/>
    </row>
    <row r="8423" spans="4:4">
      <c r="D8423" s="16"/>
    </row>
    <row r="8424" spans="4:4">
      <c r="D8424" s="16"/>
    </row>
    <row r="8425" spans="4:4">
      <c r="D8425" s="16"/>
    </row>
    <row r="8426" spans="4:4">
      <c r="D8426" s="16"/>
    </row>
    <row r="8427" spans="4:4">
      <c r="D8427" s="16"/>
    </row>
    <row r="8428" spans="4:4">
      <c r="D8428" s="16"/>
    </row>
    <row r="8429" spans="4:4">
      <c r="D8429" s="16"/>
    </row>
    <row r="8430" spans="4:4">
      <c r="D8430" s="16"/>
    </row>
    <row r="8431" spans="4:4">
      <c r="D8431" s="16"/>
    </row>
    <row r="8432" spans="4:4">
      <c r="D8432" s="16"/>
    </row>
    <row r="8433" spans="4:4">
      <c r="D8433" s="16"/>
    </row>
    <row r="8434" spans="4:4">
      <c r="D8434" s="16"/>
    </row>
    <row r="8435" spans="4:4">
      <c r="D8435" s="16"/>
    </row>
    <row r="8436" spans="4:4">
      <c r="D8436" s="16"/>
    </row>
    <row r="8437" spans="4:4">
      <c r="D8437" s="16"/>
    </row>
    <row r="8438" spans="4:4">
      <c r="D8438" s="16"/>
    </row>
    <row r="8439" spans="4:4">
      <c r="D8439" s="16"/>
    </row>
    <row r="8440" spans="4:4">
      <c r="D8440" s="16"/>
    </row>
    <row r="8441" spans="4:4">
      <c r="D8441" s="16"/>
    </row>
    <row r="8442" spans="4:4">
      <c r="D8442" s="16"/>
    </row>
    <row r="8443" spans="4:4">
      <c r="D8443" s="16"/>
    </row>
    <row r="8444" spans="4:4">
      <c r="D8444" s="16"/>
    </row>
    <row r="8445" spans="4:4">
      <c r="D8445" s="16"/>
    </row>
    <row r="8446" spans="4:4">
      <c r="D8446" s="16"/>
    </row>
    <row r="8447" spans="4:4">
      <c r="D8447" s="16"/>
    </row>
    <row r="8448" spans="4:4">
      <c r="D8448" s="16"/>
    </row>
    <row r="8449" spans="4:4">
      <c r="D8449" s="16"/>
    </row>
    <row r="8450" spans="4:4">
      <c r="D8450" s="16"/>
    </row>
    <row r="8451" spans="4:4">
      <c r="D8451" s="16"/>
    </row>
    <row r="8452" spans="4:4">
      <c r="D8452" s="16"/>
    </row>
    <row r="8453" spans="4:4">
      <c r="D8453" s="16"/>
    </row>
    <row r="8454" spans="4:4">
      <c r="D8454" s="16"/>
    </row>
    <row r="8455" spans="4:4">
      <c r="D8455" s="16"/>
    </row>
    <row r="8456" spans="4:4">
      <c r="D8456" s="16"/>
    </row>
    <row r="8457" spans="4:4">
      <c r="D8457" s="16"/>
    </row>
    <row r="8458" spans="4:4">
      <c r="D8458" s="16"/>
    </row>
    <row r="8459" spans="4:4">
      <c r="D8459" s="16"/>
    </row>
    <row r="8460" spans="4:4">
      <c r="D8460" s="16"/>
    </row>
    <row r="8461" spans="4:4">
      <c r="D8461" s="16"/>
    </row>
    <row r="8462" spans="4:4">
      <c r="D8462" s="16"/>
    </row>
    <row r="8463" spans="4:4">
      <c r="D8463" s="16"/>
    </row>
    <row r="8464" spans="4:4">
      <c r="D8464" s="16"/>
    </row>
    <row r="8465" spans="4:4">
      <c r="D8465" s="16"/>
    </row>
    <row r="8466" spans="4:4">
      <c r="D8466" s="16"/>
    </row>
    <row r="8467" spans="4:4">
      <c r="D8467" s="16"/>
    </row>
    <row r="8468" spans="4:4">
      <c r="D8468" s="16"/>
    </row>
    <row r="8469" spans="4:4">
      <c r="D8469" s="16"/>
    </row>
    <row r="8470" spans="4:4">
      <c r="D8470" s="16"/>
    </row>
    <row r="8471" spans="4:4">
      <c r="D8471" s="16"/>
    </row>
    <row r="8472" spans="4:4">
      <c r="D8472" s="16"/>
    </row>
    <row r="8473" spans="4:4">
      <c r="D8473" s="16"/>
    </row>
    <row r="8474" spans="4:4">
      <c r="D8474" s="16"/>
    </row>
    <row r="8475" spans="4:4">
      <c r="D8475" s="16"/>
    </row>
    <row r="8476" spans="4:4">
      <c r="D8476" s="16"/>
    </row>
    <row r="8477" spans="4:4">
      <c r="D8477" s="16"/>
    </row>
    <row r="8478" spans="4:4">
      <c r="D8478" s="16"/>
    </row>
    <row r="8479" spans="4:4">
      <c r="D8479" s="16"/>
    </row>
    <row r="8480" spans="4:4">
      <c r="D8480" s="16"/>
    </row>
    <row r="8481" spans="4:4">
      <c r="D8481" s="16"/>
    </row>
    <row r="8482" spans="4:4">
      <c r="D8482" s="16"/>
    </row>
    <row r="8483" spans="4:4">
      <c r="D8483" s="16"/>
    </row>
    <row r="8484" spans="4:4">
      <c r="D8484" s="16"/>
    </row>
    <row r="8485" spans="4:4">
      <c r="D8485" s="16"/>
    </row>
    <row r="8486" spans="4:4">
      <c r="D8486" s="16"/>
    </row>
    <row r="8487" spans="4:4">
      <c r="D8487" s="16"/>
    </row>
    <row r="8488" spans="4:4">
      <c r="D8488" s="16"/>
    </row>
    <row r="8489" spans="4:4">
      <c r="D8489" s="16"/>
    </row>
    <row r="8490" spans="4:4">
      <c r="D8490" s="16"/>
    </row>
    <row r="8491" spans="4:4">
      <c r="D8491" s="16"/>
    </row>
    <row r="8492" spans="4:4">
      <c r="D8492" s="16"/>
    </row>
    <row r="8493" spans="4:4">
      <c r="D8493" s="16"/>
    </row>
    <row r="8494" spans="4:4">
      <c r="D8494" s="16"/>
    </row>
    <row r="8495" spans="4:4">
      <c r="D8495" s="16"/>
    </row>
    <row r="8496" spans="4:4">
      <c r="D8496" s="16"/>
    </row>
    <row r="8497" spans="4:4">
      <c r="D8497" s="16"/>
    </row>
    <row r="8498" spans="4:4">
      <c r="D8498" s="16"/>
    </row>
    <row r="8499" spans="4:4">
      <c r="D8499" s="16"/>
    </row>
    <row r="8500" spans="4:4">
      <c r="D8500" s="16"/>
    </row>
    <row r="8501" spans="4:4">
      <c r="D8501" s="16"/>
    </row>
    <row r="8502" spans="4:4">
      <c r="D8502" s="16"/>
    </row>
    <row r="8503" spans="4:4">
      <c r="D8503" s="16"/>
    </row>
    <row r="8504" spans="4:4">
      <c r="D8504" s="16"/>
    </row>
    <row r="8505" spans="4:4">
      <c r="D8505" s="16"/>
    </row>
    <row r="8506" spans="4:4">
      <c r="D8506" s="16"/>
    </row>
    <row r="8507" spans="4:4">
      <c r="D8507" s="16"/>
    </row>
    <row r="8508" spans="4:4">
      <c r="D8508" s="16"/>
    </row>
    <row r="8509" spans="4:4">
      <c r="D8509" s="16"/>
    </row>
    <row r="8510" spans="4:4">
      <c r="D8510" s="16"/>
    </row>
    <row r="8511" spans="4:4">
      <c r="D8511" s="16"/>
    </row>
    <row r="8512" spans="4:4">
      <c r="D8512" s="16"/>
    </row>
    <row r="8513" spans="4:4">
      <c r="D8513" s="16"/>
    </row>
    <row r="8514" spans="4:4">
      <c r="D8514" s="16"/>
    </row>
    <row r="8515" spans="4:4">
      <c r="D8515" s="16"/>
    </row>
    <row r="8516" spans="4:4">
      <c r="D8516" s="16"/>
    </row>
    <row r="8517" spans="4:4">
      <c r="D8517" s="16"/>
    </row>
    <row r="8518" spans="4:4">
      <c r="D8518" s="16"/>
    </row>
    <row r="8519" spans="4:4">
      <c r="D8519" s="16"/>
    </row>
    <row r="8520" spans="4:4">
      <c r="D8520" s="16"/>
    </row>
    <row r="8521" spans="4:4">
      <c r="D8521" s="16"/>
    </row>
    <row r="8522" spans="4:4">
      <c r="D8522" s="16"/>
    </row>
    <row r="8523" spans="4:4">
      <c r="D8523" s="16"/>
    </row>
    <row r="8524" spans="4:4">
      <c r="D8524" s="16"/>
    </row>
    <row r="8525" spans="4:4">
      <c r="D8525" s="16"/>
    </row>
    <row r="8526" spans="4:4">
      <c r="D8526" s="16"/>
    </row>
    <row r="8527" spans="4:4">
      <c r="D8527" s="16"/>
    </row>
    <row r="8528" spans="4:4">
      <c r="D8528" s="16"/>
    </row>
    <row r="8529" spans="4:4">
      <c r="D8529" s="16"/>
    </row>
    <row r="8530" spans="4:4">
      <c r="D8530" s="16"/>
    </row>
    <row r="8531" spans="4:4">
      <c r="D8531" s="16"/>
    </row>
    <row r="8532" spans="4:4">
      <c r="D8532" s="16"/>
    </row>
    <row r="8533" spans="4:4">
      <c r="D8533" s="16"/>
    </row>
    <row r="8534" spans="4:4">
      <c r="D8534" s="16"/>
    </row>
    <row r="8535" spans="4:4">
      <c r="D8535" s="16"/>
    </row>
    <row r="8536" spans="4:4">
      <c r="D8536" s="16"/>
    </row>
    <row r="8537" spans="4:4">
      <c r="D8537" s="16"/>
    </row>
    <row r="8538" spans="4:4">
      <c r="D8538" s="16"/>
    </row>
    <row r="8539" spans="4:4">
      <c r="D8539" s="16"/>
    </row>
    <row r="8540" spans="4:4">
      <c r="D8540" s="16"/>
    </row>
    <row r="8541" spans="4:4">
      <c r="D8541" s="16"/>
    </row>
    <row r="8542" spans="4:4">
      <c r="D8542" s="16"/>
    </row>
    <row r="8543" spans="4:4">
      <c r="D8543" s="16"/>
    </row>
    <row r="8544" spans="4:4">
      <c r="D8544" s="16"/>
    </row>
    <row r="8545" spans="4:4">
      <c r="D8545" s="16"/>
    </row>
    <row r="8546" spans="4:4">
      <c r="D8546" s="16"/>
    </row>
    <row r="8547" spans="4:4">
      <c r="D8547" s="16"/>
    </row>
    <row r="8548" spans="4:4">
      <c r="D8548" s="16"/>
    </row>
    <row r="8549" spans="4:4">
      <c r="D8549" s="16"/>
    </row>
    <row r="8550" spans="4:4">
      <c r="D8550" s="16"/>
    </row>
    <row r="8551" spans="4:4">
      <c r="D8551" s="16"/>
    </row>
    <row r="8552" spans="4:4">
      <c r="D8552" s="16"/>
    </row>
    <row r="8553" spans="4:4">
      <c r="D8553" s="16"/>
    </row>
    <row r="8554" spans="4:4">
      <c r="D8554" s="16"/>
    </row>
    <row r="8555" spans="4:4">
      <c r="D8555" s="16"/>
    </row>
    <row r="8556" spans="4:4">
      <c r="D8556" s="16"/>
    </row>
    <row r="8557" spans="4:4">
      <c r="D8557" s="16"/>
    </row>
    <row r="8558" spans="4:4">
      <c r="D8558" s="16"/>
    </row>
    <row r="8559" spans="4:4">
      <c r="D8559" s="16"/>
    </row>
    <row r="8560" spans="4:4">
      <c r="D8560" s="16"/>
    </row>
    <row r="8561" spans="4:4">
      <c r="D8561" s="16"/>
    </row>
    <row r="8562" spans="4:4">
      <c r="D8562" s="16"/>
    </row>
    <row r="8563" spans="4:4">
      <c r="D8563" s="16"/>
    </row>
    <row r="8564" spans="4:4">
      <c r="D8564" s="16"/>
    </row>
    <row r="8565" spans="4:4">
      <c r="D8565" s="16"/>
    </row>
    <row r="8566" spans="4:4">
      <c r="D8566" s="16"/>
    </row>
    <row r="8567" spans="4:4">
      <c r="D8567" s="16"/>
    </row>
    <row r="8568" spans="4:4">
      <c r="D8568" s="16"/>
    </row>
    <row r="8569" spans="4:4">
      <c r="D8569" s="16"/>
    </row>
    <row r="8570" spans="4:4">
      <c r="D8570" s="16"/>
    </row>
    <row r="8571" spans="4:4">
      <c r="D8571" s="16"/>
    </row>
    <row r="8572" spans="4:4">
      <c r="D8572" s="16"/>
    </row>
    <row r="8573" spans="4:4">
      <c r="D8573" s="16"/>
    </row>
    <row r="8574" spans="4:4">
      <c r="D8574" s="16"/>
    </row>
    <row r="8575" spans="4:4">
      <c r="D8575" s="16"/>
    </row>
    <row r="8576" spans="4:4">
      <c r="D8576" s="16"/>
    </row>
    <row r="8577" spans="4:4">
      <c r="D8577" s="16"/>
    </row>
    <row r="8578" spans="4:4">
      <c r="D8578" s="16"/>
    </row>
    <row r="8579" spans="4:4">
      <c r="D8579" s="16"/>
    </row>
    <row r="8580" spans="4:4">
      <c r="D8580" s="16"/>
    </row>
    <row r="8581" spans="4:4">
      <c r="D8581" s="16"/>
    </row>
    <row r="8582" spans="4:4">
      <c r="D8582" s="16"/>
    </row>
    <row r="8583" spans="4:4">
      <c r="D8583" s="16"/>
    </row>
    <row r="8584" spans="4:4">
      <c r="D8584" s="16"/>
    </row>
    <row r="8585" spans="4:4">
      <c r="D8585" s="16"/>
    </row>
    <row r="8586" spans="4:4">
      <c r="D8586" s="16"/>
    </row>
    <row r="8587" spans="4:4">
      <c r="D8587" s="16"/>
    </row>
    <row r="8588" spans="4:4">
      <c r="D8588" s="16"/>
    </row>
    <row r="8589" spans="4:4">
      <c r="D8589" s="16"/>
    </row>
    <row r="8590" spans="4:4">
      <c r="D8590" s="16"/>
    </row>
    <row r="8591" spans="4:4">
      <c r="D8591" s="16"/>
    </row>
    <row r="8592" spans="4:4">
      <c r="D8592" s="16"/>
    </row>
    <row r="8593" spans="4:4">
      <c r="D8593" s="16"/>
    </row>
    <row r="8594" spans="4:4">
      <c r="D8594" s="16"/>
    </row>
    <row r="8595" spans="4:4">
      <c r="D8595" s="16"/>
    </row>
    <row r="8596" spans="4:4">
      <c r="D8596" s="16"/>
    </row>
    <row r="8597" spans="4:4">
      <c r="D8597" s="16"/>
    </row>
    <row r="8598" spans="4:4">
      <c r="D8598" s="16"/>
    </row>
    <row r="8599" spans="4:4">
      <c r="D8599" s="16"/>
    </row>
    <row r="8600" spans="4:4">
      <c r="D8600" s="16"/>
    </row>
    <row r="8601" spans="4:4">
      <c r="D8601" s="16"/>
    </row>
    <row r="8602" spans="4:4">
      <c r="D8602" s="16"/>
    </row>
    <row r="8603" spans="4:4">
      <c r="D8603" s="16"/>
    </row>
    <row r="8604" spans="4:4">
      <c r="D8604" s="16"/>
    </row>
    <row r="8605" spans="4:4">
      <c r="D8605" s="16"/>
    </row>
    <row r="8606" spans="4:4">
      <c r="D8606" s="16"/>
    </row>
    <row r="8607" spans="4:4">
      <c r="D8607" s="16"/>
    </row>
    <row r="8608" spans="4:4">
      <c r="D8608" s="16"/>
    </row>
    <row r="8609" spans="4:4">
      <c r="D8609" s="16"/>
    </row>
    <row r="8610" spans="4:4">
      <c r="D8610" s="16"/>
    </row>
    <row r="8611" spans="4:4">
      <c r="D8611" s="16"/>
    </row>
    <row r="8612" spans="4:4">
      <c r="D8612" s="16"/>
    </row>
    <row r="8613" spans="4:4">
      <c r="D8613" s="16"/>
    </row>
    <row r="8614" spans="4:4">
      <c r="D8614" s="16"/>
    </row>
    <row r="8615" spans="4:4">
      <c r="D8615" s="16"/>
    </row>
    <row r="8616" spans="4:4">
      <c r="D8616" s="16"/>
    </row>
    <row r="8617" spans="4:4">
      <c r="D8617" s="16"/>
    </row>
    <row r="8618" spans="4:4">
      <c r="D8618" s="16"/>
    </row>
    <row r="8619" spans="4:4">
      <c r="D8619" s="16"/>
    </row>
    <row r="8620" spans="4:4">
      <c r="D8620" s="16"/>
    </row>
    <row r="8621" spans="4:4">
      <c r="D8621" s="16"/>
    </row>
    <row r="8622" spans="4:4">
      <c r="D8622" s="16"/>
    </row>
    <row r="8623" spans="4:4">
      <c r="D8623" s="16"/>
    </row>
    <row r="8624" spans="4:4">
      <c r="D8624" s="16"/>
    </row>
    <row r="8625" spans="4:4">
      <c r="D8625" s="16"/>
    </row>
    <row r="8626" spans="4:4">
      <c r="D8626" s="16"/>
    </row>
    <row r="8627" spans="4:4">
      <c r="D8627" s="16"/>
    </row>
    <row r="8628" spans="4:4">
      <c r="D8628" s="16"/>
    </row>
    <row r="8629" spans="4:4">
      <c r="D8629" s="16"/>
    </row>
    <row r="8630" spans="4:4">
      <c r="D8630" s="16"/>
    </row>
    <row r="8631" spans="4:4">
      <c r="D8631" s="16"/>
    </row>
    <row r="8632" spans="4:4">
      <c r="D8632" s="16"/>
    </row>
    <row r="8633" spans="4:4">
      <c r="D8633" s="16"/>
    </row>
    <row r="8634" spans="4:4">
      <c r="D8634" s="16"/>
    </row>
    <row r="8635" spans="4:4">
      <c r="D8635" s="16"/>
    </row>
    <row r="8636" spans="4:4">
      <c r="D8636" s="16"/>
    </row>
    <row r="8637" spans="4:4">
      <c r="D8637" s="16"/>
    </row>
    <row r="8638" spans="4:4">
      <c r="D8638" s="16"/>
    </row>
    <row r="8639" spans="4:4">
      <c r="D8639" s="16"/>
    </row>
    <row r="8640" spans="4:4">
      <c r="D8640" s="16"/>
    </row>
    <row r="8641" spans="4:4">
      <c r="D8641" s="16"/>
    </row>
    <row r="8642" spans="4:4">
      <c r="D8642" s="16"/>
    </row>
    <row r="8643" spans="4:4">
      <c r="D8643" s="16"/>
    </row>
    <row r="8644" spans="4:4">
      <c r="D8644" s="16"/>
    </row>
    <row r="8645" spans="4:4">
      <c r="D8645" s="16"/>
    </row>
    <row r="8646" spans="4:4">
      <c r="D8646" s="16"/>
    </row>
    <row r="8647" spans="4:4">
      <c r="D8647" s="16"/>
    </row>
    <row r="8648" spans="4:4">
      <c r="D8648" s="16"/>
    </row>
    <row r="8649" spans="4:4">
      <c r="D8649" s="16"/>
    </row>
    <row r="8650" spans="4:4">
      <c r="D8650" s="16"/>
    </row>
    <row r="8651" spans="4:4">
      <c r="D8651" s="16"/>
    </row>
    <row r="8652" spans="4:4">
      <c r="D8652" s="16"/>
    </row>
    <row r="8653" spans="4:4">
      <c r="D8653" s="16"/>
    </row>
    <row r="8654" spans="4:4">
      <c r="D8654" s="16"/>
    </row>
    <row r="8655" spans="4:4">
      <c r="D8655" s="16"/>
    </row>
    <row r="8656" spans="4:4">
      <c r="D8656" s="16"/>
    </row>
    <row r="8657" spans="4:4">
      <c r="D8657" s="16"/>
    </row>
    <row r="8658" spans="4:4">
      <c r="D8658" s="16"/>
    </row>
    <row r="8659" spans="4:4">
      <c r="D8659" s="16"/>
    </row>
    <row r="8660" spans="4:4">
      <c r="D8660" s="16"/>
    </row>
    <row r="8661" spans="4:4">
      <c r="D8661" s="16"/>
    </row>
    <row r="8662" spans="4:4">
      <c r="D8662" s="16"/>
    </row>
    <row r="8663" spans="4:4">
      <c r="D8663" s="16"/>
    </row>
    <row r="8664" spans="4:4">
      <c r="D8664" s="16"/>
    </row>
    <row r="8665" spans="4:4">
      <c r="D8665" s="16"/>
    </row>
    <row r="8666" spans="4:4">
      <c r="D8666" s="16"/>
    </row>
    <row r="8667" spans="4:4">
      <c r="D8667" s="16"/>
    </row>
    <row r="8668" spans="4:4">
      <c r="D8668" s="16"/>
    </row>
    <row r="8669" spans="4:4">
      <c r="D8669" s="16"/>
    </row>
    <row r="8670" spans="4:4">
      <c r="D8670" s="16"/>
    </row>
    <row r="8671" spans="4:4">
      <c r="D8671" s="16"/>
    </row>
    <row r="8672" spans="4:4">
      <c r="D8672" s="16"/>
    </row>
    <row r="8673" spans="4:4">
      <c r="D8673" s="16"/>
    </row>
    <row r="8674" spans="4:4">
      <c r="D8674" s="16"/>
    </row>
    <row r="8675" spans="4:4">
      <c r="D8675" s="16"/>
    </row>
    <row r="8676" spans="4:4">
      <c r="D8676" s="16"/>
    </row>
    <row r="8677" spans="4:4">
      <c r="D8677" s="16"/>
    </row>
    <row r="8678" spans="4:4">
      <c r="D8678" s="16"/>
    </row>
    <row r="8679" spans="4:4">
      <c r="D8679" s="16"/>
    </row>
    <row r="8680" spans="4:4">
      <c r="D8680" s="16"/>
    </row>
    <row r="8681" spans="4:4">
      <c r="D8681" s="16"/>
    </row>
    <row r="8682" spans="4:4">
      <c r="D8682" s="16"/>
    </row>
    <row r="8683" spans="4:4">
      <c r="D8683" s="16"/>
    </row>
    <row r="8684" spans="4:4">
      <c r="D8684" s="16"/>
    </row>
    <row r="8685" spans="4:4">
      <c r="D8685" s="16"/>
    </row>
    <row r="8686" spans="4:4">
      <c r="D8686" s="16"/>
    </row>
    <row r="8687" spans="4:4">
      <c r="D8687" s="16"/>
    </row>
    <row r="8688" spans="4:4">
      <c r="D8688" s="16"/>
    </row>
    <row r="8689" spans="4:4">
      <c r="D8689" s="16"/>
    </row>
    <row r="8690" spans="4:4">
      <c r="D8690" s="16"/>
    </row>
    <row r="8691" spans="4:4">
      <c r="D8691" s="16"/>
    </row>
    <row r="8692" spans="4:4">
      <c r="D8692" s="16"/>
    </row>
    <row r="8693" spans="4:4">
      <c r="D8693" s="16"/>
    </row>
    <row r="8694" spans="4:4">
      <c r="D8694" s="16"/>
    </row>
    <row r="8695" spans="4:4">
      <c r="D8695" s="16"/>
    </row>
    <row r="8696" spans="4:4">
      <c r="D8696" s="16"/>
    </row>
    <row r="8697" spans="4:4">
      <c r="D8697" s="16"/>
    </row>
    <row r="8698" spans="4:4">
      <c r="D8698" s="16"/>
    </row>
    <row r="8699" spans="4:4">
      <c r="D8699" s="16"/>
    </row>
    <row r="8700" spans="4:4">
      <c r="D8700" s="16"/>
    </row>
    <row r="8701" spans="4:4">
      <c r="D8701" s="16"/>
    </row>
    <row r="8702" spans="4:4">
      <c r="D8702" s="16"/>
    </row>
    <row r="8703" spans="4:4">
      <c r="D8703" s="16"/>
    </row>
    <row r="8704" spans="4:4">
      <c r="D8704" s="16"/>
    </row>
    <row r="8705" spans="4:4">
      <c r="D8705" s="16"/>
    </row>
    <row r="8706" spans="4:4">
      <c r="D8706" s="16"/>
    </row>
    <row r="8707" spans="4:4">
      <c r="D8707" s="16"/>
    </row>
    <row r="8708" spans="4:4">
      <c r="D8708" s="16"/>
    </row>
    <row r="8709" spans="4:4">
      <c r="D8709" s="16"/>
    </row>
    <row r="8710" spans="4:4">
      <c r="D8710" s="16"/>
    </row>
    <row r="8711" spans="4:4">
      <c r="D8711" s="16"/>
    </row>
    <row r="8712" spans="4:4">
      <c r="D8712" s="16"/>
    </row>
    <row r="8713" spans="4:4">
      <c r="D8713" s="16"/>
    </row>
    <row r="8714" spans="4:4">
      <c r="D8714" s="16"/>
    </row>
    <row r="8715" spans="4:4">
      <c r="D8715" s="16"/>
    </row>
    <row r="8716" spans="4:4">
      <c r="D8716" s="16"/>
    </row>
    <row r="8717" spans="4:4">
      <c r="D8717" s="16"/>
    </row>
    <row r="8718" spans="4:4">
      <c r="D8718" s="16"/>
    </row>
    <row r="8719" spans="4:4">
      <c r="D8719" s="16"/>
    </row>
    <row r="8720" spans="4:4">
      <c r="D8720" s="16"/>
    </row>
    <row r="8721" spans="4:4">
      <c r="D8721" s="16"/>
    </row>
    <row r="8722" spans="4:4">
      <c r="D8722" s="16"/>
    </row>
    <row r="8723" spans="4:4">
      <c r="D8723" s="16"/>
    </row>
    <row r="8724" spans="4:4">
      <c r="D8724" s="16"/>
    </row>
    <row r="8725" spans="4:4">
      <c r="D8725" s="16"/>
    </row>
    <row r="8726" spans="4:4">
      <c r="D8726" s="16"/>
    </row>
    <row r="8727" spans="4:4">
      <c r="D8727" s="16"/>
    </row>
    <row r="8728" spans="4:4">
      <c r="D8728" s="16"/>
    </row>
    <row r="8729" spans="4:4">
      <c r="D8729" s="16"/>
    </row>
    <row r="8730" spans="4:4">
      <c r="D8730" s="16"/>
    </row>
    <row r="8731" spans="4:4">
      <c r="D8731" s="16"/>
    </row>
    <row r="8732" spans="4:4">
      <c r="D8732" s="16"/>
    </row>
    <row r="8733" spans="4:4">
      <c r="D8733" s="16"/>
    </row>
    <row r="8734" spans="4:4">
      <c r="D8734" s="16"/>
    </row>
    <row r="8735" spans="4:4">
      <c r="D8735" s="16"/>
    </row>
    <row r="8736" spans="4:4">
      <c r="D8736" s="16"/>
    </row>
    <row r="8737" spans="4:4">
      <c r="D8737" s="16"/>
    </row>
    <row r="8738" spans="4:4">
      <c r="D8738" s="16"/>
    </row>
    <row r="8739" spans="4:4">
      <c r="D8739" s="16"/>
    </row>
    <row r="8740" spans="4:4">
      <c r="D8740" s="16"/>
    </row>
    <row r="8741" spans="4:4">
      <c r="D8741" s="16"/>
    </row>
    <row r="8742" spans="4:4">
      <c r="D8742" s="16"/>
    </row>
    <row r="8743" spans="4:4">
      <c r="D8743" s="16"/>
    </row>
    <row r="8744" spans="4:4">
      <c r="D8744" s="16"/>
    </row>
    <row r="8745" spans="4:4">
      <c r="D8745" s="16"/>
    </row>
    <row r="8746" spans="4:4">
      <c r="D8746" s="16"/>
    </row>
    <row r="8747" spans="4:4">
      <c r="D8747" s="16"/>
    </row>
    <row r="8748" spans="4:4">
      <c r="D8748" s="16"/>
    </row>
    <row r="8749" spans="4:4">
      <c r="D8749" s="16"/>
    </row>
    <row r="8750" spans="4:4">
      <c r="D8750" s="16"/>
    </row>
    <row r="8751" spans="4:4">
      <c r="D8751" s="16"/>
    </row>
    <row r="8752" spans="4:4">
      <c r="D8752" s="16"/>
    </row>
    <row r="8753" spans="4:4">
      <c r="D8753" s="16"/>
    </row>
    <row r="8754" spans="4:4">
      <c r="D8754" s="16"/>
    </row>
    <row r="8755" spans="4:4">
      <c r="D8755" s="16"/>
    </row>
    <row r="8756" spans="4:4">
      <c r="D8756" s="16"/>
    </row>
    <row r="8757" spans="4:4">
      <c r="D8757" s="16"/>
    </row>
    <row r="8758" spans="4:4">
      <c r="D8758" s="16"/>
    </row>
    <row r="8759" spans="4:4">
      <c r="D8759" s="16"/>
    </row>
    <row r="8760" spans="4:4">
      <c r="D8760" s="16"/>
    </row>
    <row r="8761" spans="4:4">
      <c r="D8761" s="16"/>
    </row>
    <row r="8762" spans="4:4">
      <c r="D8762" s="16"/>
    </row>
    <row r="8763" spans="4:4">
      <c r="D8763" s="16"/>
    </row>
    <row r="8764" spans="4:4">
      <c r="D8764" s="16"/>
    </row>
    <row r="8765" spans="4:4">
      <c r="D8765" s="16"/>
    </row>
    <row r="8766" spans="4:4">
      <c r="D8766" s="16"/>
    </row>
    <row r="8767" spans="4:4">
      <c r="D8767" s="16"/>
    </row>
    <row r="8768" spans="4:4">
      <c r="D8768" s="16"/>
    </row>
    <row r="8769" spans="4:4">
      <c r="D8769" s="16"/>
    </row>
    <row r="8770" spans="4:4">
      <c r="D8770" s="16"/>
    </row>
    <row r="8771" spans="4:4">
      <c r="D8771" s="16"/>
    </row>
    <row r="8772" spans="4:4">
      <c r="D8772" s="16"/>
    </row>
    <row r="8773" spans="4:4">
      <c r="D8773" s="16"/>
    </row>
    <row r="8774" spans="4:4">
      <c r="D8774" s="16"/>
    </row>
    <row r="8775" spans="4:4">
      <c r="D8775" s="16"/>
    </row>
    <row r="8776" spans="4:4">
      <c r="D8776" s="16"/>
    </row>
    <row r="8777" spans="4:4">
      <c r="D8777" s="16"/>
    </row>
    <row r="8778" spans="4:4">
      <c r="D8778" s="16"/>
    </row>
    <row r="8779" spans="4:4">
      <c r="D8779" s="16"/>
    </row>
    <row r="8780" spans="4:4">
      <c r="D8780" s="16"/>
    </row>
    <row r="8781" spans="4:4">
      <c r="D8781" s="16"/>
    </row>
    <row r="8782" spans="4:4">
      <c r="D8782" s="16"/>
    </row>
    <row r="8783" spans="4:4">
      <c r="D8783" s="16"/>
    </row>
    <row r="8784" spans="4:4">
      <c r="D8784" s="16"/>
    </row>
    <row r="8785" spans="4:4">
      <c r="D8785" s="16"/>
    </row>
    <row r="8786" spans="4:4">
      <c r="D8786" s="16"/>
    </row>
    <row r="8787" spans="4:4">
      <c r="D8787" s="16"/>
    </row>
    <row r="8788" spans="4:4">
      <c r="D8788" s="16"/>
    </row>
    <row r="8789" spans="4:4">
      <c r="D8789" s="16"/>
    </row>
    <row r="8790" spans="4:4">
      <c r="D8790" s="16"/>
    </row>
    <row r="8791" spans="4:4">
      <c r="D8791" s="16"/>
    </row>
    <row r="8792" spans="4:4">
      <c r="D8792" s="16"/>
    </row>
    <row r="8793" spans="4:4">
      <c r="D8793" s="16"/>
    </row>
    <row r="8794" spans="4:4">
      <c r="D8794" s="16"/>
    </row>
    <row r="8795" spans="4:4">
      <c r="D8795" s="16"/>
    </row>
    <row r="8796" spans="4:4">
      <c r="D8796" s="16"/>
    </row>
    <row r="8797" spans="4:4">
      <c r="D8797" s="16"/>
    </row>
    <row r="8798" spans="4:4">
      <c r="D8798" s="16"/>
    </row>
    <row r="8799" spans="4:4">
      <c r="D8799" s="16"/>
    </row>
    <row r="8800" spans="4:4">
      <c r="D8800" s="16"/>
    </row>
    <row r="8801" spans="4:4">
      <c r="D8801" s="16"/>
    </row>
    <row r="8802" spans="4:4">
      <c r="D8802" s="16"/>
    </row>
    <row r="8803" spans="4:4">
      <c r="D8803" s="16"/>
    </row>
    <row r="8804" spans="4:4">
      <c r="D8804" s="16"/>
    </row>
    <row r="8805" spans="4:4">
      <c r="D8805" s="16"/>
    </row>
    <row r="8806" spans="4:4">
      <c r="D8806" s="16"/>
    </row>
    <row r="8807" spans="4:4">
      <c r="D8807" s="16"/>
    </row>
    <row r="8808" spans="4:4">
      <c r="D8808" s="16"/>
    </row>
    <row r="8809" spans="4:4">
      <c r="D8809" s="16"/>
    </row>
    <row r="8810" spans="4:4">
      <c r="D8810" s="16"/>
    </row>
    <row r="8811" spans="4:4">
      <c r="D8811" s="16"/>
    </row>
    <row r="8812" spans="4:4">
      <c r="D8812" s="16"/>
    </row>
    <row r="8813" spans="4:4">
      <c r="D8813" s="16"/>
    </row>
    <row r="8814" spans="4:4">
      <c r="D8814" s="16"/>
    </row>
    <row r="8815" spans="4:4">
      <c r="D8815" s="16"/>
    </row>
    <row r="8816" spans="4:4">
      <c r="D8816" s="16"/>
    </row>
    <row r="8817" spans="4:4">
      <c r="D8817" s="16"/>
    </row>
    <row r="8818" spans="4:4">
      <c r="D8818" s="16"/>
    </row>
    <row r="8819" spans="4:4">
      <c r="D8819" s="16"/>
    </row>
    <row r="8820" spans="4:4">
      <c r="D8820" s="16"/>
    </row>
    <row r="8821" spans="4:4">
      <c r="D8821" s="16"/>
    </row>
    <row r="8822" spans="4:4">
      <c r="D8822" s="16"/>
    </row>
    <row r="8823" spans="4:4">
      <c r="D8823" s="16"/>
    </row>
    <row r="8824" spans="4:4">
      <c r="D8824" s="16"/>
    </row>
    <row r="8825" spans="4:4">
      <c r="D8825" s="16"/>
    </row>
    <row r="8826" spans="4:4">
      <c r="D8826" s="16"/>
    </row>
    <row r="8827" spans="4:4">
      <c r="D8827" s="16"/>
    </row>
    <row r="8828" spans="4:4">
      <c r="D8828" s="16"/>
    </row>
    <row r="8829" spans="4:4">
      <c r="D8829" s="16"/>
    </row>
    <row r="8830" spans="4:4">
      <c r="D8830" s="16"/>
    </row>
    <row r="8831" spans="4:4">
      <c r="D8831" s="16"/>
    </row>
    <row r="8832" spans="4:4">
      <c r="D8832" s="16"/>
    </row>
    <row r="8833" spans="4:4">
      <c r="D8833" s="16"/>
    </row>
    <row r="8834" spans="4:4">
      <c r="D8834" s="16"/>
    </row>
    <row r="8835" spans="4:4">
      <c r="D8835" s="16"/>
    </row>
    <row r="8836" spans="4:4">
      <c r="D8836" s="16"/>
    </row>
    <row r="8837" spans="4:4">
      <c r="D8837" s="16"/>
    </row>
    <row r="8838" spans="4:4">
      <c r="D8838" s="16"/>
    </row>
    <row r="8839" spans="4:4">
      <c r="D8839" s="16"/>
    </row>
    <row r="8840" spans="4:4">
      <c r="D8840" s="16"/>
    </row>
    <row r="8841" spans="4:4">
      <c r="D8841" s="16"/>
    </row>
    <row r="8842" spans="4:4">
      <c r="D8842" s="16"/>
    </row>
    <row r="8843" spans="4:4">
      <c r="D8843" s="16"/>
    </row>
    <row r="8844" spans="4:4">
      <c r="D8844" s="16"/>
    </row>
    <row r="8845" spans="4:4">
      <c r="D8845" s="16"/>
    </row>
    <row r="8846" spans="4:4">
      <c r="D8846" s="16"/>
    </row>
    <row r="8847" spans="4:4">
      <c r="D8847" s="16"/>
    </row>
    <row r="8848" spans="4:4">
      <c r="D8848" s="16"/>
    </row>
    <row r="8849" spans="4:4">
      <c r="D8849" s="16"/>
    </row>
    <row r="8850" spans="4:4">
      <c r="D8850" s="16"/>
    </row>
    <row r="8851" spans="4:4">
      <c r="D8851" s="16"/>
    </row>
    <row r="8852" spans="4:4">
      <c r="D8852" s="16"/>
    </row>
    <row r="8853" spans="4:4">
      <c r="D8853" s="16"/>
    </row>
    <row r="8854" spans="4:4">
      <c r="D8854" s="16"/>
    </row>
    <row r="8855" spans="4:4">
      <c r="D8855" s="16"/>
    </row>
    <row r="8856" spans="4:4">
      <c r="D8856" s="16"/>
    </row>
    <row r="8857" spans="4:4">
      <c r="D8857" s="16"/>
    </row>
    <row r="8858" spans="4:4">
      <c r="D8858" s="16"/>
    </row>
    <row r="8859" spans="4:4">
      <c r="D8859" s="16"/>
    </row>
    <row r="8860" spans="4:4">
      <c r="D8860" s="16"/>
    </row>
    <row r="8861" spans="4:4">
      <c r="D8861" s="16"/>
    </row>
    <row r="8862" spans="4:4">
      <c r="D8862" s="16"/>
    </row>
    <row r="8863" spans="4:4">
      <c r="D8863" s="16"/>
    </row>
    <row r="8864" spans="4:4">
      <c r="D8864" s="16"/>
    </row>
    <row r="8865" spans="4:4">
      <c r="D8865" s="16"/>
    </row>
    <row r="8866" spans="4:4">
      <c r="D8866" s="16"/>
    </row>
    <row r="8867" spans="4:4">
      <c r="D8867" s="16"/>
    </row>
    <row r="8868" spans="4:4">
      <c r="D8868" s="16"/>
    </row>
    <row r="8869" spans="4:4">
      <c r="D8869" s="16"/>
    </row>
    <row r="8870" spans="4:4">
      <c r="D8870" s="16"/>
    </row>
    <row r="8871" spans="4:4">
      <c r="D8871" s="16"/>
    </row>
    <row r="8872" spans="4:4">
      <c r="D8872" s="16"/>
    </row>
    <row r="8873" spans="4:4">
      <c r="D8873" s="16"/>
    </row>
    <row r="8874" spans="4:4">
      <c r="D8874" s="16"/>
    </row>
    <row r="8875" spans="4:4">
      <c r="D8875" s="16"/>
    </row>
    <row r="8876" spans="4:4">
      <c r="D8876" s="16"/>
    </row>
    <row r="8877" spans="4:4">
      <c r="D8877" s="16"/>
    </row>
    <row r="8878" spans="4:4">
      <c r="D8878" s="16"/>
    </row>
    <row r="8879" spans="4:4">
      <c r="D8879" s="16"/>
    </row>
    <row r="8880" spans="4:4">
      <c r="D8880" s="16"/>
    </row>
    <row r="8881" spans="4:4">
      <c r="D8881" s="16"/>
    </row>
    <row r="8882" spans="4:4">
      <c r="D8882" s="16"/>
    </row>
    <row r="8883" spans="4:4">
      <c r="D8883" s="16"/>
    </row>
    <row r="8884" spans="4:4">
      <c r="D8884" s="16"/>
    </row>
    <row r="8885" spans="4:4">
      <c r="D8885" s="16"/>
    </row>
    <row r="8886" spans="4:4">
      <c r="D8886" s="16"/>
    </row>
    <row r="8887" spans="4:4">
      <c r="D8887" s="16"/>
    </row>
    <row r="8888" spans="4:4">
      <c r="D8888" s="16"/>
    </row>
    <row r="8889" spans="4:4">
      <c r="D8889" s="16"/>
    </row>
    <row r="8890" spans="4:4">
      <c r="D8890" s="16"/>
    </row>
    <row r="8891" spans="4:4">
      <c r="D8891" s="16"/>
    </row>
    <row r="8892" spans="4:4">
      <c r="D8892" s="16"/>
    </row>
    <row r="8893" spans="4:4">
      <c r="D8893" s="16"/>
    </row>
    <row r="8894" spans="4:4">
      <c r="D8894" s="16"/>
    </row>
    <row r="8895" spans="4:4">
      <c r="D8895" s="16"/>
    </row>
    <row r="8896" spans="4:4">
      <c r="D8896" s="16"/>
    </row>
    <row r="8897" spans="4:4">
      <c r="D8897" s="16"/>
    </row>
    <row r="8898" spans="4:4">
      <c r="D8898" s="16"/>
    </row>
    <row r="8899" spans="4:4">
      <c r="D8899" s="16"/>
    </row>
    <row r="8900" spans="4:4">
      <c r="D8900" s="16"/>
    </row>
    <row r="8901" spans="4:4">
      <c r="D8901" s="16"/>
    </row>
    <row r="8902" spans="4:4">
      <c r="D8902" s="16"/>
    </row>
    <row r="8903" spans="4:4">
      <c r="D8903" s="16"/>
    </row>
    <row r="8904" spans="4:4">
      <c r="D8904" s="16"/>
    </row>
    <row r="8905" spans="4:4">
      <c r="D8905" s="16"/>
    </row>
    <row r="8906" spans="4:4">
      <c r="D8906" s="16"/>
    </row>
    <row r="8907" spans="4:4">
      <c r="D8907" s="16"/>
    </row>
    <row r="8908" spans="4:4">
      <c r="D8908" s="16"/>
    </row>
    <row r="8909" spans="4:4">
      <c r="D8909" s="16"/>
    </row>
    <row r="8910" spans="4:4">
      <c r="D8910" s="16"/>
    </row>
    <row r="8911" spans="4:4">
      <c r="D8911" s="16"/>
    </row>
    <row r="8912" spans="4:4">
      <c r="D8912" s="16"/>
    </row>
    <row r="8913" spans="4:4">
      <c r="D8913" s="16"/>
    </row>
    <row r="8914" spans="4:4">
      <c r="D8914" s="16"/>
    </row>
    <row r="8915" spans="4:4">
      <c r="D8915" s="16"/>
    </row>
    <row r="8916" spans="4:4">
      <c r="D8916" s="16"/>
    </row>
    <row r="8917" spans="4:4">
      <c r="D8917" s="16"/>
    </row>
    <row r="8918" spans="4:4">
      <c r="D8918" s="16"/>
    </row>
    <row r="8919" spans="4:4">
      <c r="D8919" s="16"/>
    </row>
    <row r="8920" spans="4:4">
      <c r="D8920" s="16"/>
    </row>
    <row r="8921" spans="4:4">
      <c r="D8921" s="16"/>
    </row>
    <row r="8922" spans="4:4">
      <c r="D8922" s="16"/>
    </row>
    <row r="8923" spans="4:4">
      <c r="D8923" s="16"/>
    </row>
    <row r="8924" spans="4:4">
      <c r="D8924" s="16"/>
    </row>
    <row r="8925" spans="4:4">
      <c r="D8925" s="16"/>
    </row>
    <row r="8926" spans="4:4">
      <c r="D8926" s="16"/>
    </row>
    <row r="8927" spans="4:4">
      <c r="D8927" s="16"/>
    </row>
    <row r="8928" spans="4:4">
      <c r="D8928" s="16"/>
    </row>
    <row r="8929" spans="4:4">
      <c r="D8929" s="16"/>
    </row>
    <row r="8930" spans="4:4">
      <c r="D8930" s="16"/>
    </row>
    <row r="8931" spans="4:4">
      <c r="D8931" s="16"/>
    </row>
    <row r="8932" spans="4:4">
      <c r="D8932" s="16"/>
    </row>
    <row r="8933" spans="4:4">
      <c r="D8933" s="16"/>
    </row>
    <row r="8934" spans="4:4">
      <c r="D8934" s="16"/>
    </row>
    <row r="8935" spans="4:4">
      <c r="D8935" s="16"/>
    </row>
    <row r="8936" spans="4:4">
      <c r="D8936" s="16"/>
    </row>
    <row r="8937" spans="4:4">
      <c r="D8937" s="16"/>
    </row>
    <row r="8938" spans="4:4">
      <c r="D8938" s="16"/>
    </row>
    <row r="8939" spans="4:4">
      <c r="D8939" s="16"/>
    </row>
    <row r="8940" spans="4:4">
      <c r="D8940" s="16"/>
    </row>
    <row r="8941" spans="4:4">
      <c r="D8941" s="16"/>
    </row>
    <row r="8942" spans="4:4">
      <c r="D8942" s="16"/>
    </row>
    <row r="8943" spans="4:4">
      <c r="D8943" s="16"/>
    </row>
    <row r="8944" spans="4:4">
      <c r="D8944" s="16"/>
    </row>
    <row r="8945" spans="4:4">
      <c r="D8945" s="16"/>
    </row>
    <row r="8946" spans="4:4">
      <c r="D8946" s="16"/>
    </row>
    <row r="8947" spans="4:4">
      <c r="D8947" s="16"/>
    </row>
    <row r="8948" spans="4:4">
      <c r="D8948" s="16"/>
    </row>
    <row r="8949" spans="4:4">
      <c r="D8949" s="16"/>
    </row>
    <row r="8950" spans="4:4">
      <c r="D8950" s="16"/>
    </row>
    <row r="8951" spans="4:4">
      <c r="D8951" s="16"/>
    </row>
    <row r="8952" spans="4:4">
      <c r="D8952" s="16"/>
    </row>
    <row r="8953" spans="4:4">
      <c r="D8953" s="16"/>
    </row>
    <row r="8954" spans="4:4">
      <c r="D8954" s="16"/>
    </row>
    <row r="8955" spans="4:4">
      <c r="D8955" s="16"/>
    </row>
    <row r="8956" spans="4:4">
      <c r="D8956" s="16"/>
    </row>
    <row r="8957" spans="4:4">
      <c r="D8957" s="16"/>
    </row>
    <row r="8958" spans="4:4">
      <c r="D8958" s="16"/>
    </row>
    <row r="8959" spans="4:4">
      <c r="D8959" s="16"/>
    </row>
    <row r="8960" spans="4:4">
      <c r="D8960" s="16"/>
    </row>
    <row r="8961" spans="4:4">
      <c r="D8961" s="16"/>
    </row>
    <row r="8962" spans="4:4">
      <c r="D8962" s="16"/>
    </row>
    <row r="8963" spans="4:4">
      <c r="D8963" s="16"/>
    </row>
    <row r="8964" spans="4:4">
      <c r="D8964" s="16"/>
    </row>
    <row r="8965" spans="4:4">
      <c r="D8965" s="16"/>
    </row>
    <row r="8966" spans="4:4">
      <c r="D8966" s="16"/>
    </row>
    <row r="8967" spans="4:4">
      <c r="D8967" s="16"/>
    </row>
    <row r="8968" spans="4:4">
      <c r="D8968" s="16"/>
    </row>
    <row r="8969" spans="4:4">
      <c r="D8969" s="16"/>
    </row>
    <row r="8970" spans="4:4">
      <c r="D8970" s="16"/>
    </row>
    <row r="8971" spans="4:4">
      <c r="D8971" s="16"/>
    </row>
    <row r="8972" spans="4:4">
      <c r="D8972" s="16"/>
    </row>
    <row r="8973" spans="4:4">
      <c r="D8973" s="16"/>
    </row>
    <row r="8974" spans="4:4">
      <c r="D8974" s="16"/>
    </row>
    <row r="8975" spans="4:4">
      <c r="D8975" s="16"/>
    </row>
    <row r="8976" spans="4:4">
      <c r="D8976" s="16"/>
    </row>
    <row r="8977" spans="4:4">
      <c r="D8977" s="16"/>
    </row>
    <row r="8978" spans="4:4">
      <c r="D8978" s="16"/>
    </row>
    <row r="8979" spans="4:4">
      <c r="D8979" s="16"/>
    </row>
    <row r="8980" spans="4:4">
      <c r="D8980" s="16"/>
    </row>
    <row r="8981" spans="4:4">
      <c r="D8981" s="16"/>
    </row>
    <row r="8982" spans="4:4">
      <c r="D8982" s="16"/>
    </row>
    <row r="8983" spans="4:4">
      <c r="D8983" s="16"/>
    </row>
    <row r="8984" spans="4:4">
      <c r="D8984" s="16"/>
    </row>
    <row r="8985" spans="4:4">
      <c r="D8985" s="16"/>
    </row>
    <row r="8986" spans="4:4">
      <c r="D8986" s="16"/>
    </row>
    <row r="8987" spans="4:4">
      <c r="D8987" s="16"/>
    </row>
    <row r="8988" spans="4:4">
      <c r="D8988" s="16"/>
    </row>
    <row r="8989" spans="4:4">
      <c r="D8989" s="16"/>
    </row>
    <row r="8990" spans="4:4">
      <c r="D8990" s="16"/>
    </row>
    <row r="8991" spans="4:4">
      <c r="D8991" s="16"/>
    </row>
    <row r="8992" spans="4:4">
      <c r="D8992" s="16"/>
    </row>
    <row r="8993" spans="4:4">
      <c r="D8993" s="16"/>
    </row>
    <row r="8994" spans="4:4">
      <c r="D8994" s="16"/>
    </row>
    <row r="8995" spans="4:4">
      <c r="D8995" s="16"/>
    </row>
    <row r="8996" spans="4:4">
      <c r="D8996" s="16"/>
    </row>
    <row r="8997" spans="4:4">
      <c r="D8997" s="16"/>
    </row>
    <row r="8998" spans="4:4">
      <c r="D8998" s="16"/>
    </row>
    <row r="8999" spans="4:4">
      <c r="D8999" s="16"/>
    </row>
    <row r="9000" spans="4:4">
      <c r="D9000" s="16"/>
    </row>
    <row r="9001" spans="4:4">
      <c r="D9001" s="16"/>
    </row>
    <row r="9002" spans="4:4">
      <c r="D9002" s="16"/>
    </row>
    <row r="9003" spans="4:4">
      <c r="D9003" s="16"/>
    </row>
    <row r="9004" spans="4:4">
      <c r="D9004" s="16"/>
    </row>
    <row r="9005" spans="4:4">
      <c r="D9005" s="16"/>
    </row>
    <row r="9006" spans="4:4">
      <c r="D9006" s="16"/>
    </row>
    <row r="9007" spans="4:4">
      <c r="D9007" s="16"/>
    </row>
    <row r="9008" spans="4:4">
      <c r="D9008" s="16"/>
    </row>
    <row r="9009" spans="4:4">
      <c r="D9009" s="16"/>
    </row>
    <row r="9010" spans="4:4">
      <c r="D9010" s="16"/>
    </row>
    <row r="9011" spans="4:4">
      <c r="D9011" s="16"/>
    </row>
    <row r="9012" spans="4:4">
      <c r="D9012" s="16"/>
    </row>
    <row r="9013" spans="4:4">
      <c r="D9013" s="16"/>
    </row>
    <row r="9014" spans="4:4">
      <c r="D9014" s="16"/>
    </row>
    <row r="9015" spans="4:4">
      <c r="D9015" s="16"/>
    </row>
    <row r="9016" spans="4:4">
      <c r="D9016" s="16"/>
    </row>
    <row r="9017" spans="4:4">
      <c r="D9017" s="16"/>
    </row>
    <row r="9018" spans="4:4">
      <c r="D9018" s="16"/>
    </row>
    <row r="9019" spans="4:4">
      <c r="D9019" s="16"/>
    </row>
    <row r="9020" spans="4:4">
      <c r="D9020" s="16"/>
    </row>
    <row r="9021" spans="4:4">
      <c r="D9021" s="16"/>
    </row>
    <row r="9022" spans="4:4">
      <c r="D9022" s="16"/>
    </row>
    <row r="9023" spans="4:4">
      <c r="D9023" s="16"/>
    </row>
    <row r="9024" spans="4:4">
      <c r="D9024" s="16"/>
    </row>
    <row r="9025" spans="4:4">
      <c r="D9025" s="16"/>
    </row>
    <row r="9026" spans="4:4">
      <c r="D9026" s="16"/>
    </row>
    <row r="9027" spans="4:4">
      <c r="D9027" s="16"/>
    </row>
    <row r="9028" spans="4:4">
      <c r="D9028" s="16"/>
    </row>
    <row r="9029" spans="4:4">
      <c r="D9029" s="16"/>
    </row>
    <row r="9030" spans="4:4">
      <c r="D9030" s="16"/>
    </row>
    <row r="9031" spans="4:4">
      <c r="D9031" s="16"/>
    </row>
    <row r="9032" spans="4:4">
      <c r="D9032" s="16"/>
    </row>
    <row r="9033" spans="4:4">
      <c r="D9033" s="16"/>
    </row>
    <row r="9034" spans="4:4">
      <c r="D9034" s="16"/>
    </row>
    <row r="9035" spans="4:4">
      <c r="D9035" s="16"/>
    </row>
    <row r="9036" spans="4:4">
      <c r="D9036" s="16"/>
    </row>
    <row r="9037" spans="4:4">
      <c r="D9037" s="16"/>
    </row>
    <row r="9038" spans="4:4">
      <c r="D9038" s="16"/>
    </row>
    <row r="9039" spans="4:4">
      <c r="D9039" s="16"/>
    </row>
    <row r="9040" spans="4:4">
      <c r="D9040" s="16"/>
    </row>
    <row r="9041" spans="4:4">
      <c r="D9041" s="16"/>
    </row>
    <row r="9042" spans="4:4">
      <c r="D9042" s="16"/>
    </row>
    <row r="9043" spans="4:4">
      <c r="D9043" s="16"/>
    </row>
    <row r="9044" spans="4:4">
      <c r="D9044" s="16"/>
    </row>
    <row r="9045" spans="4:4">
      <c r="D9045" s="16"/>
    </row>
    <row r="9046" spans="4:4">
      <c r="D9046" s="16"/>
    </row>
    <row r="9047" spans="4:4">
      <c r="D9047" s="16"/>
    </row>
    <row r="9048" spans="4:4">
      <c r="D9048" s="16"/>
    </row>
    <row r="9049" spans="4:4">
      <c r="D9049" s="16"/>
    </row>
    <row r="9050" spans="4:4">
      <c r="D9050" s="16"/>
    </row>
    <row r="9051" spans="4:4">
      <c r="D9051" s="16"/>
    </row>
    <row r="9052" spans="4:4">
      <c r="D9052" s="16"/>
    </row>
    <row r="9053" spans="4:4">
      <c r="D9053" s="16"/>
    </row>
    <row r="9054" spans="4:4">
      <c r="D9054" s="16"/>
    </row>
    <row r="9055" spans="4:4">
      <c r="D9055" s="16"/>
    </row>
    <row r="9056" spans="4:4">
      <c r="D9056" s="16"/>
    </row>
    <row r="9057" spans="4:4">
      <c r="D9057" s="16"/>
    </row>
    <row r="9058" spans="4:4">
      <c r="D9058" s="16"/>
    </row>
    <row r="9059" spans="4:4">
      <c r="D9059" s="16"/>
    </row>
    <row r="9060" spans="4:4">
      <c r="D9060" s="16"/>
    </row>
    <row r="9061" spans="4:4">
      <c r="D9061" s="16"/>
    </row>
    <row r="9062" spans="4:4">
      <c r="D9062" s="16"/>
    </row>
    <row r="9063" spans="4:4">
      <c r="D9063" s="16"/>
    </row>
    <row r="9064" spans="4:4">
      <c r="D9064" s="16"/>
    </row>
    <row r="9065" spans="4:4">
      <c r="D9065" s="16"/>
    </row>
    <row r="9066" spans="4:4">
      <c r="D9066" s="16"/>
    </row>
    <row r="9067" spans="4:4">
      <c r="D9067" s="16"/>
    </row>
    <row r="9068" spans="4:4">
      <c r="D9068" s="16"/>
    </row>
    <row r="9069" spans="4:4">
      <c r="D9069" s="16"/>
    </row>
    <row r="9070" spans="4:4">
      <c r="D9070" s="16"/>
    </row>
    <row r="9071" spans="4:4">
      <c r="D9071" s="16"/>
    </row>
    <row r="9072" spans="4:4">
      <c r="D9072" s="16"/>
    </row>
    <row r="9073" spans="4:4">
      <c r="D9073" s="16"/>
    </row>
    <row r="9074" spans="4:4">
      <c r="D9074" s="16"/>
    </row>
    <row r="9075" spans="4:4">
      <c r="D9075" s="16"/>
    </row>
    <row r="9076" spans="4:4">
      <c r="D9076" s="16"/>
    </row>
    <row r="9077" spans="4:4">
      <c r="D9077" s="16"/>
    </row>
    <row r="9078" spans="4:4">
      <c r="D9078" s="16"/>
    </row>
    <row r="9079" spans="4:4">
      <c r="D9079" s="16"/>
    </row>
    <row r="9080" spans="4:4">
      <c r="D9080" s="16"/>
    </row>
    <row r="9081" spans="4:4">
      <c r="D9081" s="16"/>
    </row>
    <row r="9082" spans="4:4">
      <c r="D9082" s="16"/>
    </row>
    <row r="9083" spans="4:4">
      <c r="D9083" s="16"/>
    </row>
    <row r="9084" spans="4:4">
      <c r="D9084" s="16"/>
    </row>
    <row r="9085" spans="4:4">
      <c r="D9085" s="16"/>
    </row>
    <row r="9086" spans="4:4">
      <c r="D9086" s="16"/>
    </row>
    <row r="9087" spans="4:4">
      <c r="D9087" s="16"/>
    </row>
    <row r="9088" spans="4:4">
      <c r="D9088" s="16"/>
    </row>
    <row r="9089" spans="4:4">
      <c r="D9089" s="16"/>
    </row>
    <row r="9090" spans="4:4">
      <c r="D9090" s="16"/>
    </row>
    <row r="9091" spans="4:4">
      <c r="D9091" s="16"/>
    </row>
    <row r="9092" spans="4:4">
      <c r="D9092" s="16"/>
    </row>
    <row r="9093" spans="4:4">
      <c r="D9093" s="16"/>
    </row>
    <row r="9094" spans="4:4">
      <c r="D9094" s="16"/>
    </row>
    <row r="9095" spans="4:4">
      <c r="D9095" s="16"/>
    </row>
    <row r="9096" spans="4:4">
      <c r="D9096" s="16"/>
    </row>
    <row r="9097" spans="4:4">
      <c r="D9097" s="16"/>
    </row>
    <row r="9098" spans="4:4">
      <c r="D9098" s="16"/>
    </row>
    <row r="9099" spans="4:4">
      <c r="D9099" s="16"/>
    </row>
    <row r="9100" spans="4:4">
      <c r="D9100" s="16"/>
    </row>
    <row r="9101" spans="4:4">
      <c r="D9101" s="16"/>
    </row>
    <row r="9102" spans="4:4">
      <c r="D9102" s="16"/>
    </row>
    <row r="9103" spans="4:4">
      <c r="D9103" s="16"/>
    </row>
    <row r="9104" spans="4:4">
      <c r="D9104" s="16"/>
    </row>
    <row r="9105" spans="4:4">
      <c r="D9105" s="16"/>
    </row>
    <row r="9106" spans="4:4">
      <c r="D9106" s="16"/>
    </row>
    <row r="9107" spans="4:4">
      <c r="D9107" s="16"/>
    </row>
    <row r="9108" spans="4:4">
      <c r="D9108" s="16"/>
    </row>
    <row r="9109" spans="4:4">
      <c r="D9109" s="16"/>
    </row>
    <row r="9110" spans="4:4">
      <c r="D9110" s="16"/>
    </row>
    <row r="9111" spans="4:4">
      <c r="D9111" s="16"/>
    </row>
    <row r="9112" spans="4:4">
      <c r="D9112" s="16"/>
    </row>
    <row r="9113" spans="4:4">
      <c r="D9113" s="16"/>
    </row>
    <row r="9114" spans="4:4">
      <c r="D9114" s="16"/>
    </row>
    <row r="9115" spans="4:4">
      <c r="D9115" s="16"/>
    </row>
    <row r="9116" spans="4:4">
      <c r="D9116" s="16"/>
    </row>
    <row r="9117" spans="4:4">
      <c r="D9117" s="16"/>
    </row>
    <row r="9118" spans="4:4">
      <c r="D9118" s="16"/>
    </row>
    <row r="9119" spans="4:4">
      <c r="D9119" s="16"/>
    </row>
    <row r="9120" spans="4:4">
      <c r="D9120" s="16"/>
    </row>
    <row r="9121" spans="4:4">
      <c r="D9121" s="16"/>
    </row>
    <row r="9122" spans="4:4">
      <c r="D9122" s="16"/>
    </row>
    <row r="9123" spans="4:4">
      <c r="D9123" s="16"/>
    </row>
    <row r="9124" spans="4:4">
      <c r="D9124" s="16"/>
    </row>
    <row r="9125" spans="4:4">
      <c r="D9125" s="16"/>
    </row>
    <row r="9126" spans="4:4">
      <c r="D9126" s="16"/>
    </row>
    <row r="9127" spans="4:4">
      <c r="D9127" s="16"/>
    </row>
    <row r="9128" spans="4:4">
      <c r="D9128" s="16"/>
    </row>
    <row r="9129" spans="4:4">
      <c r="D9129" s="16"/>
    </row>
    <row r="9130" spans="4:4">
      <c r="D9130" s="16"/>
    </row>
    <row r="9131" spans="4:4">
      <c r="D9131" s="16"/>
    </row>
    <row r="9132" spans="4:4">
      <c r="D9132" s="16"/>
    </row>
    <row r="9133" spans="4:4">
      <c r="D9133" s="16"/>
    </row>
    <row r="9134" spans="4:4">
      <c r="D9134" s="16"/>
    </row>
    <row r="9135" spans="4:4">
      <c r="D9135" s="16"/>
    </row>
    <row r="9136" spans="4:4">
      <c r="D9136" s="16"/>
    </row>
    <row r="9137" spans="4:4">
      <c r="D9137" s="16"/>
    </row>
    <row r="9138" spans="4:4">
      <c r="D9138" s="16"/>
    </row>
    <row r="9139" spans="4:4">
      <c r="D9139" s="16"/>
    </row>
    <row r="9140" spans="4:4">
      <c r="D9140" s="16"/>
    </row>
    <row r="9141" spans="4:4">
      <c r="D9141" s="16"/>
    </row>
    <row r="9142" spans="4:4">
      <c r="D9142" s="16"/>
    </row>
    <row r="9143" spans="4:4">
      <c r="D9143" s="16"/>
    </row>
    <row r="9144" spans="4:4">
      <c r="D9144" s="16"/>
    </row>
    <row r="9145" spans="4:4">
      <c r="D9145" s="16"/>
    </row>
    <row r="9146" spans="4:4">
      <c r="D9146" s="16"/>
    </row>
    <row r="9147" spans="4:4">
      <c r="D9147" s="16"/>
    </row>
    <row r="9148" spans="4:4">
      <c r="D9148" s="16"/>
    </row>
    <row r="9149" spans="4:4">
      <c r="D9149" s="16"/>
    </row>
    <row r="9150" spans="4:4">
      <c r="D9150" s="16"/>
    </row>
    <row r="9151" spans="4:4">
      <c r="D9151" s="16"/>
    </row>
    <row r="9152" spans="4:4">
      <c r="D9152" s="16"/>
    </row>
    <row r="9153" spans="4:4">
      <c r="D9153" s="16"/>
    </row>
    <row r="9154" spans="4:4">
      <c r="D9154" s="16"/>
    </row>
    <row r="9155" spans="4:4">
      <c r="D9155" s="16"/>
    </row>
    <row r="9156" spans="4:4">
      <c r="D9156" s="16"/>
    </row>
    <row r="9157" spans="4:4">
      <c r="D9157" s="16"/>
    </row>
    <row r="9158" spans="4:4">
      <c r="D9158" s="16"/>
    </row>
    <row r="9159" spans="4:4">
      <c r="D9159" s="16"/>
    </row>
    <row r="9160" spans="4:4">
      <c r="D9160" s="16"/>
    </row>
    <row r="9161" spans="4:4">
      <c r="D9161" s="16"/>
    </row>
    <row r="9162" spans="4:4">
      <c r="D9162" s="16"/>
    </row>
    <row r="9163" spans="4:4">
      <c r="D9163" s="16"/>
    </row>
    <row r="9164" spans="4:4">
      <c r="D9164" s="16"/>
    </row>
    <row r="9165" spans="4:4">
      <c r="D9165" s="16"/>
    </row>
    <row r="9166" spans="4:4">
      <c r="D9166" s="16"/>
    </row>
    <row r="9167" spans="4:4">
      <c r="D9167" s="16"/>
    </row>
    <row r="9168" spans="4:4">
      <c r="D9168" s="16"/>
    </row>
    <row r="9169" spans="4:4">
      <c r="D9169" s="16"/>
    </row>
    <row r="9170" spans="4:4">
      <c r="D9170" s="16"/>
    </row>
    <row r="9171" spans="4:4">
      <c r="D9171" s="16"/>
    </row>
    <row r="9172" spans="4:4">
      <c r="D9172" s="16"/>
    </row>
    <row r="9173" spans="4:4">
      <c r="D9173" s="16"/>
    </row>
    <row r="9174" spans="4:4">
      <c r="D9174" s="16"/>
    </row>
    <row r="9175" spans="4:4">
      <c r="D9175" s="16"/>
    </row>
    <row r="9176" spans="4:4">
      <c r="D9176" s="16"/>
    </row>
    <row r="9177" spans="4:4">
      <c r="D9177" s="16"/>
    </row>
    <row r="9178" spans="4:4">
      <c r="D9178" s="16"/>
    </row>
    <row r="9179" spans="4:4">
      <c r="D9179" s="16"/>
    </row>
    <row r="9180" spans="4:4">
      <c r="D9180" s="16"/>
    </row>
    <row r="9181" spans="4:4">
      <c r="D9181" s="16"/>
    </row>
    <row r="9182" spans="4:4">
      <c r="D9182" s="16"/>
    </row>
    <row r="9183" spans="4:4">
      <c r="D9183" s="16"/>
    </row>
    <row r="9184" spans="4:4">
      <c r="D9184" s="16"/>
    </row>
    <row r="9185" spans="4:4">
      <c r="D9185" s="16"/>
    </row>
    <row r="9186" spans="4:4">
      <c r="D9186" s="16"/>
    </row>
    <row r="9187" spans="4:4">
      <c r="D9187" s="16"/>
    </row>
    <row r="9188" spans="4:4">
      <c r="D9188" s="16"/>
    </row>
    <row r="9189" spans="4:4">
      <c r="D9189" s="16"/>
    </row>
    <row r="9190" spans="4:4">
      <c r="D9190" s="16"/>
    </row>
    <row r="9191" spans="4:4">
      <c r="D9191" s="16"/>
    </row>
    <row r="9192" spans="4:4">
      <c r="D9192" s="16"/>
    </row>
    <row r="9193" spans="4:4">
      <c r="D9193" s="16"/>
    </row>
    <row r="9194" spans="4:4">
      <c r="D9194" s="16"/>
    </row>
    <row r="9195" spans="4:4">
      <c r="D9195" s="16"/>
    </row>
    <row r="9196" spans="4:4">
      <c r="D9196" s="16"/>
    </row>
    <row r="9197" spans="4:4">
      <c r="D9197" s="16"/>
    </row>
    <row r="9198" spans="4:4">
      <c r="D9198" s="16"/>
    </row>
    <row r="9199" spans="4:4">
      <c r="D9199" s="16"/>
    </row>
    <row r="9200" spans="4:4">
      <c r="D9200" s="16"/>
    </row>
    <row r="9201" spans="4:4">
      <c r="D9201" s="16"/>
    </row>
    <row r="9202" spans="4:4">
      <c r="D9202" s="16"/>
    </row>
    <row r="9203" spans="4:4">
      <c r="D9203" s="16"/>
    </row>
    <row r="9204" spans="4:4">
      <c r="D9204" s="16"/>
    </row>
    <row r="9205" spans="4:4">
      <c r="D9205" s="16"/>
    </row>
    <row r="9206" spans="4:4">
      <c r="D9206" s="16"/>
    </row>
    <row r="9207" spans="4:4">
      <c r="D9207" s="16"/>
    </row>
    <row r="9208" spans="4:4">
      <c r="D9208" s="16"/>
    </row>
    <row r="9209" spans="4:4">
      <c r="D9209" s="16"/>
    </row>
    <row r="9210" spans="4:4">
      <c r="D9210" s="16"/>
    </row>
    <row r="9211" spans="4:4">
      <c r="D9211" s="16"/>
    </row>
    <row r="9212" spans="4:4">
      <c r="D9212" s="16"/>
    </row>
    <row r="9213" spans="4:4">
      <c r="D9213" s="16"/>
    </row>
    <row r="9214" spans="4:4">
      <c r="D9214" s="16"/>
    </row>
    <row r="9215" spans="4:4">
      <c r="D9215" s="16"/>
    </row>
    <row r="9216" spans="4:4">
      <c r="D9216" s="16"/>
    </row>
    <row r="9217" spans="4:4">
      <c r="D9217" s="16"/>
    </row>
    <row r="9218" spans="4:4">
      <c r="D9218" s="16"/>
    </row>
    <row r="9219" spans="4:4">
      <c r="D9219" s="16"/>
    </row>
    <row r="9220" spans="4:4">
      <c r="D9220" s="16"/>
    </row>
    <row r="9221" spans="4:4">
      <c r="D9221" s="16"/>
    </row>
    <row r="9222" spans="4:4">
      <c r="D9222" s="16"/>
    </row>
    <row r="9223" spans="4:4">
      <c r="D9223" s="16"/>
    </row>
    <row r="9224" spans="4:4">
      <c r="D9224" s="16"/>
    </row>
    <row r="9225" spans="4:4">
      <c r="D9225" s="16"/>
    </row>
    <row r="9226" spans="4:4">
      <c r="D9226" s="16"/>
    </row>
    <row r="9227" spans="4:4">
      <c r="D9227" s="16"/>
    </row>
    <row r="9228" spans="4:4">
      <c r="D9228" s="16"/>
    </row>
    <row r="9229" spans="4:4">
      <c r="D9229" s="16"/>
    </row>
    <row r="9230" spans="4:4">
      <c r="D9230" s="16"/>
    </row>
    <row r="9231" spans="4:4">
      <c r="D9231" s="16"/>
    </row>
    <row r="9232" spans="4:4">
      <c r="D9232" s="16"/>
    </row>
    <row r="9233" spans="4:4">
      <c r="D9233" s="16"/>
    </row>
    <row r="9234" spans="4:4">
      <c r="D9234" s="16"/>
    </row>
    <row r="9235" spans="4:4">
      <c r="D9235" s="16"/>
    </row>
    <row r="9236" spans="4:4">
      <c r="D9236" s="16"/>
    </row>
    <row r="9237" spans="4:4">
      <c r="D9237" s="16"/>
    </row>
    <row r="9238" spans="4:4">
      <c r="D9238" s="16"/>
    </row>
    <row r="9239" spans="4:4">
      <c r="D9239" s="16"/>
    </row>
    <row r="9240" spans="4:4">
      <c r="D9240" s="16"/>
    </row>
    <row r="9241" spans="4:4">
      <c r="D9241" s="16"/>
    </row>
    <row r="9242" spans="4:4">
      <c r="D9242" s="16"/>
    </row>
    <row r="9243" spans="4:4">
      <c r="D9243" s="16"/>
    </row>
    <row r="9244" spans="4:4">
      <c r="D9244" s="16"/>
    </row>
    <row r="9245" spans="4:4">
      <c r="D9245" s="16"/>
    </row>
    <row r="9246" spans="4:4">
      <c r="D9246" s="16"/>
    </row>
    <row r="9247" spans="4:4">
      <c r="D9247" s="16"/>
    </row>
    <row r="9248" spans="4:4">
      <c r="D9248" s="16"/>
    </row>
    <row r="9249" spans="4:4">
      <c r="D9249" s="16"/>
    </row>
    <row r="9250" spans="4:4">
      <c r="D9250" s="16"/>
    </row>
    <row r="9251" spans="4:4">
      <c r="D9251" s="16"/>
    </row>
    <row r="9252" spans="4:4">
      <c r="D9252" s="16"/>
    </row>
    <row r="9253" spans="4:4">
      <c r="D9253" s="16"/>
    </row>
    <row r="9254" spans="4:4">
      <c r="D9254" s="16"/>
    </row>
    <row r="9255" spans="4:4">
      <c r="D9255" s="16"/>
    </row>
    <row r="9256" spans="4:4">
      <c r="D9256" s="16"/>
    </row>
    <row r="9257" spans="4:4">
      <c r="D9257" s="16"/>
    </row>
    <row r="9258" spans="4:4">
      <c r="D9258" s="16"/>
    </row>
    <row r="9259" spans="4:4">
      <c r="D9259" s="16"/>
    </row>
    <row r="9260" spans="4:4">
      <c r="D9260" s="16"/>
    </row>
    <row r="9261" spans="4:4">
      <c r="D9261" s="16"/>
    </row>
    <row r="9262" spans="4:4">
      <c r="D9262" s="16"/>
    </row>
    <row r="9263" spans="4:4">
      <c r="D9263" s="16"/>
    </row>
    <row r="9264" spans="4:4">
      <c r="D9264" s="16"/>
    </row>
    <row r="9265" spans="4:4">
      <c r="D9265" s="16"/>
    </row>
    <row r="9266" spans="4:4">
      <c r="D9266" s="16"/>
    </row>
    <row r="9267" spans="4:4">
      <c r="D9267" s="16"/>
    </row>
    <row r="9268" spans="4:4">
      <c r="D9268" s="16"/>
    </row>
    <row r="9269" spans="4:4">
      <c r="D9269" s="16"/>
    </row>
    <row r="9270" spans="4:4">
      <c r="D9270" s="16"/>
    </row>
    <row r="9271" spans="4:4">
      <c r="D9271" s="16"/>
    </row>
    <row r="9272" spans="4:4">
      <c r="D9272" s="16"/>
    </row>
    <row r="9273" spans="4:4">
      <c r="D9273" s="16"/>
    </row>
    <row r="9274" spans="4:4">
      <c r="D9274" s="16"/>
    </row>
    <row r="9275" spans="4:4">
      <c r="D9275" s="16"/>
    </row>
    <row r="9276" spans="4:4">
      <c r="D9276" s="16"/>
    </row>
    <row r="9277" spans="4:4">
      <c r="D9277" s="16"/>
    </row>
    <row r="9278" spans="4:4">
      <c r="D9278" s="16"/>
    </row>
    <row r="9279" spans="4:4">
      <c r="D9279" s="16"/>
    </row>
    <row r="9280" spans="4:4">
      <c r="D9280" s="16"/>
    </row>
    <row r="9281" spans="4:4">
      <c r="D9281" s="16"/>
    </row>
    <row r="9282" spans="4:4">
      <c r="D9282" s="16"/>
    </row>
    <row r="9283" spans="4:4">
      <c r="D9283" s="16"/>
    </row>
    <row r="9284" spans="4:4">
      <c r="D9284" s="16"/>
    </row>
    <row r="9285" spans="4:4">
      <c r="D9285" s="16"/>
    </row>
    <row r="9286" spans="4:4">
      <c r="D9286" s="16"/>
    </row>
    <row r="9287" spans="4:4">
      <c r="D9287" s="16"/>
    </row>
    <row r="9288" spans="4:4">
      <c r="D9288" s="16"/>
    </row>
    <row r="9289" spans="4:4">
      <c r="D9289" s="16"/>
    </row>
    <row r="9290" spans="4:4">
      <c r="D9290" s="16"/>
    </row>
    <row r="9291" spans="4:4">
      <c r="D9291" s="16"/>
    </row>
    <row r="9292" spans="4:4">
      <c r="D9292" s="16"/>
    </row>
    <row r="9293" spans="4:4">
      <c r="D9293" s="16"/>
    </row>
    <row r="9294" spans="4:4">
      <c r="D9294" s="16"/>
    </row>
    <row r="9295" spans="4:4">
      <c r="D9295" s="16"/>
    </row>
    <row r="9296" spans="4:4">
      <c r="D9296" s="16"/>
    </row>
    <row r="9297" spans="4:4">
      <c r="D9297" s="16"/>
    </row>
    <row r="9298" spans="4:4">
      <c r="D9298" s="16"/>
    </row>
    <row r="9299" spans="4:4">
      <c r="D9299" s="16"/>
    </row>
    <row r="9300" spans="4:4">
      <c r="D9300" s="16"/>
    </row>
    <row r="9301" spans="4:4">
      <c r="D9301" s="16"/>
    </row>
    <row r="9302" spans="4:4">
      <c r="D9302" s="16"/>
    </row>
    <row r="9303" spans="4:4">
      <c r="D9303" s="16"/>
    </row>
    <row r="9304" spans="4:4">
      <c r="D9304" s="16"/>
    </row>
    <row r="9305" spans="4:4">
      <c r="D9305" s="16"/>
    </row>
    <row r="9306" spans="4:4">
      <c r="D9306" s="16"/>
    </row>
    <row r="9307" spans="4:4">
      <c r="D9307" s="16"/>
    </row>
    <row r="9308" spans="4:4">
      <c r="D9308" s="16"/>
    </row>
    <row r="9309" spans="4:4">
      <c r="D9309" s="16"/>
    </row>
    <row r="9310" spans="4:4">
      <c r="D9310" s="16"/>
    </row>
    <row r="9311" spans="4:4">
      <c r="D9311" s="16"/>
    </row>
    <row r="9312" spans="4:4">
      <c r="D9312" s="16"/>
    </row>
    <row r="9313" spans="4:4">
      <c r="D9313" s="16"/>
    </row>
    <row r="9314" spans="4:4">
      <c r="D9314" s="16"/>
    </row>
    <row r="9315" spans="4:4">
      <c r="D9315" s="16"/>
    </row>
    <row r="9316" spans="4:4">
      <c r="D9316" s="16"/>
    </row>
    <row r="9317" spans="4:4">
      <c r="D9317" s="16"/>
    </row>
    <row r="9318" spans="4:4">
      <c r="D9318" s="16"/>
    </row>
    <row r="9319" spans="4:4">
      <c r="D9319" s="16"/>
    </row>
    <row r="9320" spans="4:4">
      <c r="D9320" s="16"/>
    </row>
    <row r="9321" spans="4:4">
      <c r="D9321" s="16"/>
    </row>
    <row r="9322" spans="4:4">
      <c r="D9322" s="16"/>
    </row>
    <row r="9323" spans="4:4">
      <c r="D9323" s="16"/>
    </row>
    <row r="9324" spans="4:4">
      <c r="D9324" s="16"/>
    </row>
    <row r="9325" spans="4:4">
      <c r="D9325" s="16"/>
    </row>
    <row r="9326" spans="4:4">
      <c r="D9326" s="16"/>
    </row>
    <row r="9327" spans="4:4">
      <c r="D9327" s="16"/>
    </row>
    <row r="9328" spans="4:4">
      <c r="D9328" s="16"/>
    </row>
    <row r="9329" spans="4:4">
      <c r="D9329" s="16"/>
    </row>
    <row r="9330" spans="4:4">
      <c r="D9330" s="16"/>
    </row>
    <row r="9331" spans="4:4">
      <c r="D9331" s="16"/>
    </row>
    <row r="9332" spans="4:4">
      <c r="D9332" s="16"/>
    </row>
    <row r="9333" spans="4:4">
      <c r="D9333" s="16"/>
    </row>
    <row r="9334" spans="4:4">
      <c r="D9334" s="16"/>
    </row>
    <row r="9335" spans="4:4">
      <c r="D9335" s="16"/>
    </row>
    <row r="9336" spans="4:4">
      <c r="D9336" s="16"/>
    </row>
    <row r="9337" spans="4:4">
      <c r="D9337" s="16"/>
    </row>
    <row r="9338" spans="4:4">
      <c r="D9338" s="16"/>
    </row>
    <row r="9339" spans="4:4">
      <c r="D9339" s="16"/>
    </row>
    <row r="9340" spans="4:4">
      <c r="D9340" s="16"/>
    </row>
    <row r="9341" spans="4:4">
      <c r="D9341" s="16"/>
    </row>
    <row r="9342" spans="4:4">
      <c r="D9342" s="16"/>
    </row>
    <row r="9343" spans="4:4">
      <c r="D9343" s="16"/>
    </row>
    <row r="9344" spans="4:4">
      <c r="D9344" s="16"/>
    </row>
    <row r="9345" spans="4:4">
      <c r="D9345" s="16"/>
    </row>
    <row r="9346" spans="4:4">
      <c r="D9346" s="16"/>
    </row>
    <row r="9347" spans="4:4">
      <c r="D9347" s="16"/>
    </row>
    <row r="9348" spans="4:4">
      <c r="D9348" s="16"/>
    </row>
    <row r="9349" spans="4:4">
      <c r="D9349" s="16"/>
    </row>
    <row r="9350" spans="4:4">
      <c r="D9350" s="16"/>
    </row>
    <row r="9351" spans="4:4">
      <c r="D9351" s="16"/>
    </row>
    <row r="9352" spans="4:4">
      <c r="D9352" s="16"/>
    </row>
    <row r="9353" spans="4:4">
      <c r="D9353" s="16"/>
    </row>
    <row r="9354" spans="4:4">
      <c r="D9354" s="16"/>
    </row>
    <row r="9355" spans="4:4">
      <c r="D9355" s="16"/>
    </row>
    <row r="9356" spans="4:4">
      <c r="D9356" s="16"/>
    </row>
    <row r="9357" spans="4:4">
      <c r="D9357" s="16"/>
    </row>
    <row r="9358" spans="4:4">
      <c r="D9358" s="16"/>
    </row>
    <row r="9359" spans="4:4">
      <c r="D9359" s="16"/>
    </row>
    <row r="9360" spans="4:4">
      <c r="D9360" s="16"/>
    </row>
    <row r="9361" spans="4:4">
      <c r="D9361" s="16"/>
    </row>
    <row r="9362" spans="4:4">
      <c r="D9362" s="16"/>
    </row>
    <row r="9363" spans="4:4">
      <c r="D9363" s="16"/>
    </row>
    <row r="9364" spans="4:4">
      <c r="D9364" s="16"/>
    </row>
    <row r="9365" spans="4:4">
      <c r="D9365" s="16"/>
    </row>
    <row r="9366" spans="4:4">
      <c r="D9366" s="16"/>
    </row>
    <row r="9367" spans="4:4">
      <c r="D9367" s="16"/>
    </row>
    <row r="9368" spans="4:4">
      <c r="D9368" s="16"/>
    </row>
    <row r="9369" spans="4:4">
      <c r="D9369" s="16"/>
    </row>
    <row r="9370" spans="4:4">
      <c r="D9370" s="16"/>
    </row>
    <row r="9371" spans="4:4">
      <c r="D9371" s="16"/>
    </row>
    <row r="9372" spans="4:4">
      <c r="D9372" s="16"/>
    </row>
    <row r="9373" spans="4:4">
      <c r="D9373" s="16"/>
    </row>
    <row r="9374" spans="4:4">
      <c r="D9374" s="16"/>
    </row>
    <row r="9375" spans="4:4">
      <c r="D9375" s="16"/>
    </row>
    <row r="9376" spans="4:4">
      <c r="D9376" s="16"/>
    </row>
    <row r="9377" spans="4:4">
      <c r="D9377" s="16"/>
    </row>
    <row r="9378" spans="4:4">
      <c r="D9378" s="16"/>
    </row>
    <row r="9379" spans="4:4">
      <c r="D9379" s="16"/>
    </row>
    <row r="9380" spans="4:4">
      <c r="D9380" s="16"/>
    </row>
    <row r="9381" spans="4:4">
      <c r="D9381" s="16"/>
    </row>
    <row r="9382" spans="4:4">
      <c r="D9382" s="16"/>
    </row>
    <row r="9383" spans="4:4">
      <c r="D9383" s="16"/>
    </row>
    <row r="9384" spans="4:4">
      <c r="D9384" s="16"/>
    </row>
    <row r="9385" spans="4:4">
      <c r="D9385" s="16"/>
    </row>
    <row r="9386" spans="4:4">
      <c r="D9386" s="16"/>
    </row>
    <row r="9387" spans="4:4">
      <c r="D9387" s="16"/>
    </row>
    <row r="9388" spans="4:4">
      <c r="D9388" s="16"/>
    </row>
    <row r="9389" spans="4:4">
      <c r="D9389" s="16"/>
    </row>
    <row r="9390" spans="4:4">
      <c r="D9390" s="16"/>
    </row>
    <row r="9391" spans="4:4">
      <c r="D9391" s="16"/>
    </row>
    <row r="9392" spans="4:4">
      <c r="D9392" s="16"/>
    </row>
    <row r="9393" spans="4:4">
      <c r="D9393" s="16"/>
    </row>
    <row r="9394" spans="4:4">
      <c r="D9394" s="16"/>
    </row>
    <row r="9395" spans="4:4">
      <c r="D9395" s="16"/>
    </row>
    <row r="9396" spans="4:4">
      <c r="D9396" s="16"/>
    </row>
    <row r="9397" spans="4:4">
      <c r="D9397" s="16"/>
    </row>
    <row r="9398" spans="4:4">
      <c r="D9398" s="16"/>
    </row>
    <row r="9399" spans="4:4">
      <c r="D9399" s="16"/>
    </row>
    <row r="9400" spans="4:4">
      <c r="D9400" s="16"/>
    </row>
    <row r="9401" spans="4:4">
      <c r="D9401" s="16"/>
    </row>
    <row r="9402" spans="4:4">
      <c r="D9402" s="16"/>
    </row>
    <row r="9403" spans="4:4">
      <c r="D9403" s="16"/>
    </row>
    <row r="9404" spans="4:4">
      <c r="D9404" s="16"/>
    </row>
    <row r="9405" spans="4:4">
      <c r="D9405" s="16"/>
    </row>
    <row r="9406" spans="4:4">
      <c r="D9406" s="16"/>
    </row>
    <row r="9407" spans="4:4">
      <c r="D9407" s="16"/>
    </row>
    <row r="9408" spans="4:4">
      <c r="D9408" s="16"/>
    </row>
    <row r="9409" spans="4:4">
      <c r="D9409" s="16"/>
    </row>
    <row r="9410" spans="4:4">
      <c r="D9410" s="16"/>
    </row>
    <row r="9411" spans="4:4">
      <c r="D9411" s="16"/>
    </row>
    <row r="9412" spans="4:4">
      <c r="D9412" s="16"/>
    </row>
    <row r="9413" spans="4:4">
      <c r="D9413" s="16"/>
    </row>
    <row r="9414" spans="4:4">
      <c r="D9414" s="16"/>
    </row>
    <row r="9415" spans="4:4">
      <c r="D9415" s="16"/>
    </row>
    <row r="9416" spans="4:4">
      <c r="D9416" s="16"/>
    </row>
    <row r="9417" spans="4:4">
      <c r="D9417" s="16"/>
    </row>
    <row r="9418" spans="4:4">
      <c r="D9418" s="16"/>
    </row>
    <row r="9419" spans="4:4">
      <c r="D9419" s="16"/>
    </row>
    <row r="9420" spans="4:4">
      <c r="D9420" s="16"/>
    </row>
    <row r="9421" spans="4:4">
      <c r="D9421" s="16"/>
    </row>
    <row r="9422" spans="4:4">
      <c r="D9422" s="16"/>
    </row>
    <row r="9423" spans="4:4">
      <c r="D9423" s="16"/>
    </row>
    <row r="9424" spans="4:4">
      <c r="D9424" s="16"/>
    </row>
    <row r="9425" spans="4:4">
      <c r="D9425" s="16"/>
    </row>
    <row r="9426" spans="4:4">
      <c r="D9426" s="16"/>
    </row>
    <row r="9427" spans="4:4">
      <c r="D9427" s="16"/>
    </row>
    <row r="9428" spans="4:4">
      <c r="D9428" s="16"/>
    </row>
    <row r="9429" spans="4:4">
      <c r="D9429" s="16"/>
    </row>
    <row r="9430" spans="4:4">
      <c r="D9430" s="16"/>
    </row>
    <row r="9431" spans="4:4">
      <c r="D9431" s="16"/>
    </row>
    <row r="9432" spans="4:4">
      <c r="D9432" s="16"/>
    </row>
    <row r="9433" spans="4:4">
      <c r="D9433" s="16"/>
    </row>
    <row r="9434" spans="4:4">
      <c r="D9434" s="16"/>
    </row>
    <row r="9435" spans="4:4">
      <c r="D9435" s="16"/>
    </row>
    <row r="9436" spans="4:4">
      <c r="D9436" s="16"/>
    </row>
    <row r="9437" spans="4:4">
      <c r="D9437" s="16"/>
    </row>
    <row r="9438" spans="4:4">
      <c r="D9438" s="16"/>
    </row>
    <row r="9439" spans="4:4">
      <c r="D9439" s="16"/>
    </row>
    <row r="9440" spans="4:4">
      <c r="D9440" s="16"/>
    </row>
    <row r="9441" spans="4:4">
      <c r="D9441" s="16"/>
    </row>
    <row r="9442" spans="4:4">
      <c r="D9442" s="16"/>
    </row>
    <row r="9443" spans="4:4">
      <c r="D9443" s="16"/>
    </row>
    <row r="9444" spans="4:4">
      <c r="D9444" s="16"/>
    </row>
    <row r="9445" spans="4:4">
      <c r="D9445" s="16"/>
    </row>
    <row r="9446" spans="4:4">
      <c r="D9446" s="16"/>
    </row>
    <row r="9447" spans="4:4">
      <c r="D9447" s="16"/>
    </row>
    <row r="9448" spans="4:4">
      <c r="D9448" s="16"/>
    </row>
    <row r="9449" spans="4:4">
      <c r="D9449" s="16"/>
    </row>
    <row r="9450" spans="4:4">
      <c r="D9450" s="16"/>
    </row>
    <row r="9451" spans="4:4">
      <c r="D9451" s="16"/>
    </row>
    <row r="9452" spans="4:4">
      <c r="D9452" s="16"/>
    </row>
    <row r="9453" spans="4:4">
      <c r="D9453" s="16"/>
    </row>
    <row r="9454" spans="4:4">
      <c r="D9454" s="16"/>
    </row>
    <row r="9455" spans="4:4">
      <c r="D9455" s="16"/>
    </row>
    <row r="9456" spans="4:4">
      <c r="D9456" s="16"/>
    </row>
    <row r="9457" spans="4:4">
      <c r="D9457" s="16"/>
    </row>
    <row r="9458" spans="4:4">
      <c r="D9458" s="16"/>
    </row>
    <row r="9459" spans="4:4">
      <c r="D9459" s="16"/>
    </row>
    <row r="9460" spans="4:4">
      <c r="D9460" s="16"/>
    </row>
    <row r="9461" spans="4:4">
      <c r="D9461" s="16"/>
    </row>
    <row r="9462" spans="4:4">
      <c r="D9462" s="16"/>
    </row>
    <row r="9463" spans="4:4">
      <c r="D9463" s="16"/>
    </row>
    <row r="9464" spans="4:4">
      <c r="D9464" s="16"/>
    </row>
    <row r="9465" spans="4:4">
      <c r="D9465" s="16"/>
    </row>
    <row r="9466" spans="4:4">
      <c r="D9466" s="16"/>
    </row>
    <row r="9467" spans="4:4">
      <c r="D9467" s="16"/>
    </row>
    <row r="9468" spans="4:4">
      <c r="D9468" s="16"/>
    </row>
    <row r="9469" spans="4:4">
      <c r="D9469" s="16"/>
    </row>
    <row r="9470" spans="4:4">
      <c r="D9470" s="16"/>
    </row>
    <row r="9471" spans="4:4">
      <c r="D9471" s="16"/>
    </row>
    <row r="9472" spans="4:4">
      <c r="D9472" s="16"/>
    </row>
    <row r="9473" spans="4:4">
      <c r="D9473" s="16"/>
    </row>
    <row r="9474" spans="4:4">
      <c r="D9474" s="16"/>
    </row>
    <row r="9475" spans="4:4">
      <c r="D9475" s="16"/>
    </row>
    <row r="9476" spans="4:4">
      <c r="D9476" s="16"/>
    </row>
    <row r="9477" spans="4:4">
      <c r="D9477" s="16"/>
    </row>
    <row r="9478" spans="4:4">
      <c r="D9478" s="16"/>
    </row>
    <row r="9479" spans="4:4">
      <c r="D9479" s="16"/>
    </row>
    <row r="9480" spans="4:4">
      <c r="D9480" s="16"/>
    </row>
    <row r="9481" spans="4:4">
      <c r="D9481" s="16"/>
    </row>
    <row r="9482" spans="4:4">
      <c r="D9482" s="16"/>
    </row>
    <row r="9483" spans="4:4">
      <c r="D9483" s="16"/>
    </row>
    <row r="9484" spans="4:4">
      <c r="D9484" s="16"/>
    </row>
    <row r="9485" spans="4:4">
      <c r="D9485" s="16"/>
    </row>
    <row r="9486" spans="4:4">
      <c r="D9486" s="16"/>
    </row>
    <row r="9487" spans="4:4">
      <c r="D9487" s="16"/>
    </row>
    <row r="9488" spans="4:4">
      <c r="D9488" s="16"/>
    </row>
    <row r="9489" spans="4:4">
      <c r="D9489" s="16"/>
    </row>
    <row r="9490" spans="4:4">
      <c r="D9490" s="16"/>
    </row>
    <row r="9491" spans="4:4">
      <c r="D9491" s="16"/>
    </row>
    <row r="9492" spans="4:4">
      <c r="D9492" s="16"/>
    </row>
    <row r="9493" spans="4:4">
      <c r="D9493" s="16"/>
    </row>
    <row r="9494" spans="4:4">
      <c r="D9494" s="16"/>
    </row>
    <row r="9495" spans="4:4">
      <c r="D9495" s="16"/>
    </row>
    <row r="9496" spans="4:4">
      <c r="D9496" s="16"/>
    </row>
    <row r="9497" spans="4:4">
      <c r="D9497" s="16"/>
    </row>
    <row r="9498" spans="4:4">
      <c r="D9498" s="16"/>
    </row>
    <row r="9499" spans="4:4">
      <c r="D9499" s="16"/>
    </row>
    <row r="9500" spans="4:4">
      <c r="D9500" s="16"/>
    </row>
    <row r="9501" spans="4:4">
      <c r="D9501" s="16"/>
    </row>
    <row r="9502" spans="4:4">
      <c r="D9502" s="16"/>
    </row>
    <row r="9503" spans="4:4">
      <c r="D9503" s="16"/>
    </row>
    <row r="9504" spans="4:4">
      <c r="D9504" s="16"/>
    </row>
    <row r="9505" spans="4:4">
      <c r="D9505" s="16"/>
    </row>
    <row r="9506" spans="4:4">
      <c r="D9506" s="16"/>
    </row>
    <row r="9507" spans="4:4">
      <c r="D9507" s="16"/>
    </row>
    <row r="9508" spans="4:4">
      <c r="D9508" s="16"/>
    </row>
    <row r="9509" spans="4:4">
      <c r="D9509" s="16"/>
    </row>
    <row r="9510" spans="4:4">
      <c r="D9510" s="16"/>
    </row>
    <row r="9511" spans="4:4">
      <c r="D9511" s="16"/>
    </row>
    <row r="9512" spans="4:4">
      <c r="D9512" s="16"/>
    </row>
    <row r="9513" spans="4:4">
      <c r="D9513" s="16"/>
    </row>
    <row r="9514" spans="4:4">
      <c r="D9514" s="16"/>
    </row>
    <row r="9515" spans="4:4">
      <c r="D9515" s="16"/>
    </row>
    <row r="9516" spans="4:4">
      <c r="D9516" s="16"/>
    </row>
    <row r="9517" spans="4:4">
      <c r="D9517" s="16"/>
    </row>
    <row r="9518" spans="4:4">
      <c r="D9518" s="16"/>
    </row>
    <row r="9519" spans="4:4">
      <c r="D9519" s="16"/>
    </row>
    <row r="9520" spans="4:4">
      <c r="D9520" s="16"/>
    </row>
    <row r="9521" spans="4:4">
      <c r="D9521" s="16"/>
    </row>
    <row r="9522" spans="4:4">
      <c r="D9522" s="16"/>
    </row>
    <row r="9523" spans="4:4">
      <c r="D9523" s="16"/>
    </row>
    <row r="9524" spans="4:4">
      <c r="D9524" s="16"/>
    </row>
    <row r="9525" spans="4:4">
      <c r="D9525" s="16"/>
    </row>
    <row r="9526" spans="4:4">
      <c r="D9526" s="16"/>
    </row>
    <row r="9527" spans="4:4">
      <c r="D9527" s="16"/>
    </row>
    <row r="9528" spans="4:4">
      <c r="D9528" s="16"/>
    </row>
    <row r="9529" spans="4:4">
      <c r="D9529" s="16"/>
    </row>
    <row r="9530" spans="4:4">
      <c r="D9530" s="16"/>
    </row>
    <row r="9531" spans="4:4">
      <c r="D9531" s="16"/>
    </row>
    <row r="9532" spans="4:4">
      <c r="D9532" s="16"/>
    </row>
    <row r="9533" spans="4:4">
      <c r="D9533" s="16"/>
    </row>
    <row r="9534" spans="4:4">
      <c r="D9534" s="16"/>
    </row>
    <row r="9535" spans="4:4">
      <c r="D9535" s="16"/>
    </row>
    <row r="9536" spans="4:4">
      <c r="D9536" s="16"/>
    </row>
    <row r="9537" spans="4:4">
      <c r="D9537" s="16"/>
    </row>
    <row r="9538" spans="4:4">
      <c r="D9538" s="16"/>
    </row>
    <row r="9539" spans="4:4">
      <c r="D9539" s="16"/>
    </row>
    <row r="9540" spans="4:4">
      <c r="D9540" s="16"/>
    </row>
    <row r="9541" spans="4:4">
      <c r="D9541" s="16"/>
    </row>
    <row r="9542" spans="4:4">
      <c r="D9542" s="16"/>
    </row>
    <row r="9543" spans="4:4">
      <c r="D9543" s="16"/>
    </row>
    <row r="9544" spans="4:4">
      <c r="D9544" s="16"/>
    </row>
    <row r="9545" spans="4:4">
      <c r="D9545" s="16"/>
    </row>
    <row r="9546" spans="4:4">
      <c r="D9546" s="16"/>
    </row>
    <row r="9547" spans="4:4">
      <c r="D9547" s="16"/>
    </row>
    <row r="9548" spans="4:4">
      <c r="D9548" s="16"/>
    </row>
    <row r="9549" spans="4:4">
      <c r="D9549" s="16"/>
    </row>
    <row r="9550" spans="4:4">
      <c r="D9550" s="16"/>
    </row>
    <row r="9551" spans="4:4">
      <c r="D9551" s="16"/>
    </row>
    <row r="9552" spans="4:4">
      <c r="D9552" s="16"/>
    </row>
    <row r="9553" spans="4:4">
      <c r="D9553" s="16"/>
    </row>
    <row r="9554" spans="4:4">
      <c r="D9554" s="16"/>
    </row>
    <row r="9555" spans="4:4">
      <c r="D9555" s="16"/>
    </row>
    <row r="9556" spans="4:4">
      <c r="D9556" s="16"/>
    </row>
    <row r="9557" spans="4:4">
      <c r="D9557" s="16"/>
    </row>
    <row r="9558" spans="4:4">
      <c r="D9558" s="16"/>
    </row>
    <row r="9559" spans="4:4">
      <c r="D9559" s="16"/>
    </row>
    <row r="9560" spans="4:4">
      <c r="D9560" s="16"/>
    </row>
    <row r="9561" spans="4:4">
      <c r="D9561" s="16"/>
    </row>
    <row r="9562" spans="4:4">
      <c r="D9562" s="16"/>
    </row>
    <row r="9563" spans="4:4">
      <c r="D9563" s="16"/>
    </row>
    <row r="9564" spans="4:4">
      <c r="D9564" s="16"/>
    </row>
    <row r="9565" spans="4:4">
      <c r="D9565" s="16"/>
    </row>
    <row r="9566" spans="4:4">
      <c r="D9566" s="16"/>
    </row>
    <row r="9567" spans="4:4">
      <c r="D9567" s="16"/>
    </row>
    <row r="9568" spans="4:4">
      <c r="D9568" s="16"/>
    </row>
    <row r="9569" spans="4:4">
      <c r="D9569" s="16"/>
    </row>
    <row r="9570" spans="4:4">
      <c r="D9570" s="16"/>
    </row>
    <row r="9571" spans="4:4">
      <c r="D9571" s="16"/>
    </row>
    <row r="9572" spans="4:4">
      <c r="D9572" s="16"/>
    </row>
    <row r="9573" spans="4:4">
      <c r="D9573" s="16"/>
    </row>
    <row r="9574" spans="4:4">
      <c r="D9574" s="16"/>
    </row>
    <row r="9575" spans="4:4">
      <c r="D9575" s="16"/>
    </row>
    <row r="9576" spans="4:4">
      <c r="D9576" s="16"/>
    </row>
    <row r="9577" spans="4:4">
      <c r="D9577" s="16"/>
    </row>
    <row r="9578" spans="4:4">
      <c r="D9578" s="16"/>
    </row>
    <row r="9579" spans="4:4">
      <c r="D9579" s="16"/>
    </row>
    <row r="9580" spans="4:4">
      <c r="D9580" s="16"/>
    </row>
    <row r="9581" spans="4:4">
      <c r="D9581" s="16"/>
    </row>
    <row r="9582" spans="4:4">
      <c r="D9582" s="16"/>
    </row>
    <row r="9583" spans="4:4">
      <c r="D9583" s="16"/>
    </row>
    <row r="9584" spans="4:4">
      <c r="D9584" s="16"/>
    </row>
    <row r="9585" spans="4:4">
      <c r="D9585" s="16"/>
    </row>
    <row r="9586" spans="4:4">
      <c r="D9586" s="16"/>
    </row>
    <row r="9587" spans="4:4">
      <c r="D9587" s="16"/>
    </row>
    <row r="9588" spans="4:4">
      <c r="D9588" s="16"/>
    </row>
    <row r="9589" spans="4:4">
      <c r="D9589" s="16"/>
    </row>
    <row r="9590" spans="4:4">
      <c r="D9590" s="16"/>
    </row>
    <row r="9591" spans="4:4">
      <c r="D9591" s="16"/>
    </row>
    <row r="9592" spans="4:4">
      <c r="D9592" s="16"/>
    </row>
    <row r="9593" spans="4:4">
      <c r="D9593" s="16"/>
    </row>
    <row r="9594" spans="4:4">
      <c r="D9594" s="16"/>
    </row>
    <row r="9595" spans="4:4">
      <c r="D9595" s="16"/>
    </row>
    <row r="9596" spans="4:4">
      <c r="D9596" s="16"/>
    </row>
    <row r="9597" spans="4:4">
      <c r="D9597" s="16"/>
    </row>
    <row r="9598" spans="4:4">
      <c r="D9598" s="16"/>
    </row>
    <row r="9599" spans="4:4">
      <c r="D9599" s="16"/>
    </row>
    <row r="9600" spans="4:4">
      <c r="D9600" s="16"/>
    </row>
    <row r="9601" spans="4:4">
      <c r="D9601" s="16"/>
    </row>
    <row r="9602" spans="4:4">
      <c r="D9602" s="16"/>
    </row>
    <row r="9603" spans="4:4">
      <c r="D9603" s="16"/>
    </row>
    <row r="9604" spans="4:4">
      <c r="D9604" s="16"/>
    </row>
    <row r="9605" spans="4:4">
      <c r="D9605" s="16"/>
    </row>
    <row r="9606" spans="4:4">
      <c r="D9606" s="16"/>
    </row>
    <row r="9607" spans="4:4">
      <c r="D9607" s="16"/>
    </row>
    <row r="9608" spans="4:4">
      <c r="D9608" s="16"/>
    </row>
    <row r="9609" spans="4:4">
      <c r="D9609" s="16"/>
    </row>
    <row r="9610" spans="4:4">
      <c r="D9610" s="16"/>
    </row>
    <row r="9611" spans="4:4">
      <c r="D9611" s="16"/>
    </row>
    <row r="9612" spans="4:4">
      <c r="D9612" s="16"/>
    </row>
    <row r="9613" spans="4:4">
      <c r="D9613" s="16"/>
    </row>
    <row r="9614" spans="4:4">
      <c r="D9614" s="16"/>
    </row>
    <row r="9615" spans="4:4">
      <c r="D9615" s="16"/>
    </row>
    <row r="9616" spans="4:4">
      <c r="D9616" s="16"/>
    </row>
    <row r="9617" spans="4:4">
      <c r="D9617" s="16"/>
    </row>
    <row r="9618" spans="4:4">
      <c r="D9618" s="16"/>
    </row>
    <row r="9619" spans="4:4">
      <c r="D9619" s="16"/>
    </row>
    <row r="9620" spans="4:4">
      <c r="D9620" s="16"/>
    </row>
    <row r="9621" spans="4:4">
      <c r="D9621" s="16"/>
    </row>
    <row r="9622" spans="4:4">
      <c r="D9622" s="16"/>
    </row>
    <row r="9623" spans="4:4">
      <c r="D9623" s="16"/>
    </row>
    <row r="9624" spans="4:4">
      <c r="D9624" s="16"/>
    </row>
    <row r="9625" spans="4:4">
      <c r="D9625" s="16"/>
    </row>
    <row r="9626" spans="4:4">
      <c r="D9626" s="16"/>
    </row>
    <row r="9627" spans="4:4">
      <c r="D9627" s="16"/>
    </row>
    <row r="9628" spans="4:4">
      <c r="D9628" s="16"/>
    </row>
    <row r="9629" spans="4:4">
      <c r="D9629" s="16"/>
    </row>
    <row r="9630" spans="4:4">
      <c r="D9630" s="16"/>
    </row>
    <row r="9631" spans="4:4">
      <c r="D9631" s="16"/>
    </row>
    <row r="9632" spans="4:4">
      <c r="D9632" s="16"/>
    </row>
    <row r="9633" spans="4:4">
      <c r="D9633" s="16"/>
    </row>
    <row r="9634" spans="4:4">
      <c r="D9634" s="16"/>
    </row>
    <row r="9635" spans="4:4">
      <c r="D9635" s="16"/>
    </row>
    <row r="9636" spans="4:4">
      <c r="D9636" s="16"/>
    </row>
    <row r="9637" spans="4:4">
      <c r="D9637" s="16"/>
    </row>
    <row r="9638" spans="4:4">
      <c r="D9638" s="16"/>
    </row>
    <row r="9639" spans="4:4">
      <c r="D9639" s="16"/>
    </row>
    <row r="9640" spans="4:4">
      <c r="D9640" s="16"/>
    </row>
    <row r="9641" spans="4:4">
      <c r="D9641" s="16"/>
    </row>
    <row r="9642" spans="4:4">
      <c r="D9642" s="16"/>
    </row>
    <row r="9643" spans="4:4">
      <c r="D9643" s="16"/>
    </row>
    <row r="9644" spans="4:4">
      <c r="D9644" s="16"/>
    </row>
    <row r="9645" spans="4:4">
      <c r="D9645" s="16"/>
    </row>
    <row r="9646" spans="4:4">
      <c r="D9646" s="16"/>
    </row>
    <row r="9647" spans="4:4">
      <c r="D9647" s="16"/>
    </row>
    <row r="9648" spans="4:4">
      <c r="D9648" s="16"/>
    </row>
    <row r="9649" spans="4:4">
      <c r="D9649" s="16"/>
    </row>
    <row r="9650" spans="4:4">
      <c r="D9650" s="16"/>
    </row>
    <row r="9651" spans="4:4">
      <c r="D9651" s="16"/>
    </row>
    <row r="9652" spans="4:4">
      <c r="D9652" s="16"/>
    </row>
    <row r="9653" spans="4:4">
      <c r="D9653" s="16"/>
    </row>
    <row r="9654" spans="4:4">
      <c r="D9654" s="16"/>
    </row>
    <row r="9655" spans="4:4">
      <c r="D9655" s="16"/>
    </row>
    <row r="9656" spans="4:4">
      <c r="D9656" s="16"/>
    </row>
    <row r="9657" spans="4:4">
      <c r="D9657" s="16"/>
    </row>
    <row r="9658" spans="4:4">
      <c r="D9658" s="16"/>
    </row>
    <row r="9659" spans="4:4">
      <c r="D9659" s="16"/>
    </row>
    <row r="9660" spans="4:4">
      <c r="D9660" s="16"/>
    </row>
    <row r="9661" spans="4:4">
      <c r="D9661" s="16"/>
    </row>
    <row r="9662" spans="4:4">
      <c r="D9662" s="16"/>
    </row>
    <row r="9663" spans="4:4">
      <c r="D9663" s="16"/>
    </row>
    <row r="9664" spans="4:4">
      <c r="D9664" s="16"/>
    </row>
    <row r="9665" spans="4:4">
      <c r="D9665" s="16"/>
    </row>
    <row r="9666" spans="4:4">
      <c r="D9666" s="16"/>
    </row>
    <row r="9667" spans="4:4">
      <c r="D9667" s="16"/>
    </row>
    <row r="9668" spans="4:4">
      <c r="D9668" s="16"/>
    </row>
    <row r="9669" spans="4:4">
      <c r="D9669" s="16"/>
    </row>
    <row r="9670" spans="4:4">
      <c r="D9670" s="16"/>
    </row>
    <row r="9671" spans="4:4">
      <c r="D9671" s="16"/>
    </row>
    <row r="9672" spans="4:4">
      <c r="D9672" s="16"/>
    </row>
    <row r="9673" spans="4:4">
      <c r="D9673" s="16"/>
    </row>
    <row r="9674" spans="4:4">
      <c r="D9674" s="16"/>
    </row>
    <row r="9675" spans="4:4">
      <c r="D9675" s="16"/>
    </row>
    <row r="9676" spans="4:4">
      <c r="D9676" s="16"/>
    </row>
    <row r="9677" spans="4:4">
      <c r="D9677" s="16"/>
    </row>
    <row r="9678" spans="4:4">
      <c r="D9678" s="16"/>
    </row>
    <row r="9679" spans="4:4">
      <c r="D9679" s="16"/>
    </row>
    <row r="9680" spans="4:4">
      <c r="D9680" s="16"/>
    </row>
    <row r="9681" spans="4:4">
      <c r="D9681" s="16"/>
    </row>
    <row r="9682" spans="4:4">
      <c r="D9682" s="16"/>
    </row>
    <row r="9683" spans="4:4">
      <c r="D9683" s="16"/>
    </row>
    <row r="9684" spans="4:4">
      <c r="D9684" s="16"/>
    </row>
    <row r="9685" spans="4:4">
      <c r="D9685" s="16"/>
    </row>
    <row r="9686" spans="4:4">
      <c r="D9686" s="16"/>
    </row>
    <row r="9687" spans="4:4">
      <c r="D9687" s="16"/>
    </row>
    <row r="9688" spans="4:4">
      <c r="D9688" s="16"/>
    </row>
    <row r="9689" spans="4:4">
      <c r="D9689" s="16"/>
    </row>
    <row r="9690" spans="4:4">
      <c r="D9690" s="16"/>
    </row>
    <row r="9691" spans="4:4">
      <c r="D9691" s="16"/>
    </row>
    <row r="9692" spans="4:4">
      <c r="D9692" s="16"/>
    </row>
    <row r="9693" spans="4:4">
      <c r="D9693" s="16"/>
    </row>
    <row r="9694" spans="4:4">
      <c r="D9694" s="16"/>
    </row>
    <row r="9695" spans="4:4">
      <c r="D9695" s="16"/>
    </row>
    <row r="9696" spans="4:4">
      <c r="D9696" s="16"/>
    </row>
    <row r="9697" spans="4:4">
      <c r="D9697" s="16"/>
    </row>
    <row r="9698" spans="4:4">
      <c r="D9698" s="16"/>
    </row>
    <row r="9699" spans="4:4">
      <c r="D9699" s="16"/>
    </row>
    <row r="9700" spans="4:4">
      <c r="D9700" s="16"/>
    </row>
    <row r="9701" spans="4:4">
      <c r="D9701" s="16"/>
    </row>
    <row r="9702" spans="4:4">
      <c r="D9702" s="16"/>
    </row>
    <row r="9703" spans="4:4">
      <c r="D9703" s="16"/>
    </row>
    <row r="9704" spans="4:4">
      <c r="D9704" s="16"/>
    </row>
    <row r="9705" spans="4:4">
      <c r="D9705" s="16"/>
    </row>
    <row r="9706" spans="4:4">
      <c r="D9706" s="16"/>
    </row>
    <row r="9707" spans="4:4">
      <c r="D9707" s="16"/>
    </row>
    <row r="9708" spans="4:4">
      <c r="D9708" s="16"/>
    </row>
    <row r="9709" spans="4:4">
      <c r="D9709" s="16"/>
    </row>
    <row r="9710" spans="4:4">
      <c r="D9710" s="16"/>
    </row>
    <row r="9711" spans="4:4">
      <c r="D9711" s="16"/>
    </row>
    <row r="9712" spans="4:4">
      <c r="D9712" s="16"/>
    </row>
    <row r="9713" spans="4:4">
      <c r="D9713" s="16"/>
    </row>
    <row r="9714" spans="4:4">
      <c r="D9714" s="16"/>
    </row>
    <row r="9715" spans="4:4">
      <c r="D9715" s="16"/>
    </row>
    <row r="9716" spans="4:4">
      <c r="D9716" s="16"/>
    </row>
    <row r="9717" spans="4:4">
      <c r="D9717" s="16"/>
    </row>
    <row r="9718" spans="4:4">
      <c r="D9718" s="16"/>
    </row>
    <row r="9719" spans="4:4">
      <c r="D9719" s="16"/>
    </row>
    <row r="9720" spans="4:4">
      <c r="D9720" s="16"/>
    </row>
    <row r="9721" spans="4:4">
      <c r="D9721" s="16"/>
    </row>
    <row r="9722" spans="4:4">
      <c r="D9722" s="16"/>
    </row>
    <row r="9723" spans="4:4">
      <c r="D9723" s="16"/>
    </row>
    <row r="9724" spans="4:4">
      <c r="D9724" s="16"/>
    </row>
    <row r="9725" spans="4:4">
      <c r="D9725" s="16"/>
    </row>
    <row r="9726" spans="4:4">
      <c r="D9726" s="16"/>
    </row>
    <row r="9727" spans="4:4">
      <c r="D9727" s="16"/>
    </row>
    <row r="9728" spans="4:4">
      <c r="D9728" s="16"/>
    </row>
    <row r="9729" spans="4:4">
      <c r="D9729" s="16"/>
    </row>
    <row r="9730" spans="4:4">
      <c r="D9730" s="16"/>
    </row>
    <row r="9731" spans="4:4">
      <c r="D9731" s="16"/>
    </row>
    <row r="9732" spans="4:4">
      <c r="D9732" s="16"/>
    </row>
    <row r="9733" spans="4:4">
      <c r="D9733" s="16"/>
    </row>
    <row r="9734" spans="4:4">
      <c r="D9734" s="16"/>
    </row>
    <row r="9735" spans="4:4">
      <c r="D9735" s="16"/>
    </row>
    <row r="9736" spans="4:4">
      <c r="D9736" s="16"/>
    </row>
    <row r="9737" spans="4:4">
      <c r="D9737" s="16"/>
    </row>
    <row r="9738" spans="4:4">
      <c r="D9738" s="16"/>
    </row>
    <row r="9739" spans="4:4">
      <c r="D9739" s="16"/>
    </row>
    <row r="9740" spans="4:4">
      <c r="D9740" s="16"/>
    </row>
    <row r="9741" spans="4:4">
      <c r="D9741" s="16"/>
    </row>
    <row r="9742" spans="4:4">
      <c r="D9742" s="16"/>
    </row>
    <row r="9743" spans="4:4">
      <c r="D9743" s="16"/>
    </row>
    <row r="9744" spans="4:4">
      <c r="D9744" s="16"/>
    </row>
    <row r="9745" spans="4:4">
      <c r="D9745" s="16"/>
    </row>
    <row r="9746" spans="4:4">
      <c r="D9746" s="16"/>
    </row>
    <row r="9747" spans="4:4">
      <c r="D9747" s="16"/>
    </row>
    <row r="9748" spans="4:4">
      <c r="D9748" s="16"/>
    </row>
    <row r="9749" spans="4:4">
      <c r="D9749" s="16"/>
    </row>
    <row r="9750" spans="4:4">
      <c r="D9750" s="16"/>
    </row>
    <row r="9751" spans="4:4">
      <c r="D9751" s="16"/>
    </row>
    <row r="9752" spans="4:4">
      <c r="D9752" s="16"/>
    </row>
    <row r="9753" spans="4:4">
      <c r="D9753" s="16"/>
    </row>
    <row r="9754" spans="4:4">
      <c r="D9754" s="16"/>
    </row>
    <row r="9755" spans="4:4">
      <c r="D9755" s="16"/>
    </row>
    <row r="9756" spans="4:4">
      <c r="D9756" s="16"/>
    </row>
    <row r="9757" spans="4:4">
      <c r="D9757" s="16"/>
    </row>
    <row r="9758" spans="4:4">
      <c r="D9758" s="16"/>
    </row>
    <row r="9759" spans="4:4">
      <c r="D9759" s="16"/>
    </row>
    <row r="9760" spans="4:4">
      <c r="D9760" s="16"/>
    </row>
    <row r="9761" spans="4:4">
      <c r="D9761" s="16"/>
    </row>
    <row r="9762" spans="4:4">
      <c r="D9762" s="16"/>
    </row>
    <row r="9763" spans="4:4">
      <c r="D9763" s="16"/>
    </row>
    <row r="9764" spans="4:4">
      <c r="D9764" s="16"/>
    </row>
    <row r="9765" spans="4:4">
      <c r="D9765" s="16"/>
    </row>
    <row r="9766" spans="4:4">
      <c r="D9766" s="16"/>
    </row>
    <row r="9767" spans="4:4">
      <c r="D9767" s="16"/>
    </row>
    <row r="9768" spans="4:4">
      <c r="D9768" s="16"/>
    </row>
    <row r="9769" spans="4:4">
      <c r="D9769" s="16"/>
    </row>
    <row r="9770" spans="4:4">
      <c r="D9770" s="16"/>
    </row>
    <row r="9771" spans="4:4">
      <c r="D9771" s="16"/>
    </row>
    <row r="9772" spans="4:4">
      <c r="D9772" s="16"/>
    </row>
    <row r="9773" spans="4:4">
      <c r="D9773" s="16"/>
    </row>
    <row r="9774" spans="4:4">
      <c r="D9774" s="16"/>
    </row>
    <row r="9775" spans="4:4">
      <c r="D9775" s="16"/>
    </row>
    <row r="9776" spans="4:4">
      <c r="D9776" s="16"/>
    </row>
    <row r="9777" spans="4:4">
      <c r="D9777" s="16"/>
    </row>
    <row r="9778" spans="4:4">
      <c r="D9778" s="16"/>
    </row>
    <row r="9779" spans="4:4">
      <c r="D9779" s="16"/>
    </row>
    <row r="9780" spans="4:4">
      <c r="D9780" s="16"/>
    </row>
    <row r="9781" spans="4:4">
      <c r="D9781" s="16"/>
    </row>
    <row r="9782" spans="4:4">
      <c r="D9782" s="16"/>
    </row>
    <row r="9783" spans="4:4">
      <c r="D9783" s="16"/>
    </row>
    <row r="9784" spans="4:4">
      <c r="D9784" s="16"/>
    </row>
    <row r="9785" spans="4:4">
      <c r="D9785" s="16"/>
    </row>
    <row r="9786" spans="4:4">
      <c r="D9786" s="16"/>
    </row>
    <row r="9787" spans="4:4">
      <c r="D9787" s="16"/>
    </row>
    <row r="9788" spans="4:4">
      <c r="D9788" s="16"/>
    </row>
    <row r="9789" spans="4:4">
      <c r="D9789" s="16"/>
    </row>
    <row r="9790" spans="4:4">
      <c r="D9790" s="16"/>
    </row>
    <row r="9791" spans="4:4">
      <c r="D9791" s="16"/>
    </row>
    <row r="9792" spans="4:4">
      <c r="D9792" s="16"/>
    </row>
    <row r="9793" spans="4:4">
      <c r="D9793" s="16"/>
    </row>
    <row r="9794" spans="4:4">
      <c r="D9794" s="16"/>
    </row>
    <row r="9795" spans="4:4">
      <c r="D9795" s="16"/>
    </row>
    <row r="9796" spans="4:4">
      <c r="D9796" s="16"/>
    </row>
    <row r="9797" spans="4:4">
      <c r="D9797" s="16"/>
    </row>
    <row r="9798" spans="4:4">
      <c r="D9798" s="16"/>
    </row>
    <row r="9799" spans="4:4">
      <c r="D9799" s="16"/>
    </row>
    <row r="9800" spans="4:4">
      <c r="D9800" s="16"/>
    </row>
    <row r="9801" spans="4:4">
      <c r="D9801" s="16"/>
    </row>
    <row r="9802" spans="4:4">
      <c r="D9802" s="16"/>
    </row>
    <row r="9803" spans="4:4">
      <c r="D9803" s="16"/>
    </row>
    <row r="9804" spans="4:4">
      <c r="D9804" s="16"/>
    </row>
    <row r="9805" spans="4:4">
      <c r="D9805" s="16"/>
    </row>
    <row r="9806" spans="4:4">
      <c r="D9806" s="16"/>
    </row>
    <row r="9807" spans="4:4">
      <c r="D9807" s="16"/>
    </row>
    <row r="9808" spans="4:4">
      <c r="D9808" s="16"/>
    </row>
    <row r="9809" spans="4:4">
      <c r="D9809" s="16"/>
    </row>
    <row r="9810" spans="4:4">
      <c r="D9810" s="16"/>
    </row>
    <row r="9811" spans="4:4">
      <c r="D9811" s="16"/>
    </row>
    <row r="9812" spans="4:4">
      <c r="D9812" s="16"/>
    </row>
    <row r="9813" spans="4:4">
      <c r="D9813" s="16"/>
    </row>
    <row r="9814" spans="4:4">
      <c r="D9814" s="16"/>
    </row>
    <row r="9815" spans="4:4">
      <c r="D9815" s="16"/>
    </row>
    <row r="9816" spans="4:4">
      <c r="D9816" s="16"/>
    </row>
    <row r="9817" spans="4:4">
      <c r="D9817" s="16"/>
    </row>
    <row r="9818" spans="4:4">
      <c r="D9818" s="16"/>
    </row>
    <row r="9819" spans="4:4">
      <c r="D9819" s="16"/>
    </row>
    <row r="9820" spans="4:4">
      <c r="D9820" s="16"/>
    </row>
    <row r="9821" spans="4:4">
      <c r="D9821" s="16"/>
    </row>
    <row r="9822" spans="4:4">
      <c r="D9822" s="16"/>
    </row>
    <row r="9823" spans="4:4">
      <c r="D9823" s="16"/>
    </row>
    <row r="9824" spans="4:4">
      <c r="D9824" s="16"/>
    </row>
    <row r="9825" spans="4:4">
      <c r="D9825" s="16"/>
    </row>
    <row r="9826" spans="4:4">
      <c r="D9826" s="16"/>
    </row>
    <row r="9827" spans="4:4">
      <c r="D9827" s="16"/>
    </row>
    <row r="9828" spans="4:4">
      <c r="D9828" s="16"/>
    </row>
    <row r="9829" spans="4:4">
      <c r="D9829" s="16"/>
    </row>
    <row r="9830" spans="4:4">
      <c r="D9830" s="16"/>
    </row>
    <row r="9831" spans="4:4">
      <c r="D9831" s="16"/>
    </row>
    <row r="9832" spans="4:4">
      <c r="D9832" s="16"/>
    </row>
    <row r="9833" spans="4:4">
      <c r="D9833" s="16"/>
    </row>
    <row r="9834" spans="4:4">
      <c r="D9834" s="16"/>
    </row>
    <row r="9835" spans="4:4">
      <c r="D9835" s="16"/>
    </row>
    <row r="9836" spans="4:4">
      <c r="D9836" s="16"/>
    </row>
    <row r="9837" spans="4:4">
      <c r="D9837" s="16"/>
    </row>
    <row r="9838" spans="4:4">
      <c r="D9838" s="16"/>
    </row>
    <row r="9839" spans="4:4">
      <c r="D9839" s="16"/>
    </row>
    <row r="9840" spans="4:4">
      <c r="D9840" s="16"/>
    </row>
    <row r="9841" spans="4:4">
      <c r="D9841" s="16"/>
    </row>
    <row r="9842" spans="4:4">
      <c r="D9842" s="16"/>
    </row>
    <row r="9843" spans="4:4">
      <c r="D9843" s="16"/>
    </row>
    <row r="9844" spans="4:4">
      <c r="D9844" s="16"/>
    </row>
    <row r="9845" spans="4:4">
      <c r="D9845" s="16"/>
    </row>
    <row r="9846" spans="4:4">
      <c r="D9846" s="16"/>
    </row>
    <row r="9847" spans="4:4">
      <c r="D9847" s="16"/>
    </row>
    <row r="9848" spans="4:4">
      <c r="D9848" s="16"/>
    </row>
    <row r="9849" spans="4:4">
      <c r="D9849" s="16"/>
    </row>
    <row r="9850" spans="4:4">
      <c r="D9850" s="16"/>
    </row>
    <row r="9851" spans="4:4">
      <c r="D9851" s="16"/>
    </row>
    <row r="9852" spans="4:4">
      <c r="D9852" s="16"/>
    </row>
    <row r="9853" spans="4:4">
      <c r="D9853" s="16"/>
    </row>
    <row r="9854" spans="4:4">
      <c r="D9854" s="16"/>
    </row>
    <row r="9855" spans="4:4">
      <c r="D9855" s="16"/>
    </row>
    <row r="9856" spans="4:4">
      <c r="D9856" s="16"/>
    </row>
    <row r="9857" spans="4:4">
      <c r="D9857" s="16"/>
    </row>
    <row r="9858" spans="4:4">
      <c r="D9858" s="16"/>
    </row>
    <row r="9859" spans="4:4">
      <c r="D9859" s="16"/>
    </row>
    <row r="9860" spans="4:4">
      <c r="D9860" s="16"/>
    </row>
    <row r="9861" spans="4:4">
      <c r="D9861" s="16"/>
    </row>
    <row r="9862" spans="4:4">
      <c r="D9862" s="16"/>
    </row>
    <row r="9863" spans="4:4">
      <c r="D9863" s="16"/>
    </row>
    <row r="9864" spans="4:4">
      <c r="D9864" s="16"/>
    </row>
    <row r="9865" spans="4:4">
      <c r="D9865" s="16"/>
    </row>
    <row r="9866" spans="4:4">
      <c r="D9866" s="16"/>
    </row>
    <row r="9867" spans="4:4">
      <c r="D9867" s="16"/>
    </row>
    <row r="9868" spans="4:4">
      <c r="D9868" s="16"/>
    </row>
    <row r="9869" spans="4:4">
      <c r="D9869" s="16"/>
    </row>
    <row r="9870" spans="4:4">
      <c r="D9870" s="16"/>
    </row>
    <row r="9871" spans="4:4">
      <c r="D9871" s="16"/>
    </row>
    <row r="9872" spans="4:4">
      <c r="D9872" s="16"/>
    </row>
    <row r="9873" spans="4:4">
      <c r="D9873" s="16"/>
    </row>
    <row r="9874" spans="4:4">
      <c r="D9874" s="16"/>
    </row>
    <row r="9875" spans="4:4">
      <c r="D9875" s="16"/>
    </row>
    <row r="9876" spans="4:4">
      <c r="D9876" s="16"/>
    </row>
    <row r="9877" spans="4:4">
      <c r="D9877" s="16"/>
    </row>
    <row r="9878" spans="4:4">
      <c r="D9878" s="16"/>
    </row>
    <row r="9879" spans="4:4">
      <c r="D9879" s="16"/>
    </row>
    <row r="9880" spans="4:4">
      <c r="D9880" s="16"/>
    </row>
    <row r="9881" spans="4:4">
      <c r="D9881" s="16"/>
    </row>
    <row r="9882" spans="4:4">
      <c r="D9882" s="16"/>
    </row>
    <row r="9883" spans="4:4">
      <c r="D9883" s="16"/>
    </row>
    <row r="9884" spans="4:4">
      <c r="D9884" s="16"/>
    </row>
    <row r="9885" spans="4:4">
      <c r="D9885" s="16"/>
    </row>
    <row r="9886" spans="4:4">
      <c r="D9886" s="16"/>
    </row>
    <row r="9887" spans="4:4">
      <c r="D9887" s="16"/>
    </row>
    <row r="9888" spans="4:4">
      <c r="D9888" s="16"/>
    </row>
    <row r="9889" spans="4:4">
      <c r="D9889" s="16"/>
    </row>
    <row r="9890" spans="4:4">
      <c r="D9890" s="16"/>
    </row>
    <row r="9891" spans="4:4">
      <c r="D9891" s="16"/>
    </row>
    <row r="9892" spans="4:4">
      <c r="D9892" s="16"/>
    </row>
    <row r="9893" spans="4:4">
      <c r="D9893" s="16"/>
    </row>
    <row r="9894" spans="4:4">
      <c r="D9894" s="16"/>
    </row>
    <row r="9895" spans="4:4">
      <c r="D9895" s="16"/>
    </row>
    <row r="9896" spans="4:4">
      <c r="D9896" s="16"/>
    </row>
    <row r="9897" spans="4:4">
      <c r="D9897" s="16"/>
    </row>
    <row r="9898" spans="4:4">
      <c r="D9898" s="16"/>
    </row>
    <row r="9899" spans="4:4">
      <c r="D9899" s="16"/>
    </row>
    <row r="9900" spans="4:4">
      <c r="D9900" s="16"/>
    </row>
    <row r="9901" spans="4:4">
      <c r="D9901" s="16"/>
    </row>
    <row r="9902" spans="4:4">
      <c r="D9902" s="16"/>
    </row>
    <row r="9903" spans="4:4">
      <c r="D9903" s="16"/>
    </row>
    <row r="9904" spans="4:4">
      <c r="D9904" s="16"/>
    </row>
    <row r="9905" spans="4:4">
      <c r="D9905" s="16"/>
    </row>
    <row r="9906" spans="4:4">
      <c r="D9906" s="16"/>
    </row>
    <row r="9907" spans="4:4">
      <c r="D9907" s="16"/>
    </row>
    <row r="9908" spans="4:4">
      <c r="D9908" s="16"/>
    </row>
    <row r="9909" spans="4:4">
      <c r="D9909" s="16"/>
    </row>
    <row r="9910" spans="4:4">
      <c r="D9910" s="16"/>
    </row>
    <row r="9911" spans="4:4">
      <c r="D9911" s="16"/>
    </row>
    <row r="9912" spans="4:4">
      <c r="D9912" s="16"/>
    </row>
    <row r="9913" spans="4:4">
      <c r="D9913" s="16"/>
    </row>
    <row r="9914" spans="4:4">
      <c r="D9914" s="16"/>
    </row>
    <row r="9915" spans="4:4">
      <c r="D9915" s="16"/>
    </row>
    <row r="9916" spans="4:4">
      <c r="D9916" s="16"/>
    </row>
    <row r="9917" spans="4:4">
      <c r="D9917" s="16"/>
    </row>
    <row r="9918" spans="4:4">
      <c r="D9918" s="16"/>
    </row>
    <row r="9919" spans="4:4">
      <c r="D9919" s="16"/>
    </row>
    <row r="9920" spans="4:4">
      <c r="D9920" s="16"/>
    </row>
    <row r="9921" spans="4:4">
      <c r="D9921" s="16"/>
    </row>
    <row r="9922" spans="4:4">
      <c r="D9922" s="16"/>
    </row>
    <row r="9923" spans="4:4">
      <c r="D9923" s="16"/>
    </row>
    <row r="9924" spans="4:4">
      <c r="D9924" s="16"/>
    </row>
    <row r="9925" spans="4:4">
      <c r="D9925" s="16"/>
    </row>
    <row r="9926" spans="4:4">
      <c r="D9926" s="16"/>
    </row>
    <row r="9927" spans="4:4">
      <c r="D9927" s="16"/>
    </row>
    <row r="9928" spans="4:4">
      <c r="D9928" s="16"/>
    </row>
    <row r="9929" spans="4:4">
      <c r="D9929" s="16"/>
    </row>
    <row r="9930" spans="4:4">
      <c r="D9930" s="16"/>
    </row>
    <row r="9931" spans="4:4">
      <c r="D9931" s="16"/>
    </row>
    <row r="9932" spans="4:4">
      <c r="D9932" s="16"/>
    </row>
    <row r="9933" spans="4:4">
      <c r="D9933" s="16"/>
    </row>
    <row r="9934" spans="4:4">
      <c r="D9934" s="16"/>
    </row>
    <row r="9935" spans="4:4">
      <c r="D9935" s="16"/>
    </row>
    <row r="9936" spans="4:4">
      <c r="D9936" s="16"/>
    </row>
    <row r="9937" spans="4:4">
      <c r="D9937" s="16"/>
    </row>
    <row r="9938" spans="4:4">
      <c r="D9938" s="16"/>
    </row>
    <row r="9939" spans="4:4">
      <c r="D9939" s="16"/>
    </row>
    <row r="9940" spans="4:4">
      <c r="D9940" s="16"/>
    </row>
    <row r="9941" spans="4:4">
      <c r="D9941" s="16"/>
    </row>
    <row r="9942" spans="4:4">
      <c r="D9942" s="16"/>
    </row>
    <row r="9943" spans="4:4">
      <c r="D9943" s="16"/>
    </row>
    <row r="9944" spans="4:4">
      <c r="D9944" s="16"/>
    </row>
    <row r="9945" spans="4:4">
      <c r="D9945" s="16"/>
    </row>
    <row r="9946" spans="4:4">
      <c r="D9946" s="16"/>
    </row>
    <row r="9947" spans="4:4">
      <c r="D9947" s="16"/>
    </row>
    <row r="9948" spans="4:4">
      <c r="D9948" s="16"/>
    </row>
    <row r="9949" spans="4:4">
      <c r="D9949" s="16"/>
    </row>
    <row r="9950" spans="4:4">
      <c r="D9950" s="16"/>
    </row>
    <row r="9951" spans="4:4">
      <c r="D9951" s="16"/>
    </row>
    <row r="9952" spans="4:4">
      <c r="D9952" s="16"/>
    </row>
    <row r="9953" spans="4:4">
      <c r="D9953" s="16"/>
    </row>
    <row r="9954" spans="4:4">
      <c r="D9954" s="16"/>
    </row>
    <row r="9955" spans="4:4">
      <c r="D9955" s="16"/>
    </row>
    <row r="9956" spans="4:4">
      <c r="D9956" s="16"/>
    </row>
    <row r="9957" spans="4:4">
      <c r="D9957" s="16"/>
    </row>
    <row r="9958" spans="4:4">
      <c r="D9958" s="16"/>
    </row>
    <row r="9959" spans="4:4">
      <c r="D9959" s="16"/>
    </row>
    <row r="9960" spans="4:4">
      <c r="D9960" s="16"/>
    </row>
    <row r="9961" spans="4:4">
      <c r="D9961" s="16"/>
    </row>
    <row r="9962" spans="4:4">
      <c r="D9962" s="16"/>
    </row>
    <row r="9963" spans="4:4">
      <c r="D9963" s="16"/>
    </row>
    <row r="9964" spans="4:4">
      <c r="D9964" s="16"/>
    </row>
    <row r="9965" spans="4:4">
      <c r="D9965" s="16"/>
    </row>
    <row r="9966" spans="4:4">
      <c r="D9966" s="16"/>
    </row>
    <row r="9967" spans="4:4">
      <c r="D9967" s="16"/>
    </row>
    <row r="9968" spans="4:4">
      <c r="D9968" s="16"/>
    </row>
    <row r="9969" spans="4:4">
      <c r="D9969" s="16"/>
    </row>
    <row r="9970" spans="4:4">
      <c r="D9970" s="16"/>
    </row>
    <row r="9971" spans="4:4">
      <c r="D9971" s="16"/>
    </row>
    <row r="9972" spans="4:4">
      <c r="D9972" s="16"/>
    </row>
    <row r="9973" spans="4:4">
      <c r="D9973" s="16"/>
    </row>
    <row r="9974" spans="4:4">
      <c r="D9974" s="16"/>
    </row>
    <row r="9975" spans="4:4">
      <c r="D9975" s="16"/>
    </row>
    <row r="9976" spans="4:4">
      <c r="D9976" s="16"/>
    </row>
    <row r="9977" spans="4:4">
      <c r="D9977" s="16"/>
    </row>
    <row r="9978" spans="4:4">
      <c r="D9978" s="16"/>
    </row>
    <row r="9979" spans="4:4">
      <c r="D9979" s="16"/>
    </row>
    <row r="9980" spans="4:4">
      <c r="D9980" s="16"/>
    </row>
    <row r="9981" spans="4:4">
      <c r="D9981" s="16"/>
    </row>
    <row r="9982" spans="4:4">
      <c r="D9982" s="16"/>
    </row>
    <row r="9983" spans="4:4">
      <c r="D9983" s="16"/>
    </row>
    <row r="9984" spans="4:4">
      <c r="D9984" s="16"/>
    </row>
    <row r="9985" spans="4:4">
      <c r="D9985" s="16"/>
    </row>
    <row r="9986" spans="4:4">
      <c r="D9986" s="16"/>
    </row>
    <row r="9987" spans="4:4">
      <c r="D9987" s="16"/>
    </row>
    <row r="9988" spans="4:4">
      <c r="D9988" s="16"/>
    </row>
    <row r="9989" spans="4:4">
      <c r="D9989" s="16"/>
    </row>
    <row r="9990" spans="4:4">
      <c r="D9990" s="16"/>
    </row>
    <row r="9991" spans="4:4">
      <c r="D9991" s="16"/>
    </row>
    <row r="9992" spans="4:4">
      <c r="D9992" s="16"/>
    </row>
    <row r="9993" spans="4:4">
      <c r="D9993" s="16"/>
    </row>
    <row r="9994" spans="4:4">
      <c r="D9994" s="16"/>
    </row>
    <row r="9995" spans="4:4">
      <c r="D9995" s="16"/>
    </row>
    <row r="9996" spans="4:4">
      <c r="D9996" s="16"/>
    </row>
    <row r="9997" spans="4:4">
      <c r="D9997" s="16"/>
    </row>
    <row r="9998" spans="4:4">
      <c r="D9998" s="16"/>
    </row>
    <row r="9999" spans="4:4">
      <c r="D9999" s="16"/>
    </row>
    <row r="10000" spans="4:4">
      <c r="D10000" s="16"/>
    </row>
    <row r="10001" spans="4:4">
      <c r="D10001" s="16"/>
    </row>
    <row r="10002" spans="4:4">
      <c r="D10002" s="16"/>
    </row>
    <row r="10003" spans="4:4">
      <c r="D10003" s="16"/>
    </row>
    <row r="10004" spans="4:4">
      <c r="D10004" s="16"/>
    </row>
    <row r="10005" spans="4:4">
      <c r="D10005" s="16"/>
    </row>
    <row r="10006" spans="4:4">
      <c r="D10006" s="16"/>
    </row>
    <row r="10007" spans="4:4">
      <c r="D10007" s="16"/>
    </row>
    <row r="10008" spans="4:4">
      <c r="D10008" s="16"/>
    </row>
    <row r="10009" spans="4:4">
      <c r="D10009" s="16"/>
    </row>
    <row r="10010" spans="4:4">
      <c r="D10010" s="16"/>
    </row>
    <row r="10011" spans="4:4">
      <c r="D10011" s="16"/>
    </row>
    <row r="10012" spans="4:4">
      <c r="D10012" s="16"/>
    </row>
    <row r="10013" spans="4:4">
      <c r="D10013" s="16"/>
    </row>
    <row r="10014" spans="4:4">
      <c r="D10014" s="16"/>
    </row>
    <row r="10015" spans="4:4">
      <c r="D10015" s="16"/>
    </row>
    <row r="10016" spans="4:4">
      <c r="D10016" s="16"/>
    </row>
    <row r="10017" spans="4:4">
      <c r="D10017" s="16"/>
    </row>
    <row r="10018" spans="4:4">
      <c r="D10018" s="16"/>
    </row>
    <row r="10019" spans="4:4">
      <c r="D10019" s="16"/>
    </row>
    <row r="10020" spans="4:4">
      <c r="D10020" s="16"/>
    </row>
    <row r="10021" spans="4:4">
      <c r="D10021" s="16"/>
    </row>
    <row r="10022" spans="4:4">
      <c r="D10022" s="16"/>
    </row>
    <row r="10023" spans="4:4">
      <c r="D10023" s="16"/>
    </row>
    <row r="10024" spans="4:4">
      <c r="D10024" s="16"/>
    </row>
    <row r="10025" spans="4:4">
      <c r="D10025" s="16"/>
    </row>
    <row r="10026" spans="4:4">
      <c r="D10026" s="16"/>
    </row>
    <row r="10027" spans="4:4">
      <c r="D10027" s="16"/>
    </row>
    <row r="10028" spans="4:4">
      <c r="D10028" s="16"/>
    </row>
    <row r="10029" spans="4:4">
      <c r="D10029" s="16"/>
    </row>
    <row r="10030" spans="4:4">
      <c r="D10030" s="16"/>
    </row>
    <row r="10031" spans="4:4">
      <c r="D10031" s="16"/>
    </row>
    <row r="10032" spans="4:4">
      <c r="D10032" s="16"/>
    </row>
    <row r="10033" spans="4:4">
      <c r="D10033" s="16"/>
    </row>
    <row r="10034" spans="4:4">
      <c r="D10034" s="16"/>
    </row>
    <row r="10035" spans="4:4">
      <c r="D10035" s="16"/>
    </row>
    <row r="10036" spans="4:4">
      <c r="D10036" s="16"/>
    </row>
    <row r="10037" spans="4:4">
      <c r="D10037" s="16"/>
    </row>
    <row r="10038" spans="4:4">
      <c r="D10038" s="16"/>
    </row>
    <row r="10039" spans="4:4">
      <c r="D10039" s="16"/>
    </row>
    <row r="10040" spans="4:4">
      <c r="D10040" s="16"/>
    </row>
    <row r="10041" spans="4:4">
      <c r="D10041" s="16"/>
    </row>
    <row r="10042" spans="4:4">
      <c r="D10042" s="16"/>
    </row>
    <row r="10043" spans="4:4">
      <c r="D10043" s="16"/>
    </row>
    <row r="10044" spans="4:4">
      <c r="D10044" s="16"/>
    </row>
    <row r="10045" spans="4:4">
      <c r="D10045" s="16"/>
    </row>
    <row r="10046" spans="4:4">
      <c r="D10046" s="16"/>
    </row>
    <row r="10047" spans="4:4">
      <c r="D10047" s="16"/>
    </row>
    <row r="10048" spans="4:4">
      <c r="D10048" s="16"/>
    </row>
    <row r="10049" spans="4:4">
      <c r="D10049" s="16"/>
    </row>
    <row r="10050" spans="4:4">
      <c r="D10050" s="16"/>
    </row>
    <row r="10051" spans="4:4">
      <c r="D10051" s="16"/>
    </row>
    <row r="10052" spans="4:4">
      <c r="D10052" s="16"/>
    </row>
    <row r="10053" spans="4:4">
      <c r="D10053" s="16"/>
    </row>
    <row r="10054" spans="4:4">
      <c r="D10054" s="16"/>
    </row>
    <row r="10055" spans="4:4">
      <c r="D10055" s="16"/>
    </row>
    <row r="10056" spans="4:4">
      <c r="D10056" s="16"/>
    </row>
    <row r="10057" spans="4:4">
      <c r="D10057" s="16"/>
    </row>
    <row r="10058" spans="4:4">
      <c r="D10058" s="16"/>
    </row>
    <row r="10059" spans="4:4">
      <c r="D10059" s="16"/>
    </row>
    <row r="10060" spans="4:4">
      <c r="D10060" s="16"/>
    </row>
    <row r="10061" spans="4:4">
      <c r="D10061" s="16"/>
    </row>
    <row r="10062" spans="4:4">
      <c r="D10062" s="16"/>
    </row>
    <row r="10063" spans="4:4">
      <c r="D10063" s="16"/>
    </row>
    <row r="10064" spans="4:4">
      <c r="D10064" s="16"/>
    </row>
    <row r="10065" spans="4:4">
      <c r="D10065" s="16"/>
    </row>
    <row r="10066" spans="4:4">
      <c r="D10066" s="16"/>
    </row>
    <row r="10067" spans="4:4">
      <c r="D10067" s="16"/>
    </row>
    <row r="10068" spans="4:4">
      <c r="D10068" s="16"/>
    </row>
    <row r="10069" spans="4:4">
      <c r="D10069" s="16"/>
    </row>
    <row r="10070" spans="4:4">
      <c r="D10070" s="16"/>
    </row>
    <row r="10071" spans="4:4">
      <c r="D10071" s="16"/>
    </row>
    <row r="10072" spans="4:4">
      <c r="D10072" s="16"/>
    </row>
    <row r="10073" spans="4:4">
      <c r="D10073" s="16"/>
    </row>
    <row r="10074" spans="4:4">
      <c r="D10074" s="16"/>
    </row>
    <row r="10075" spans="4:4">
      <c r="D10075" s="16"/>
    </row>
    <row r="10076" spans="4:4">
      <c r="D10076" s="16"/>
    </row>
    <row r="10077" spans="4:4">
      <c r="D10077" s="16"/>
    </row>
    <row r="10078" spans="4:4">
      <c r="D10078" s="16"/>
    </row>
    <row r="10079" spans="4:4">
      <c r="D10079" s="16"/>
    </row>
    <row r="10080" spans="4:4">
      <c r="D10080" s="16"/>
    </row>
    <row r="10081" spans="4:4">
      <c r="D10081" s="16"/>
    </row>
    <row r="10082" spans="4:4">
      <c r="D10082" s="16"/>
    </row>
    <row r="10083" spans="4:4">
      <c r="D10083" s="16"/>
    </row>
    <row r="10084" spans="4:4">
      <c r="D10084" s="16"/>
    </row>
    <row r="10085" spans="4:4">
      <c r="D10085" s="16"/>
    </row>
    <row r="10086" spans="4:4">
      <c r="D10086" s="16"/>
    </row>
    <row r="10087" spans="4:4">
      <c r="D10087" s="16"/>
    </row>
    <row r="10088" spans="4:4">
      <c r="D10088" s="16"/>
    </row>
    <row r="10089" spans="4:4">
      <c r="D10089" s="16"/>
    </row>
    <row r="10090" spans="4:4">
      <c r="D10090" s="16"/>
    </row>
    <row r="10091" spans="4:4">
      <c r="D10091" s="16"/>
    </row>
    <row r="10092" spans="4:4">
      <c r="D10092" s="16"/>
    </row>
    <row r="10093" spans="4:4">
      <c r="D10093" s="16"/>
    </row>
    <row r="10094" spans="4:4">
      <c r="D10094" s="16"/>
    </row>
    <row r="10095" spans="4:4">
      <c r="D10095" s="16"/>
    </row>
    <row r="10096" spans="4:4">
      <c r="D10096" s="16"/>
    </row>
    <row r="10097" spans="4:4">
      <c r="D10097" s="16"/>
    </row>
    <row r="10098" spans="4:4">
      <c r="D10098" s="16"/>
    </row>
    <row r="10099" spans="4:4">
      <c r="D10099" s="16"/>
    </row>
    <row r="10100" spans="4:4">
      <c r="D10100" s="16"/>
    </row>
    <row r="10101" spans="4:4">
      <c r="D10101" s="16"/>
    </row>
    <row r="10102" spans="4:4">
      <c r="D10102" s="16"/>
    </row>
    <row r="10103" spans="4:4">
      <c r="D10103" s="16"/>
    </row>
    <row r="10104" spans="4:4">
      <c r="D10104" s="16"/>
    </row>
    <row r="10105" spans="4:4">
      <c r="D10105" s="16"/>
    </row>
    <row r="10106" spans="4:4">
      <c r="D10106" s="16"/>
    </row>
    <row r="10107" spans="4:4">
      <c r="D10107" s="16"/>
    </row>
    <row r="10108" spans="4:4">
      <c r="D10108" s="16"/>
    </row>
    <row r="10109" spans="4:4">
      <c r="D10109" s="16"/>
    </row>
    <row r="10110" spans="4:4">
      <c r="D10110" s="16"/>
    </row>
    <row r="10111" spans="4:4">
      <c r="D10111" s="16"/>
    </row>
    <row r="10112" spans="4:4">
      <c r="D10112" s="16"/>
    </row>
    <row r="10113" spans="4:4">
      <c r="D10113" s="16"/>
    </row>
    <row r="10114" spans="4:4">
      <c r="D10114" s="16"/>
    </row>
    <row r="10115" spans="4:4">
      <c r="D10115" s="16"/>
    </row>
    <row r="10116" spans="4:4">
      <c r="D10116" s="16"/>
    </row>
    <row r="10117" spans="4:4">
      <c r="D10117" s="16"/>
    </row>
    <row r="10118" spans="4:4">
      <c r="D10118" s="16"/>
    </row>
    <row r="10119" spans="4:4">
      <c r="D10119" s="16"/>
    </row>
    <row r="10120" spans="4:4">
      <c r="D10120" s="16"/>
    </row>
    <row r="10121" spans="4:4">
      <c r="D10121" s="16"/>
    </row>
    <row r="10122" spans="4:4">
      <c r="D10122" s="16"/>
    </row>
    <row r="10123" spans="4:4">
      <c r="D10123" s="16"/>
    </row>
    <row r="10124" spans="4:4">
      <c r="D10124" s="16"/>
    </row>
    <row r="10125" spans="4:4">
      <c r="D10125" s="16"/>
    </row>
    <row r="10126" spans="4:4">
      <c r="D10126" s="16"/>
    </row>
    <row r="10127" spans="4:4">
      <c r="D10127" s="16"/>
    </row>
    <row r="10128" spans="4:4">
      <c r="D10128" s="16"/>
    </row>
    <row r="10129" spans="4:4">
      <c r="D10129" s="16"/>
    </row>
    <row r="10130" spans="4:4">
      <c r="D10130" s="16"/>
    </row>
    <row r="10131" spans="4:4">
      <c r="D10131" s="16"/>
    </row>
    <row r="10132" spans="4:4">
      <c r="D10132" s="16"/>
    </row>
    <row r="10133" spans="4:4">
      <c r="D10133" s="16"/>
    </row>
    <row r="10134" spans="4:4">
      <c r="D10134" s="16"/>
    </row>
    <row r="10135" spans="4:4">
      <c r="D10135" s="16"/>
    </row>
    <row r="10136" spans="4:4">
      <c r="D10136" s="16"/>
    </row>
    <row r="10137" spans="4:4">
      <c r="D10137" s="16"/>
    </row>
    <row r="10138" spans="4:4">
      <c r="D10138" s="16"/>
    </row>
    <row r="10139" spans="4:4">
      <c r="D10139" s="16"/>
    </row>
    <row r="10140" spans="4:4">
      <c r="D10140" s="16"/>
    </row>
    <row r="10141" spans="4:4">
      <c r="D10141" s="16"/>
    </row>
    <row r="10142" spans="4:4">
      <c r="D10142" s="16"/>
    </row>
    <row r="10143" spans="4:4">
      <c r="D10143" s="16"/>
    </row>
    <row r="10144" spans="4:4">
      <c r="D10144" s="16"/>
    </row>
    <row r="10145" spans="4:4">
      <c r="D10145" s="16"/>
    </row>
    <row r="10146" spans="4:4">
      <c r="D10146" s="16"/>
    </row>
    <row r="10147" spans="4:4">
      <c r="D10147" s="16"/>
    </row>
    <row r="10148" spans="4:4">
      <c r="D10148" s="16"/>
    </row>
    <row r="10149" spans="4:4">
      <c r="D10149" s="16"/>
    </row>
    <row r="10150" spans="4:4">
      <c r="D10150" s="16"/>
    </row>
    <row r="10151" spans="4:4">
      <c r="D10151" s="16"/>
    </row>
    <row r="10152" spans="4:4">
      <c r="D10152" s="16"/>
    </row>
    <row r="10153" spans="4:4">
      <c r="D10153" s="16"/>
    </row>
    <row r="10154" spans="4:4">
      <c r="D10154" s="16"/>
    </row>
    <row r="10155" spans="4:4">
      <c r="D10155" s="16"/>
    </row>
    <row r="10156" spans="4:4">
      <c r="D10156" s="16"/>
    </row>
    <row r="10157" spans="4:4">
      <c r="D10157" s="16"/>
    </row>
    <row r="10158" spans="4:4">
      <c r="D10158" s="16"/>
    </row>
    <row r="10159" spans="4:4">
      <c r="D10159" s="16"/>
    </row>
    <row r="10160" spans="4:4">
      <c r="D10160" s="16"/>
    </row>
    <row r="10161" spans="4:4">
      <c r="D10161" s="16"/>
    </row>
    <row r="10162" spans="4:4">
      <c r="D10162" s="16"/>
    </row>
    <row r="10163" spans="4:4">
      <c r="D10163" s="16"/>
    </row>
    <row r="10164" spans="4:4">
      <c r="D10164" s="16"/>
    </row>
    <row r="10165" spans="4:4">
      <c r="D10165" s="16"/>
    </row>
    <row r="10166" spans="4:4">
      <c r="D10166" s="16"/>
    </row>
    <row r="10167" spans="4:4">
      <c r="D10167" s="16"/>
    </row>
    <row r="10168" spans="4:4">
      <c r="D10168" s="16"/>
    </row>
    <row r="10169" spans="4:4">
      <c r="D10169" s="16"/>
    </row>
    <row r="10170" spans="4:4">
      <c r="D10170" s="16"/>
    </row>
    <row r="10171" spans="4:4">
      <c r="D10171" s="16"/>
    </row>
    <row r="10172" spans="4:4">
      <c r="D10172" s="16"/>
    </row>
    <row r="10173" spans="4:4">
      <c r="D10173" s="16"/>
    </row>
    <row r="10174" spans="4:4">
      <c r="D10174" s="16"/>
    </row>
    <row r="10175" spans="4:4">
      <c r="D10175" s="16"/>
    </row>
    <row r="10176" spans="4:4">
      <c r="D10176" s="16"/>
    </row>
    <row r="10177" spans="4:4">
      <c r="D10177" s="16"/>
    </row>
    <row r="10178" spans="4:4">
      <c r="D10178" s="16"/>
    </row>
    <row r="10179" spans="4:4">
      <c r="D10179" s="16"/>
    </row>
    <row r="10180" spans="4:4">
      <c r="D10180" s="16"/>
    </row>
    <row r="10181" spans="4:4">
      <c r="D10181" s="16"/>
    </row>
    <row r="10182" spans="4:4">
      <c r="D10182" s="16"/>
    </row>
    <row r="10183" spans="4:4">
      <c r="D10183" s="16"/>
    </row>
    <row r="10184" spans="4:4">
      <c r="D10184" s="16"/>
    </row>
    <row r="10185" spans="4:4">
      <c r="D10185" s="16"/>
    </row>
    <row r="10186" spans="4:4">
      <c r="D10186" s="16"/>
    </row>
    <row r="10187" spans="4:4">
      <c r="D10187" s="16"/>
    </row>
    <row r="10188" spans="4:4">
      <c r="D10188" s="16"/>
    </row>
    <row r="10189" spans="4:4">
      <c r="D10189" s="16"/>
    </row>
    <row r="10190" spans="4:4">
      <c r="D10190" s="16"/>
    </row>
    <row r="10191" spans="4:4">
      <c r="D10191" s="16"/>
    </row>
    <row r="10192" spans="4:4">
      <c r="D10192" s="16"/>
    </row>
    <row r="10193" spans="4:4">
      <c r="D10193" s="16"/>
    </row>
    <row r="10194" spans="4:4">
      <c r="D10194" s="16"/>
    </row>
    <row r="10195" spans="4:4">
      <c r="D10195" s="16"/>
    </row>
    <row r="10196" spans="4:4">
      <c r="D10196" s="16"/>
    </row>
    <row r="10197" spans="4:4">
      <c r="D10197" s="16"/>
    </row>
    <row r="10198" spans="4:4">
      <c r="D10198" s="16"/>
    </row>
    <row r="10199" spans="4:4">
      <c r="D10199" s="16"/>
    </row>
    <row r="10200" spans="4:4">
      <c r="D10200" s="16"/>
    </row>
    <row r="10201" spans="4:4">
      <c r="D10201" s="16"/>
    </row>
    <row r="10202" spans="4:4">
      <c r="D10202" s="16"/>
    </row>
    <row r="10203" spans="4:4">
      <c r="D10203" s="16"/>
    </row>
    <row r="10204" spans="4:4">
      <c r="D10204" s="16"/>
    </row>
    <row r="10205" spans="4:4">
      <c r="D10205" s="16"/>
    </row>
    <row r="10206" spans="4:4">
      <c r="D10206" s="16"/>
    </row>
    <row r="10207" spans="4:4">
      <c r="D10207" s="16"/>
    </row>
    <row r="10208" spans="4:4">
      <c r="D10208" s="16"/>
    </row>
    <row r="10209" spans="4:4">
      <c r="D10209" s="16"/>
    </row>
    <row r="10210" spans="4:4">
      <c r="D10210" s="16"/>
    </row>
    <row r="10211" spans="4:4">
      <c r="D10211" s="16"/>
    </row>
    <row r="10212" spans="4:4">
      <c r="D10212" s="16"/>
    </row>
    <row r="10213" spans="4:4">
      <c r="D10213" s="16"/>
    </row>
    <row r="10214" spans="4:4">
      <c r="D10214" s="16"/>
    </row>
    <row r="10215" spans="4:4">
      <c r="D10215" s="16"/>
    </row>
    <row r="10216" spans="4:4">
      <c r="D10216" s="16"/>
    </row>
    <row r="10217" spans="4:4">
      <c r="D10217" s="16"/>
    </row>
    <row r="10218" spans="4:4">
      <c r="D10218" s="16"/>
    </row>
    <row r="10219" spans="4:4">
      <c r="D10219" s="16"/>
    </row>
    <row r="10220" spans="4:4">
      <c r="D10220" s="16"/>
    </row>
    <row r="10221" spans="4:4">
      <c r="D10221" s="16"/>
    </row>
    <row r="10222" spans="4:4">
      <c r="D10222" s="16"/>
    </row>
    <row r="10223" spans="4:4">
      <c r="D10223" s="16"/>
    </row>
    <row r="10224" spans="4:4">
      <c r="D10224" s="16"/>
    </row>
    <row r="10225" spans="4:4">
      <c r="D10225" s="16"/>
    </row>
    <row r="10226" spans="4:4">
      <c r="D10226" s="16"/>
    </row>
    <row r="10227" spans="4:4">
      <c r="D10227" s="16"/>
    </row>
    <row r="10228" spans="4:4">
      <c r="D10228" s="16"/>
    </row>
    <row r="10229" spans="4:4">
      <c r="D10229" s="16"/>
    </row>
    <row r="10230" spans="4:4">
      <c r="D10230" s="16"/>
    </row>
    <row r="10231" spans="4:4">
      <c r="D10231" s="16"/>
    </row>
    <row r="10232" spans="4:4">
      <c r="D10232" s="16"/>
    </row>
    <row r="10233" spans="4:4">
      <c r="D10233" s="16"/>
    </row>
    <row r="10234" spans="4:4">
      <c r="D10234" s="16"/>
    </row>
    <row r="10235" spans="4:4">
      <c r="D10235" s="16"/>
    </row>
    <row r="10236" spans="4:4">
      <c r="D10236" s="16"/>
    </row>
    <row r="10237" spans="4:4">
      <c r="D10237" s="16"/>
    </row>
    <row r="10238" spans="4:4">
      <c r="D10238" s="16"/>
    </row>
    <row r="10239" spans="4:4">
      <c r="D10239" s="16"/>
    </row>
    <row r="10240" spans="4:4">
      <c r="D10240" s="16"/>
    </row>
    <row r="10241" spans="4:4">
      <c r="D10241" s="16"/>
    </row>
    <row r="10242" spans="4:4">
      <c r="D10242" s="16"/>
    </row>
    <row r="10243" spans="4:4">
      <c r="D10243" s="16"/>
    </row>
    <row r="10244" spans="4:4">
      <c r="D10244" s="16"/>
    </row>
    <row r="10245" spans="4:4">
      <c r="D10245" s="16"/>
    </row>
    <row r="10246" spans="4:4">
      <c r="D10246" s="16"/>
    </row>
    <row r="10247" spans="4:4">
      <c r="D10247" s="16"/>
    </row>
    <row r="10248" spans="4:4">
      <c r="D10248" s="16"/>
    </row>
    <row r="10249" spans="4:4">
      <c r="D10249" s="16"/>
    </row>
    <row r="10250" spans="4:4">
      <c r="D10250" s="16"/>
    </row>
    <row r="10251" spans="4:4">
      <c r="D10251" s="16"/>
    </row>
    <row r="10252" spans="4:4">
      <c r="D10252" s="16"/>
    </row>
    <row r="10253" spans="4:4">
      <c r="D10253" s="16"/>
    </row>
    <row r="10254" spans="4:4">
      <c r="D10254" s="16"/>
    </row>
    <row r="10255" spans="4:4">
      <c r="D10255" s="16"/>
    </row>
    <row r="10256" spans="4:4">
      <c r="D10256" s="16"/>
    </row>
    <row r="10257" spans="4:4">
      <c r="D10257" s="16"/>
    </row>
    <row r="10258" spans="4:4">
      <c r="D10258" s="16"/>
    </row>
    <row r="10259" spans="4:4">
      <c r="D10259" s="16"/>
    </row>
    <row r="10260" spans="4:4">
      <c r="D10260" s="16"/>
    </row>
    <row r="10261" spans="4:4">
      <c r="D10261" s="16"/>
    </row>
    <row r="10262" spans="4:4">
      <c r="D10262" s="16"/>
    </row>
    <row r="10263" spans="4:4">
      <c r="D10263" s="16"/>
    </row>
    <row r="10264" spans="4:4">
      <c r="D10264" s="16"/>
    </row>
    <row r="10265" spans="4:4">
      <c r="D10265" s="16"/>
    </row>
    <row r="10266" spans="4:4">
      <c r="D10266" s="16"/>
    </row>
    <row r="10267" spans="4:4">
      <c r="D10267" s="16"/>
    </row>
    <row r="10268" spans="4:4">
      <c r="D10268" s="16"/>
    </row>
    <row r="10269" spans="4:4">
      <c r="D10269" s="16"/>
    </row>
    <row r="10270" spans="4:4">
      <c r="D10270" s="16"/>
    </row>
    <row r="10271" spans="4:4">
      <c r="D10271" s="16"/>
    </row>
    <row r="10272" spans="4:4">
      <c r="D10272" s="16"/>
    </row>
    <row r="10273" spans="4:4">
      <c r="D10273" s="16"/>
    </row>
    <row r="10274" spans="4:4">
      <c r="D10274" s="16"/>
    </row>
    <row r="10275" spans="4:4">
      <c r="D10275" s="16"/>
    </row>
    <row r="10276" spans="4:4">
      <c r="D10276" s="16"/>
    </row>
    <row r="10277" spans="4:4">
      <c r="D10277" s="16"/>
    </row>
    <row r="10278" spans="4:4">
      <c r="D10278" s="16"/>
    </row>
    <row r="10279" spans="4:4">
      <c r="D10279" s="16"/>
    </row>
    <row r="10280" spans="4:4">
      <c r="D10280" s="16"/>
    </row>
    <row r="10281" spans="4:4">
      <c r="D10281" s="16"/>
    </row>
    <row r="10282" spans="4:4">
      <c r="D10282" s="16"/>
    </row>
    <row r="10283" spans="4:4">
      <c r="D10283" s="16"/>
    </row>
    <row r="10284" spans="4:4">
      <c r="D10284" s="16"/>
    </row>
    <row r="10285" spans="4:4">
      <c r="D10285" s="16"/>
    </row>
    <row r="10286" spans="4:4">
      <c r="D10286" s="16"/>
    </row>
    <row r="10287" spans="4:4">
      <c r="D10287" s="16"/>
    </row>
    <row r="10288" spans="4:4">
      <c r="D10288" s="16"/>
    </row>
    <row r="10289" spans="4:4">
      <c r="D10289" s="16"/>
    </row>
    <row r="10290" spans="4:4">
      <c r="D10290" s="16"/>
    </row>
    <row r="10291" spans="4:4">
      <c r="D10291" s="16"/>
    </row>
    <row r="10292" spans="4:4">
      <c r="D10292" s="16"/>
    </row>
    <row r="10293" spans="4:4">
      <c r="D10293" s="16"/>
    </row>
    <row r="10294" spans="4:4">
      <c r="D10294" s="16"/>
    </row>
    <row r="10295" spans="4:4">
      <c r="D10295" s="16"/>
    </row>
    <row r="10296" spans="4:4">
      <c r="D10296" s="16"/>
    </row>
    <row r="10297" spans="4:4">
      <c r="D10297" s="16"/>
    </row>
    <row r="10298" spans="4:4">
      <c r="D10298" s="16"/>
    </row>
    <row r="10299" spans="4:4">
      <c r="D10299" s="16"/>
    </row>
    <row r="10300" spans="4:4">
      <c r="D10300" s="16"/>
    </row>
    <row r="10301" spans="4:4">
      <c r="D10301" s="16"/>
    </row>
    <row r="10302" spans="4:4">
      <c r="D10302" s="16"/>
    </row>
    <row r="10303" spans="4:4">
      <c r="D10303" s="16"/>
    </row>
    <row r="10304" spans="4:4">
      <c r="D10304" s="16"/>
    </row>
    <row r="10305" spans="4:4">
      <c r="D10305" s="16"/>
    </row>
    <row r="10306" spans="4:4">
      <c r="D10306" s="16"/>
    </row>
    <row r="10307" spans="4:4">
      <c r="D10307" s="16"/>
    </row>
    <row r="10308" spans="4:4">
      <c r="D10308" s="16"/>
    </row>
    <row r="10309" spans="4:4">
      <c r="D10309" s="16"/>
    </row>
    <row r="10310" spans="4:4">
      <c r="D10310" s="16"/>
    </row>
    <row r="10311" spans="4:4">
      <c r="D10311" s="16"/>
    </row>
    <row r="10312" spans="4:4">
      <c r="D10312" s="16"/>
    </row>
    <row r="10313" spans="4:4">
      <c r="D10313" s="16"/>
    </row>
    <row r="10314" spans="4:4">
      <c r="D10314" s="16"/>
    </row>
    <row r="10315" spans="4:4">
      <c r="D10315" s="16"/>
    </row>
    <row r="10316" spans="4:4">
      <c r="D10316" s="16"/>
    </row>
    <row r="10317" spans="4:4">
      <c r="D10317" s="16"/>
    </row>
    <row r="10318" spans="4:4">
      <c r="D10318" s="16"/>
    </row>
    <row r="10319" spans="4:4">
      <c r="D10319" s="16"/>
    </row>
    <row r="10320" spans="4:4">
      <c r="D10320" s="16"/>
    </row>
    <row r="10321" spans="4:4">
      <c r="D10321" s="16"/>
    </row>
    <row r="10322" spans="4:4">
      <c r="D10322" s="16"/>
    </row>
    <row r="10323" spans="4:4">
      <c r="D10323" s="16"/>
    </row>
    <row r="10324" spans="4:4">
      <c r="D10324" s="16"/>
    </row>
    <row r="10325" spans="4:4">
      <c r="D10325" s="16"/>
    </row>
    <row r="10326" spans="4:4">
      <c r="D10326" s="16"/>
    </row>
    <row r="10327" spans="4:4">
      <c r="D10327" s="16"/>
    </row>
    <row r="10328" spans="4:4">
      <c r="D10328" s="16"/>
    </row>
    <row r="10329" spans="4:4">
      <c r="D10329" s="16"/>
    </row>
    <row r="10330" spans="4:4">
      <c r="D10330" s="16"/>
    </row>
    <row r="10331" spans="4:4">
      <c r="D10331" s="16"/>
    </row>
    <row r="10332" spans="4:4">
      <c r="D10332" s="16"/>
    </row>
    <row r="10333" spans="4:4">
      <c r="D10333" s="16"/>
    </row>
    <row r="10334" spans="4:4">
      <c r="D10334" s="16"/>
    </row>
    <row r="10335" spans="4:4">
      <c r="D10335" s="16"/>
    </row>
    <row r="10336" spans="4:4">
      <c r="D10336" s="16"/>
    </row>
    <row r="10337" spans="4:4">
      <c r="D10337" s="16"/>
    </row>
    <row r="10338" spans="4:4">
      <c r="D10338" s="16"/>
    </row>
    <row r="10339" spans="4:4">
      <c r="D10339" s="16"/>
    </row>
    <row r="10340" spans="4:4">
      <c r="D10340" s="16"/>
    </row>
    <row r="10341" spans="4:4">
      <c r="D10341" s="16"/>
    </row>
    <row r="10342" spans="4:4">
      <c r="D10342" s="16"/>
    </row>
    <row r="10343" spans="4:4">
      <c r="D10343" s="16"/>
    </row>
    <row r="10344" spans="4:4">
      <c r="D10344" s="16"/>
    </row>
    <row r="10345" spans="4:4">
      <c r="D10345" s="16"/>
    </row>
    <row r="10346" spans="4:4">
      <c r="D10346" s="16"/>
    </row>
    <row r="10347" spans="4:4">
      <c r="D10347" s="16"/>
    </row>
    <row r="10348" spans="4:4">
      <c r="D10348" s="16"/>
    </row>
    <row r="10349" spans="4:4">
      <c r="D10349" s="16"/>
    </row>
    <row r="10350" spans="4:4">
      <c r="D10350" s="16"/>
    </row>
    <row r="10351" spans="4:4">
      <c r="D10351" s="16"/>
    </row>
    <row r="10352" spans="4:4">
      <c r="D10352" s="16"/>
    </row>
    <row r="10353" spans="4:4">
      <c r="D10353" s="16"/>
    </row>
    <row r="10354" spans="4:4">
      <c r="D10354" s="16"/>
    </row>
    <row r="10355" spans="4:4">
      <c r="D10355" s="16"/>
    </row>
    <row r="10356" spans="4:4">
      <c r="D10356" s="16"/>
    </row>
    <row r="10357" spans="4:4">
      <c r="D10357" s="16"/>
    </row>
    <row r="10358" spans="4:4">
      <c r="D10358" s="16"/>
    </row>
    <row r="10359" spans="4:4">
      <c r="D10359" s="16"/>
    </row>
    <row r="10360" spans="4:4">
      <c r="D10360" s="16"/>
    </row>
    <row r="10361" spans="4:4">
      <c r="D10361" s="16"/>
    </row>
    <row r="10362" spans="4:4">
      <c r="D10362" s="16"/>
    </row>
    <row r="10363" spans="4:4">
      <c r="D10363" s="16"/>
    </row>
    <row r="10364" spans="4:4">
      <c r="D10364" s="16"/>
    </row>
    <row r="10365" spans="4:4">
      <c r="D10365" s="16"/>
    </row>
    <row r="10366" spans="4:4">
      <c r="D10366" s="16"/>
    </row>
    <row r="10367" spans="4:4">
      <c r="D10367" s="16"/>
    </row>
    <row r="10368" spans="4:4">
      <c r="D10368" s="16"/>
    </row>
    <row r="10369" spans="4:4">
      <c r="D10369" s="16"/>
    </row>
    <row r="10370" spans="4:4">
      <c r="D10370" s="16"/>
    </row>
    <row r="10371" spans="4:4">
      <c r="D10371" s="16"/>
    </row>
    <row r="10372" spans="4:4">
      <c r="D10372" s="16"/>
    </row>
    <row r="10373" spans="4:4">
      <c r="D10373" s="16"/>
    </row>
    <row r="10374" spans="4:4">
      <c r="D10374" s="16"/>
    </row>
    <row r="10375" spans="4:4">
      <c r="D10375" s="16"/>
    </row>
    <row r="10376" spans="4:4">
      <c r="D10376" s="16"/>
    </row>
    <row r="10377" spans="4:4">
      <c r="D10377" s="16"/>
    </row>
    <row r="10378" spans="4:4">
      <c r="D10378" s="16"/>
    </row>
    <row r="10379" spans="4:4">
      <c r="D10379" s="16"/>
    </row>
    <row r="10380" spans="4:4">
      <c r="D10380" s="16"/>
    </row>
    <row r="10381" spans="4:4">
      <c r="D10381" s="16"/>
    </row>
    <row r="10382" spans="4:4">
      <c r="D10382" s="16"/>
    </row>
    <row r="10383" spans="4:4">
      <c r="D10383" s="16"/>
    </row>
    <row r="10384" spans="4:4">
      <c r="D10384" s="16"/>
    </row>
    <row r="10385" spans="4:4">
      <c r="D10385" s="16"/>
    </row>
    <row r="10386" spans="4:4">
      <c r="D10386" s="16"/>
    </row>
    <row r="10387" spans="4:4">
      <c r="D10387" s="16"/>
    </row>
    <row r="10388" spans="4:4">
      <c r="D10388" s="16"/>
    </row>
    <row r="10389" spans="4:4">
      <c r="D10389" s="16"/>
    </row>
    <row r="10390" spans="4:4">
      <c r="D10390" s="16"/>
    </row>
    <row r="10391" spans="4:4">
      <c r="D10391" s="16"/>
    </row>
    <row r="10392" spans="4:4">
      <c r="D10392" s="16"/>
    </row>
    <row r="10393" spans="4:4">
      <c r="D10393" s="16"/>
    </row>
    <row r="10394" spans="4:4">
      <c r="D10394" s="16"/>
    </row>
    <row r="10395" spans="4:4">
      <c r="D10395" s="16"/>
    </row>
    <row r="10396" spans="4:4">
      <c r="D10396" s="16"/>
    </row>
    <row r="10397" spans="4:4">
      <c r="D10397" s="16"/>
    </row>
    <row r="10398" spans="4:4">
      <c r="D10398" s="16"/>
    </row>
    <row r="10399" spans="4:4">
      <c r="D10399" s="16"/>
    </row>
    <row r="10400" spans="4:4">
      <c r="D10400" s="16"/>
    </row>
    <row r="10401" spans="4:4">
      <c r="D10401" s="16"/>
    </row>
    <row r="10402" spans="4:4">
      <c r="D10402" s="16"/>
    </row>
    <row r="10403" spans="4:4">
      <c r="D10403" s="16"/>
    </row>
    <row r="10404" spans="4:4">
      <c r="D10404" s="16"/>
    </row>
    <row r="10405" spans="4:4">
      <c r="D10405" s="16"/>
    </row>
    <row r="10406" spans="4:4">
      <c r="D10406" s="16"/>
    </row>
    <row r="10407" spans="4:4">
      <c r="D10407" s="16"/>
    </row>
    <row r="10408" spans="4:4">
      <c r="D10408" s="16"/>
    </row>
    <row r="10409" spans="4:4">
      <c r="D10409" s="16"/>
    </row>
    <row r="10410" spans="4:4">
      <c r="D10410" s="16"/>
    </row>
    <row r="10411" spans="4:4">
      <c r="D10411" s="16"/>
    </row>
    <row r="10412" spans="4:4">
      <c r="D10412" s="16"/>
    </row>
    <row r="10413" spans="4:4">
      <c r="D10413" s="16"/>
    </row>
    <row r="10414" spans="4:4">
      <c r="D10414" s="16"/>
    </row>
    <row r="10415" spans="4:4">
      <c r="D10415" s="16"/>
    </row>
    <row r="10416" spans="4:4">
      <c r="D10416" s="16"/>
    </row>
    <row r="10417" spans="4:4">
      <c r="D10417" s="16"/>
    </row>
    <row r="10418" spans="4:4">
      <c r="D10418" s="16"/>
    </row>
    <row r="10419" spans="4:4">
      <c r="D10419" s="16"/>
    </row>
    <row r="10420" spans="4:4">
      <c r="D10420" s="16"/>
    </row>
    <row r="10421" spans="4:4">
      <c r="D10421" s="16"/>
    </row>
    <row r="10422" spans="4:4">
      <c r="D10422" s="16"/>
    </row>
    <row r="10423" spans="4:4">
      <c r="D10423" s="16"/>
    </row>
    <row r="10424" spans="4:4">
      <c r="D10424" s="16"/>
    </row>
    <row r="10425" spans="4:4">
      <c r="D10425" s="16"/>
    </row>
    <row r="10426" spans="4:4">
      <c r="D10426" s="16"/>
    </row>
    <row r="10427" spans="4:4">
      <c r="D10427" s="16"/>
    </row>
    <row r="10428" spans="4:4">
      <c r="D10428" s="16"/>
    </row>
    <row r="10429" spans="4:4">
      <c r="D10429" s="16"/>
    </row>
    <row r="10430" spans="4:4">
      <c r="D10430" s="16"/>
    </row>
    <row r="10431" spans="4:4">
      <c r="D10431" s="16"/>
    </row>
    <row r="10432" spans="4:4">
      <c r="D10432" s="16"/>
    </row>
    <row r="10433" spans="4:4">
      <c r="D10433" s="16"/>
    </row>
    <row r="10434" spans="4:4">
      <c r="D10434" s="16"/>
    </row>
    <row r="10435" spans="4:4">
      <c r="D10435" s="16"/>
    </row>
    <row r="10436" spans="4:4">
      <c r="D10436" s="16"/>
    </row>
    <row r="10437" spans="4:4">
      <c r="D10437" s="16"/>
    </row>
    <row r="10438" spans="4:4">
      <c r="D10438" s="16"/>
    </row>
    <row r="10439" spans="4:4">
      <c r="D10439" s="16"/>
    </row>
    <row r="10440" spans="4:4">
      <c r="D10440" s="16"/>
    </row>
    <row r="10441" spans="4:4">
      <c r="D10441" s="16"/>
    </row>
    <row r="10442" spans="4:4">
      <c r="D10442" s="16"/>
    </row>
    <row r="10443" spans="4:4">
      <c r="D10443" s="16"/>
    </row>
    <row r="10444" spans="4:4">
      <c r="D10444" s="16"/>
    </row>
    <row r="10445" spans="4:4">
      <c r="D10445" s="16"/>
    </row>
    <row r="10446" spans="4:4">
      <c r="D10446" s="16"/>
    </row>
    <row r="10447" spans="4:4">
      <c r="D10447" s="16"/>
    </row>
    <row r="10448" spans="4:4">
      <c r="D10448" s="16"/>
    </row>
    <row r="10449" spans="4:4">
      <c r="D10449" s="16"/>
    </row>
    <row r="10450" spans="4:4">
      <c r="D10450" s="16"/>
    </row>
    <row r="10451" spans="4:4">
      <c r="D10451" s="16"/>
    </row>
    <row r="10452" spans="4:4">
      <c r="D10452" s="16"/>
    </row>
    <row r="10453" spans="4:4">
      <c r="D10453" s="16"/>
    </row>
    <row r="10454" spans="4:4">
      <c r="D10454" s="16"/>
    </row>
    <row r="10455" spans="4:4">
      <c r="D10455" s="16"/>
    </row>
    <row r="10456" spans="4:4">
      <c r="D10456" s="16"/>
    </row>
    <row r="10457" spans="4:4">
      <c r="D10457" s="16"/>
    </row>
    <row r="10458" spans="4:4">
      <c r="D10458" s="16"/>
    </row>
    <row r="10459" spans="4:4">
      <c r="D10459" s="16"/>
    </row>
    <row r="10460" spans="4:4">
      <c r="D10460" s="16"/>
    </row>
    <row r="10461" spans="4:4">
      <c r="D10461" s="16"/>
    </row>
    <row r="10462" spans="4:4">
      <c r="D10462" s="16"/>
    </row>
    <row r="10463" spans="4:4">
      <c r="D10463" s="16"/>
    </row>
    <row r="10464" spans="4:4">
      <c r="D10464" s="16"/>
    </row>
    <row r="10465" spans="4:4">
      <c r="D10465" s="16"/>
    </row>
    <row r="10466" spans="4:4">
      <c r="D10466" s="16"/>
    </row>
    <row r="10467" spans="4:4">
      <c r="D10467" s="16"/>
    </row>
    <row r="10468" spans="4:4">
      <c r="D10468" s="16"/>
    </row>
    <row r="10469" spans="4:4">
      <c r="D10469" s="16"/>
    </row>
    <row r="10470" spans="4:4">
      <c r="D10470" s="16"/>
    </row>
    <row r="10471" spans="4:4">
      <c r="D10471" s="16"/>
    </row>
    <row r="10472" spans="4:4">
      <c r="D10472" s="16"/>
    </row>
    <row r="10473" spans="4:4">
      <c r="D10473" s="16"/>
    </row>
    <row r="10474" spans="4:4">
      <c r="D10474" s="16"/>
    </row>
    <row r="10475" spans="4:4">
      <c r="D10475" s="16"/>
    </row>
    <row r="10476" spans="4:4">
      <c r="D10476" s="16"/>
    </row>
    <row r="10477" spans="4:4">
      <c r="D10477" s="16"/>
    </row>
    <row r="10478" spans="4:4">
      <c r="D10478" s="16"/>
    </row>
    <row r="10479" spans="4:4">
      <c r="D10479" s="16"/>
    </row>
    <row r="10480" spans="4:4">
      <c r="D10480" s="16"/>
    </row>
    <row r="10481" spans="4:4">
      <c r="D10481" s="16"/>
    </row>
    <row r="10482" spans="4:4">
      <c r="D10482" s="16"/>
    </row>
    <row r="10483" spans="4:4">
      <c r="D10483" s="16"/>
    </row>
    <row r="10484" spans="4:4">
      <c r="D10484" s="16"/>
    </row>
    <row r="10485" spans="4:4">
      <c r="D10485" s="16"/>
    </row>
    <row r="10486" spans="4:4">
      <c r="D10486" s="16"/>
    </row>
    <row r="10487" spans="4:4">
      <c r="D10487" s="16"/>
    </row>
    <row r="10488" spans="4:4">
      <c r="D10488" s="16"/>
    </row>
    <row r="10489" spans="4:4">
      <c r="D10489" s="16"/>
    </row>
    <row r="10490" spans="4:4">
      <c r="D10490" s="16"/>
    </row>
    <row r="10491" spans="4:4">
      <c r="D10491" s="16"/>
    </row>
    <row r="10492" spans="4:4">
      <c r="D10492" s="16"/>
    </row>
    <row r="10493" spans="4:4">
      <c r="D10493" s="16"/>
    </row>
    <row r="10494" spans="4:4">
      <c r="D10494" s="16"/>
    </row>
    <row r="10495" spans="4:4">
      <c r="D10495" s="16"/>
    </row>
    <row r="10496" spans="4:4">
      <c r="D10496" s="16"/>
    </row>
    <row r="10497" spans="4:4">
      <c r="D10497" s="16"/>
    </row>
    <row r="10498" spans="4:4">
      <c r="D10498" s="16"/>
    </row>
    <row r="10499" spans="4:4">
      <c r="D10499" s="16"/>
    </row>
    <row r="10500" spans="4:4">
      <c r="D10500" s="16"/>
    </row>
    <row r="10501" spans="4:4">
      <c r="D10501" s="16"/>
    </row>
    <row r="10502" spans="4:4">
      <c r="D10502" s="16"/>
    </row>
    <row r="10503" spans="4:4">
      <c r="D10503" s="16"/>
    </row>
    <row r="10504" spans="4:4">
      <c r="D10504" s="16"/>
    </row>
    <row r="10505" spans="4:4">
      <c r="D10505" s="16"/>
    </row>
    <row r="10506" spans="4:4">
      <c r="D10506" s="16"/>
    </row>
    <row r="10507" spans="4:4">
      <c r="D10507" s="16"/>
    </row>
    <row r="10508" spans="4:4">
      <c r="D10508" s="16"/>
    </row>
    <row r="10509" spans="4:4">
      <c r="D10509" s="16"/>
    </row>
    <row r="10510" spans="4:4">
      <c r="D10510" s="16"/>
    </row>
    <row r="10511" spans="4:4">
      <c r="D10511" s="16"/>
    </row>
    <row r="10512" spans="4:4">
      <c r="D10512" s="16"/>
    </row>
    <row r="10513" spans="4:4">
      <c r="D10513" s="16"/>
    </row>
    <row r="10514" spans="4:4">
      <c r="D10514" s="16"/>
    </row>
    <row r="10515" spans="4:4">
      <c r="D10515" s="16"/>
    </row>
    <row r="10516" spans="4:4">
      <c r="D10516" s="16"/>
    </row>
    <row r="10517" spans="4:4">
      <c r="D10517" s="16"/>
    </row>
    <row r="10518" spans="4:4">
      <c r="D10518" s="16"/>
    </row>
    <row r="10519" spans="4:4">
      <c r="D10519" s="16"/>
    </row>
    <row r="10520" spans="4:4">
      <c r="D10520" s="16"/>
    </row>
    <row r="10521" spans="4:4">
      <c r="D10521" s="16"/>
    </row>
    <row r="10522" spans="4:4">
      <c r="D10522" s="16"/>
    </row>
    <row r="10523" spans="4:4">
      <c r="D10523" s="16"/>
    </row>
    <row r="10524" spans="4:4">
      <c r="D10524" s="16"/>
    </row>
    <row r="10525" spans="4:4">
      <c r="D10525" s="16"/>
    </row>
    <row r="10526" spans="4:4">
      <c r="D10526" s="16"/>
    </row>
    <row r="10527" spans="4:4">
      <c r="D10527" s="16"/>
    </row>
    <row r="10528" spans="4:4">
      <c r="D10528" s="16"/>
    </row>
    <row r="10529" spans="4:4">
      <c r="D10529" s="16"/>
    </row>
    <row r="10530" spans="4:4">
      <c r="D10530" s="16"/>
    </row>
    <row r="10531" spans="4:4">
      <c r="D10531" s="16"/>
    </row>
    <row r="10532" spans="4:4">
      <c r="D10532" s="16"/>
    </row>
    <row r="10533" spans="4:4">
      <c r="D10533" s="16"/>
    </row>
    <row r="10534" spans="4:4">
      <c r="D10534" s="16"/>
    </row>
    <row r="10535" spans="4:4">
      <c r="D10535" s="16"/>
    </row>
    <row r="10536" spans="4:4">
      <c r="D10536" s="16"/>
    </row>
    <row r="10537" spans="4:4">
      <c r="D10537" s="16"/>
    </row>
    <row r="10538" spans="4:4">
      <c r="D10538" s="16"/>
    </row>
    <row r="10539" spans="4:4">
      <c r="D10539" s="16"/>
    </row>
    <row r="10540" spans="4:4">
      <c r="D10540" s="16"/>
    </row>
    <row r="10541" spans="4:4">
      <c r="D10541" s="16"/>
    </row>
    <row r="10542" spans="4:4">
      <c r="D10542" s="16"/>
    </row>
    <row r="10543" spans="4:4">
      <c r="D10543" s="16"/>
    </row>
    <row r="10544" spans="4:4">
      <c r="D10544" s="16"/>
    </row>
    <row r="10545" spans="4:4">
      <c r="D10545" s="16"/>
    </row>
    <row r="10546" spans="4:4">
      <c r="D10546" s="16"/>
    </row>
    <row r="10547" spans="4:4">
      <c r="D10547" s="16"/>
    </row>
    <row r="10548" spans="4:4">
      <c r="D10548" s="16"/>
    </row>
    <row r="10549" spans="4:4">
      <c r="D10549" s="16"/>
    </row>
    <row r="10550" spans="4:4">
      <c r="D10550" s="16"/>
    </row>
    <row r="10551" spans="4:4">
      <c r="D10551" s="16"/>
    </row>
    <row r="10552" spans="4:4">
      <c r="D10552" s="16"/>
    </row>
    <row r="10553" spans="4:4">
      <c r="D10553" s="16"/>
    </row>
    <row r="10554" spans="4:4">
      <c r="D10554" s="16"/>
    </row>
    <row r="10555" spans="4:4">
      <c r="D10555" s="16"/>
    </row>
    <row r="10556" spans="4:4">
      <c r="D10556" s="16"/>
    </row>
    <row r="10557" spans="4:4">
      <c r="D10557" s="16"/>
    </row>
    <row r="10558" spans="4:4">
      <c r="D10558" s="16"/>
    </row>
    <row r="10559" spans="4:4">
      <c r="D10559" s="16"/>
    </row>
    <row r="10560" spans="4:4">
      <c r="D10560" s="16"/>
    </row>
    <row r="10561" spans="4:4">
      <c r="D10561" s="16"/>
    </row>
    <row r="10562" spans="4:4">
      <c r="D10562" s="16"/>
    </row>
    <row r="10563" spans="4:4">
      <c r="D10563" s="16"/>
    </row>
    <row r="10564" spans="4:4">
      <c r="D10564" s="16"/>
    </row>
    <row r="10565" spans="4:4">
      <c r="D10565" s="16"/>
    </row>
    <row r="10566" spans="4:4">
      <c r="D10566" s="16"/>
    </row>
    <row r="10567" spans="4:4">
      <c r="D10567" s="16"/>
    </row>
    <row r="10568" spans="4:4">
      <c r="D10568" s="16"/>
    </row>
    <row r="10569" spans="4:4">
      <c r="D10569" s="16"/>
    </row>
    <row r="10570" spans="4:4">
      <c r="D10570" s="16"/>
    </row>
    <row r="10571" spans="4:4">
      <c r="D10571" s="16"/>
    </row>
    <row r="10572" spans="4:4">
      <c r="D10572" s="16"/>
    </row>
    <row r="10573" spans="4:4">
      <c r="D10573" s="16"/>
    </row>
    <row r="10574" spans="4:4">
      <c r="D10574" s="16"/>
    </row>
    <row r="10575" spans="4:4">
      <c r="D10575" s="16"/>
    </row>
    <row r="10576" spans="4:4">
      <c r="D10576" s="16"/>
    </row>
    <row r="10577" spans="4:4">
      <c r="D10577" s="16"/>
    </row>
    <row r="10578" spans="4:4">
      <c r="D10578" s="16"/>
    </row>
    <row r="10579" spans="4:4">
      <c r="D10579" s="16"/>
    </row>
    <row r="10580" spans="4:4">
      <c r="D10580" s="16"/>
    </row>
    <row r="10581" spans="4:4">
      <c r="D10581" s="16"/>
    </row>
    <row r="10582" spans="4:4">
      <c r="D10582" s="16"/>
    </row>
    <row r="10583" spans="4:4">
      <c r="D10583" s="16"/>
    </row>
    <row r="10584" spans="4:4">
      <c r="D10584" s="16"/>
    </row>
    <row r="10585" spans="4:4">
      <c r="D10585" s="16"/>
    </row>
    <row r="10586" spans="4:4">
      <c r="D10586" s="16"/>
    </row>
    <row r="10587" spans="4:4">
      <c r="D10587" s="16"/>
    </row>
    <row r="10588" spans="4:4">
      <c r="D10588" s="16"/>
    </row>
    <row r="10589" spans="4:4">
      <c r="D10589" s="16"/>
    </row>
    <row r="10590" spans="4:4">
      <c r="D10590" s="16"/>
    </row>
    <row r="10591" spans="4:4">
      <c r="D10591" s="16"/>
    </row>
    <row r="10592" spans="4:4">
      <c r="D10592" s="16"/>
    </row>
    <row r="10593" spans="4:4">
      <c r="D10593" s="16"/>
    </row>
    <row r="10594" spans="4:4">
      <c r="D10594" s="16"/>
    </row>
    <row r="10595" spans="4:4">
      <c r="D10595" s="16"/>
    </row>
    <row r="10596" spans="4:4">
      <c r="D10596" s="16"/>
    </row>
    <row r="10597" spans="4:4">
      <c r="D10597" s="16"/>
    </row>
    <row r="10598" spans="4:4">
      <c r="D10598" s="16"/>
    </row>
    <row r="10599" spans="4:4">
      <c r="D10599" s="16"/>
    </row>
    <row r="10600" spans="4:4">
      <c r="D10600" s="16"/>
    </row>
    <row r="10601" spans="4:4">
      <c r="D10601" s="16"/>
    </row>
    <row r="10602" spans="4:4">
      <c r="D10602" s="16"/>
    </row>
    <row r="10603" spans="4:4">
      <c r="D10603" s="16"/>
    </row>
    <row r="10604" spans="4:4">
      <c r="D10604" s="16"/>
    </row>
    <row r="10605" spans="4:4">
      <c r="D10605" s="16"/>
    </row>
    <row r="10606" spans="4:4">
      <c r="D10606" s="16"/>
    </row>
    <row r="10607" spans="4:4">
      <c r="D10607" s="16"/>
    </row>
    <row r="10608" spans="4:4">
      <c r="D10608" s="16"/>
    </row>
    <row r="10609" spans="4:4">
      <c r="D10609" s="16"/>
    </row>
    <row r="10610" spans="4:4">
      <c r="D10610" s="16"/>
    </row>
    <row r="10611" spans="4:4">
      <c r="D10611" s="16"/>
    </row>
    <row r="10612" spans="4:4">
      <c r="D10612" s="16"/>
    </row>
    <row r="10613" spans="4:4">
      <c r="D10613" s="16"/>
    </row>
    <row r="10614" spans="4:4">
      <c r="D10614" s="16"/>
    </row>
    <row r="10615" spans="4:4">
      <c r="D10615" s="16"/>
    </row>
    <row r="10616" spans="4:4">
      <c r="D10616" s="16"/>
    </row>
    <row r="10617" spans="4:4">
      <c r="D10617" s="16"/>
    </row>
    <row r="10618" spans="4:4">
      <c r="D10618" s="16"/>
    </row>
    <row r="10619" spans="4:4">
      <c r="D10619" s="16"/>
    </row>
    <row r="10620" spans="4:4">
      <c r="D10620" s="16"/>
    </row>
    <row r="10621" spans="4:4">
      <c r="D10621" s="16"/>
    </row>
    <row r="10622" spans="4:4">
      <c r="D10622" s="16"/>
    </row>
    <row r="10623" spans="4:4">
      <c r="D10623" s="16"/>
    </row>
    <row r="10624" spans="4:4">
      <c r="D10624" s="16"/>
    </row>
    <row r="10625" spans="4:4">
      <c r="D10625" s="16"/>
    </row>
    <row r="10626" spans="4:4">
      <c r="D10626" s="16"/>
    </row>
    <row r="10627" spans="4:4">
      <c r="D10627" s="16"/>
    </row>
    <row r="10628" spans="4:4">
      <c r="D10628" s="16"/>
    </row>
    <row r="10629" spans="4:4">
      <c r="D10629" s="16"/>
    </row>
    <row r="10630" spans="4:4">
      <c r="D10630" s="16"/>
    </row>
    <row r="10631" spans="4:4">
      <c r="D10631" s="16"/>
    </row>
    <row r="10632" spans="4:4">
      <c r="D10632" s="16"/>
    </row>
    <row r="10633" spans="4:4">
      <c r="D10633" s="16"/>
    </row>
    <row r="10634" spans="4:4">
      <c r="D10634" s="16"/>
    </row>
    <row r="10635" spans="4:4">
      <c r="D10635" s="16"/>
    </row>
    <row r="10636" spans="4:4">
      <c r="D10636" s="16"/>
    </row>
    <row r="10637" spans="4:4">
      <c r="D10637" s="16"/>
    </row>
    <row r="10638" spans="4:4">
      <c r="D10638" s="16"/>
    </row>
    <row r="10639" spans="4:4">
      <c r="D10639" s="16"/>
    </row>
    <row r="10640" spans="4:4">
      <c r="D10640" s="16"/>
    </row>
    <row r="10641" spans="4:4">
      <c r="D10641" s="16"/>
    </row>
    <row r="10642" spans="4:4">
      <c r="D10642" s="16"/>
    </row>
    <row r="10643" spans="4:4">
      <c r="D10643" s="16"/>
    </row>
    <row r="10644" spans="4:4">
      <c r="D10644" s="16"/>
    </row>
    <row r="10645" spans="4:4">
      <c r="D10645" s="16"/>
    </row>
    <row r="10646" spans="4:4">
      <c r="D10646" s="16"/>
    </row>
    <row r="10647" spans="4:4">
      <c r="D10647" s="16"/>
    </row>
    <row r="10648" spans="4:4">
      <c r="D10648" s="16"/>
    </row>
    <row r="10649" spans="4:4">
      <c r="D10649" s="16"/>
    </row>
    <row r="10650" spans="4:4">
      <c r="D10650" s="16"/>
    </row>
    <row r="10651" spans="4:4">
      <c r="D10651" s="16"/>
    </row>
    <row r="10652" spans="4:4">
      <c r="D10652" s="16"/>
    </row>
    <row r="10653" spans="4:4">
      <c r="D10653" s="16"/>
    </row>
    <row r="10654" spans="4:4">
      <c r="D10654" s="16"/>
    </row>
    <row r="10655" spans="4:4">
      <c r="D10655" s="16"/>
    </row>
    <row r="10656" spans="4:4">
      <c r="D10656" s="16"/>
    </row>
    <row r="10657" spans="4:4">
      <c r="D10657" s="16"/>
    </row>
    <row r="10658" spans="4:4">
      <c r="D10658" s="16"/>
    </row>
    <row r="10659" spans="4:4">
      <c r="D10659" s="16"/>
    </row>
    <row r="10660" spans="4:4">
      <c r="D10660" s="16"/>
    </row>
    <row r="10661" spans="4:4">
      <c r="D10661" s="16"/>
    </row>
    <row r="10662" spans="4:4">
      <c r="D10662" s="16"/>
    </row>
    <row r="10663" spans="4:4">
      <c r="D10663" s="16"/>
    </row>
    <row r="10664" spans="4:4">
      <c r="D10664" s="16"/>
    </row>
    <row r="10665" spans="4:4">
      <c r="D10665" s="16"/>
    </row>
    <row r="10666" spans="4:4">
      <c r="D10666" s="16"/>
    </row>
    <row r="10667" spans="4:4">
      <c r="D10667" s="16"/>
    </row>
    <row r="10668" spans="4:4">
      <c r="D10668" s="16"/>
    </row>
    <row r="10669" spans="4:4">
      <c r="D10669" s="16"/>
    </row>
    <row r="10670" spans="4:4">
      <c r="D10670" s="16"/>
    </row>
    <row r="10671" spans="4:4">
      <c r="D10671" s="16"/>
    </row>
    <row r="10672" spans="4:4">
      <c r="D10672" s="16"/>
    </row>
    <row r="10673" spans="4:4">
      <c r="D10673" s="16"/>
    </row>
    <row r="10674" spans="4:4">
      <c r="D10674" s="16"/>
    </row>
    <row r="10675" spans="4:4">
      <c r="D10675" s="16"/>
    </row>
    <row r="10676" spans="4:4">
      <c r="D10676" s="16"/>
    </row>
    <row r="10677" spans="4:4">
      <c r="D10677" s="16"/>
    </row>
    <row r="10678" spans="4:4">
      <c r="D10678" s="16"/>
    </row>
    <row r="10679" spans="4:4">
      <c r="D10679" s="16"/>
    </row>
    <row r="10680" spans="4:4">
      <c r="D10680" s="16"/>
    </row>
    <row r="10681" spans="4:4">
      <c r="D10681" s="16"/>
    </row>
    <row r="10682" spans="4:4">
      <c r="D10682" s="16"/>
    </row>
    <row r="10683" spans="4:4">
      <c r="D10683" s="16"/>
    </row>
    <row r="10684" spans="4:4">
      <c r="D10684" s="16"/>
    </row>
    <row r="10685" spans="4:4">
      <c r="D10685" s="16"/>
    </row>
    <row r="10686" spans="4:4">
      <c r="D10686" s="16"/>
    </row>
    <row r="10687" spans="4:4">
      <c r="D10687" s="16"/>
    </row>
    <row r="10688" spans="4:4">
      <c r="D10688" s="16"/>
    </row>
    <row r="10689" spans="4:4">
      <c r="D10689" s="16"/>
    </row>
    <row r="10690" spans="4:4">
      <c r="D10690" s="16"/>
    </row>
    <row r="10691" spans="4:4">
      <c r="D10691" s="16"/>
    </row>
    <row r="10692" spans="4:4">
      <c r="D10692" s="16"/>
    </row>
    <row r="10693" spans="4:4">
      <c r="D10693" s="16"/>
    </row>
    <row r="10694" spans="4:4">
      <c r="D10694" s="16"/>
    </row>
    <row r="10695" spans="4:4">
      <c r="D10695" s="16"/>
    </row>
    <row r="10696" spans="4:4">
      <c r="D10696" s="16"/>
    </row>
    <row r="10697" spans="4:4">
      <c r="D10697" s="16"/>
    </row>
    <row r="10698" spans="4:4">
      <c r="D10698" s="16"/>
    </row>
    <row r="10699" spans="4:4">
      <c r="D10699" s="16"/>
    </row>
    <row r="10700" spans="4:4">
      <c r="D10700" s="16"/>
    </row>
    <row r="10701" spans="4:4">
      <c r="D10701" s="16"/>
    </row>
    <row r="10702" spans="4:4">
      <c r="D10702" s="16"/>
    </row>
    <row r="10703" spans="4:4">
      <c r="D10703" s="16"/>
    </row>
    <row r="10704" spans="4:4">
      <c r="D10704" s="16"/>
    </row>
    <row r="10705" spans="4:4">
      <c r="D10705" s="16"/>
    </row>
    <row r="10706" spans="4:4">
      <c r="D10706" s="16"/>
    </row>
    <row r="10707" spans="4:4">
      <c r="D10707" s="16"/>
    </row>
    <row r="10708" spans="4:4">
      <c r="D10708" s="16"/>
    </row>
    <row r="10709" spans="4:4">
      <c r="D10709" s="16"/>
    </row>
    <row r="10710" spans="4:4">
      <c r="D10710" s="16"/>
    </row>
    <row r="10711" spans="4:4">
      <c r="D10711" s="16"/>
    </row>
    <row r="10712" spans="4:4">
      <c r="D10712" s="16"/>
    </row>
    <row r="10713" spans="4:4">
      <c r="D10713" s="16"/>
    </row>
    <row r="10714" spans="4:4">
      <c r="D10714" s="16"/>
    </row>
    <row r="10715" spans="4:4">
      <c r="D10715" s="16"/>
    </row>
    <row r="10716" spans="4:4">
      <c r="D10716" s="16"/>
    </row>
    <row r="10717" spans="4:4">
      <c r="D10717" s="16"/>
    </row>
    <row r="10718" spans="4:4">
      <c r="D10718" s="16"/>
    </row>
    <row r="10719" spans="4:4">
      <c r="D10719" s="16"/>
    </row>
    <row r="10720" spans="4:4">
      <c r="D10720" s="16"/>
    </row>
    <row r="10721" spans="4:4">
      <c r="D10721" s="16"/>
    </row>
    <row r="10722" spans="4:4">
      <c r="D10722" s="16"/>
    </row>
    <row r="10723" spans="4:4">
      <c r="D10723" s="16"/>
    </row>
    <row r="10724" spans="4:4">
      <c r="D10724" s="16"/>
    </row>
    <row r="10725" spans="4:4">
      <c r="D10725" s="16"/>
    </row>
    <row r="10726" spans="4:4">
      <c r="D10726" s="16"/>
    </row>
    <row r="10727" spans="4:4">
      <c r="D10727" s="16"/>
    </row>
    <row r="10728" spans="4:4">
      <c r="D10728" s="16"/>
    </row>
    <row r="10729" spans="4:4">
      <c r="D10729" s="16"/>
    </row>
    <row r="10730" spans="4:4">
      <c r="D10730" s="16"/>
    </row>
    <row r="10731" spans="4:4">
      <c r="D10731" s="16"/>
    </row>
    <row r="10732" spans="4:4">
      <c r="D10732" s="16"/>
    </row>
    <row r="10733" spans="4:4">
      <c r="D10733" s="16"/>
    </row>
    <row r="10734" spans="4:4">
      <c r="D10734" s="16"/>
    </row>
    <row r="10735" spans="4:4">
      <c r="D10735" s="16"/>
    </row>
    <row r="10736" spans="4:4">
      <c r="D10736" s="16"/>
    </row>
    <row r="10737" spans="4:4">
      <c r="D10737" s="16"/>
    </row>
    <row r="10738" spans="4:4">
      <c r="D10738" s="16"/>
    </row>
    <row r="10739" spans="4:4">
      <c r="D10739" s="16"/>
    </row>
    <row r="10740" spans="4:4">
      <c r="D10740" s="16"/>
    </row>
    <row r="10741" spans="4:4">
      <c r="D10741" s="16"/>
    </row>
    <row r="10742" spans="4:4">
      <c r="D10742" s="16"/>
    </row>
    <row r="10743" spans="4:4">
      <c r="D10743" s="16"/>
    </row>
    <row r="10744" spans="4:4">
      <c r="D10744" s="16"/>
    </row>
    <row r="10745" spans="4:4">
      <c r="D10745" s="16"/>
    </row>
    <row r="10746" spans="4:4">
      <c r="D10746" s="16"/>
    </row>
    <row r="10747" spans="4:4">
      <c r="D10747" s="16"/>
    </row>
    <row r="10748" spans="4:4">
      <c r="D10748" s="16"/>
    </row>
    <row r="10749" spans="4:4">
      <c r="D10749" s="16"/>
    </row>
    <row r="10750" spans="4:4">
      <c r="D10750" s="16"/>
    </row>
    <row r="10751" spans="4:4">
      <c r="D10751" s="16"/>
    </row>
    <row r="10752" spans="4:4">
      <c r="D10752" s="16"/>
    </row>
    <row r="10753" spans="4:4">
      <c r="D10753" s="16"/>
    </row>
    <row r="10754" spans="4:4">
      <c r="D10754" s="16"/>
    </row>
    <row r="10755" spans="4:4">
      <c r="D10755" s="16"/>
    </row>
    <row r="10756" spans="4:4">
      <c r="D10756" s="16"/>
    </row>
    <row r="10757" spans="4:4">
      <c r="D10757" s="16"/>
    </row>
    <row r="10758" spans="4:4">
      <c r="D10758" s="16"/>
    </row>
    <row r="10759" spans="4:4">
      <c r="D10759" s="16"/>
    </row>
    <row r="10760" spans="4:4">
      <c r="D10760" s="16"/>
    </row>
    <row r="10761" spans="4:4">
      <c r="D10761" s="16"/>
    </row>
    <row r="10762" spans="4:4">
      <c r="D10762" s="16"/>
    </row>
    <row r="10763" spans="4:4">
      <c r="D10763" s="16"/>
    </row>
    <row r="10764" spans="4:4">
      <c r="D10764" s="16"/>
    </row>
    <row r="10765" spans="4:4">
      <c r="D10765" s="16"/>
    </row>
    <row r="10766" spans="4:4">
      <c r="D10766" s="16"/>
    </row>
    <row r="10767" spans="4:4">
      <c r="D10767" s="16"/>
    </row>
    <row r="10768" spans="4:4">
      <c r="D10768" s="16"/>
    </row>
    <row r="10769" spans="4:4">
      <c r="D10769" s="16"/>
    </row>
    <row r="10770" spans="4:4">
      <c r="D10770" s="16"/>
    </row>
    <row r="10771" spans="4:4">
      <c r="D10771" s="16"/>
    </row>
    <row r="10772" spans="4:4">
      <c r="D10772" s="16"/>
    </row>
    <row r="10773" spans="4:4">
      <c r="D10773" s="16"/>
    </row>
    <row r="10774" spans="4:4">
      <c r="D10774" s="16"/>
    </row>
    <row r="10775" spans="4:4">
      <c r="D10775" s="16"/>
    </row>
    <row r="10776" spans="4:4">
      <c r="D10776" s="16"/>
    </row>
    <row r="10777" spans="4:4">
      <c r="D10777" s="16"/>
    </row>
    <row r="10778" spans="4:4">
      <c r="D10778" s="16"/>
    </row>
    <row r="10779" spans="4:4">
      <c r="D10779" s="16"/>
    </row>
    <row r="10780" spans="4:4">
      <c r="D10780" s="16"/>
    </row>
    <row r="10781" spans="4:4">
      <c r="D10781" s="16"/>
    </row>
    <row r="10782" spans="4:4">
      <c r="D10782" s="16"/>
    </row>
    <row r="10783" spans="4:4">
      <c r="D10783" s="16"/>
    </row>
    <row r="10784" spans="4:4">
      <c r="D10784" s="16"/>
    </row>
    <row r="10785" spans="4:4">
      <c r="D10785" s="16"/>
    </row>
    <row r="10786" spans="4:4">
      <c r="D10786" s="16"/>
    </row>
    <row r="10787" spans="4:4">
      <c r="D10787" s="16"/>
    </row>
    <row r="10788" spans="4:4">
      <c r="D10788" s="16"/>
    </row>
    <row r="10789" spans="4:4">
      <c r="D10789" s="16"/>
    </row>
    <row r="10790" spans="4:4">
      <c r="D10790" s="16"/>
    </row>
    <row r="10791" spans="4:4">
      <c r="D10791" s="16"/>
    </row>
    <row r="10792" spans="4:4">
      <c r="D10792" s="16"/>
    </row>
    <row r="10793" spans="4:4">
      <c r="D10793" s="16"/>
    </row>
    <row r="10794" spans="4:4">
      <c r="D10794" s="16"/>
    </row>
    <row r="10795" spans="4:4">
      <c r="D10795" s="16"/>
    </row>
    <row r="10796" spans="4:4">
      <c r="D10796" s="16"/>
    </row>
    <row r="10797" spans="4:4">
      <c r="D10797" s="16"/>
    </row>
    <row r="10798" spans="4:4">
      <c r="D10798" s="16"/>
    </row>
    <row r="10799" spans="4:4">
      <c r="D10799" s="16"/>
    </row>
    <row r="10800" spans="4:4">
      <c r="D10800" s="16"/>
    </row>
    <row r="10801" spans="4:4">
      <c r="D10801" s="16"/>
    </row>
    <row r="10802" spans="4:4">
      <c r="D10802" s="16"/>
    </row>
    <row r="10803" spans="4:4">
      <c r="D10803" s="16"/>
    </row>
    <row r="10804" spans="4:4">
      <c r="D10804" s="16"/>
    </row>
    <row r="10805" spans="4:4">
      <c r="D10805" s="16"/>
    </row>
    <row r="10806" spans="4:4">
      <c r="D10806" s="16"/>
    </row>
    <row r="10807" spans="4:4">
      <c r="D10807" s="16"/>
    </row>
    <row r="10808" spans="4:4">
      <c r="D10808" s="16"/>
    </row>
    <row r="10809" spans="4:4">
      <c r="D10809" s="16"/>
    </row>
    <row r="10810" spans="4:4">
      <c r="D10810" s="16"/>
    </row>
    <row r="10811" spans="4:4">
      <c r="D10811" s="16"/>
    </row>
    <row r="10812" spans="4:4">
      <c r="D10812" s="16"/>
    </row>
    <row r="10813" spans="4:4">
      <c r="D10813" s="16"/>
    </row>
    <row r="10814" spans="4:4">
      <c r="D10814" s="16"/>
    </row>
    <row r="10815" spans="4:4">
      <c r="D10815" s="16"/>
    </row>
    <row r="10816" spans="4:4">
      <c r="D10816" s="16"/>
    </row>
    <row r="10817" spans="4:4">
      <c r="D10817" s="16"/>
    </row>
    <row r="10818" spans="4:4">
      <c r="D10818" s="16"/>
    </row>
    <row r="10819" spans="4:4">
      <c r="D10819" s="16"/>
    </row>
    <row r="10820" spans="4:4">
      <c r="D10820" s="16"/>
    </row>
    <row r="10821" spans="4:4">
      <c r="D10821" s="16"/>
    </row>
    <row r="10822" spans="4:4">
      <c r="D10822" s="16"/>
    </row>
    <row r="10823" spans="4:4">
      <c r="D10823" s="16"/>
    </row>
    <row r="10824" spans="4:4">
      <c r="D10824" s="16"/>
    </row>
    <row r="10825" spans="4:4">
      <c r="D10825" s="16"/>
    </row>
    <row r="10826" spans="4:4">
      <c r="D10826" s="16"/>
    </row>
    <row r="10827" spans="4:4">
      <c r="D10827" s="16"/>
    </row>
    <row r="10828" spans="4:4">
      <c r="D10828" s="16"/>
    </row>
    <row r="10829" spans="4:4">
      <c r="D10829" s="16"/>
    </row>
    <row r="10830" spans="4:4">
      <c r="D10830" s="16"/>
    </row>
    <row r="10831" spans="4:4">
      <c r="D10831" s="16"/>
    </row>
    <row r="10832" spans="4:4">
      <c r="D10832" s="16"/>
    </row>
    <row r="10833" spans="4:4">
      <c r="D10833" s="16"/>
    </row>
    <row r="10834" spans="4:4">
      <c r="D10834" s="16"/>
    </row>
    <row r="10835" spans="4:4">
      <c r="D10835" s="16"/>
    </row>
    <row r="10836" spans="4:4">
      <c r="D10836" s="16"/>
    </row>
    <row r="10837" spans="4:4">
      <c r="D10837" s="16"/>
    </row>
    <row r="10838" spans="4:4">
      <c r="D10838" s="16"/>
    </row>
    <row r="10839" spans="4:4">
      <c r="D10839" s="16"/>
    </row>
    <row r="10840" spans="4:4">
      <c r="D10840" s="16"/>
    </row>
    <row r="10841" spans="4:4">
      <c r="D10841" s="16"/>
    </row>
    <row r="10842" spans="4:4">
      <c r="D10842" s="16"/>
    </row>
    <row r="10843" spans="4:4">
      <c r="D10843" s="16"/>
    </row>
    <row r="10844" spans="4:4">
      <c r="D10844" s="16"/>
    </row>
    <row r="10845" spans="4:4">
      <c r="D10845" s="16"/>
    </row>
    <row r="10846" spans="4:4">
      <c r="D10846" s="16"/>
    </row>
    <row r="10847" spans="4:4">
      <c r="D10847" s="16"/>
    </row>
    <row r="10848" spans="4:4">
      <c r="D10848" s="16"/>
    </row>
    <row r="10849" spans="4:4">
      <c r="D10849" s="16"/>
    </row>
    <row r="10850" spans="4:4">
      <c r="D10850" s="16"/>
    </row>
    <row r="10851" spans="4:4">
      <c r="D10851" s="16"/>
    </row>
    <row r="10852" spans="4:4">
      <c r="D10852" s="16"/>
    </row>
    <row r="10853" spans="4:4">
      <c r="D10853" s="16"/>
    </row>
    <row r="10854" spans="4:4">
      <c r="D10854" s="16"/>
    </row>
    <row r="10855" spans="4:4">
      <c r="D10855" s="16"/>
    </row>
    <row r="10856" spans="4:4">
      <c r="D10856" s="16"/>
    </row>
    <row r="10857" spans="4:4">
      <c r="D10857" s="16"/>
    </row>
    <row r="10858" spans="4:4">
      <c r="D10858" s="16"/>
    </row>
    <row r="10859" spans="4:4">
      <c r="D10859" s="16"/>
    </row>
    <row r="10860" spans="4:4">
      <c r="D10860" s="16"/>
    </row>
    <row r="10861" spans="4:4">
      <c r="D10861" s="16"/>
    </row>
    <row r="10862" spans="4:4">
      <c r="D10862" s="16"/>
    </row>
    <row r="10863" spans="4:4">
      <c r="D10863" s="16"/>
    </row>
    <row r="10864" spans="4:4">
      <c r="D10864" s="16"/>
    </row>
    <row r="10865" spans="4:4">
      <c r="D10865" s="16"/>
    </row>
    <row r="10866" spans="4:4">
      <c r="D10866" s="16"/>
    </row>
    <row r="10867" spans="4:4">
      <c r="D10867" s="16"/>
    </row>
    <row r="10868" spans="4:4">
      <c r="D10868" s="16"/>
    </row>
    <row r="10869" spans="4:4">
      <c r="D10869" s="16"/>
    </row>
    <row r="10870" spans="4:4">
      <c r="D10870" s="16"/>
    </row>
    <row r="10871" spans="4:4">
      <c r="D10871" s="16"/>
    </row>
    <row r="10872" spans="4:4">
      <c r="D10872" s="16"/>
    </row>
    <row r="10873" spans="4:4">
      <c r="D10873" s="16"/>
    </row>
    <row r="10874" spans="4:4">
      <c r="D10874" s="16"/>
    </row>
    <row r="10875" spans="4:4">
      <c r="D10875" s="16"/>
    </row>
    <row r="10876" spans="4:4">
      <c r="D10876" s="16"/>
    </row>
    <row r="10877" spans="4:4">
      <c r="D10877" s="16"/>
    </row>
    <row r="10878" spans="4:4">
      <c r="D10878" s="16"/>
    </row>
    <row r="10879" spans="4:4">
      <c r="D10879" s="16"/>
    </row>
    <row r="10880" spans="4:4">
      <c r="D10880" s="16"/>
    </row>
    <row r="10881" spans="4:4">
      <c r="D10881" s="16"/>
    </row>
    <row r="10882" spans="4:4">
      <c r="D10882" s="16"/>
    </row>
    <row r="10883" spans="4:4">
      <c r="D10883" s="16"/>
    </row>
    <row r="10884" spans="4:4">
      <c r="D10884" s="16"/>
    </row>
    <row r="10885" spans="4:4">
      <c r="D10885" s="16"/>
    </row>
    <row r="10886" spans="4:4">
      <c r="D10886" s="16"/>
    </row>
    <row r="10887" spans="4:4">
      <c r="D10887" s="16"/>
    </row>
    <row r="10888" spans="4:4">
      <c r="D10888" s="16"/>
    </row>
    <row r="10889" spans="4:4">
      <c r="D10889" s="16"/>
    </row>
    <row r="10890" spans="4:4">
      <c r="D10890" s="16"/>
    </row>
    <row r="10891" spans="4:4">
      <c r="D10891" s="16"/>
    </row>
    <row r="10892" spans="4:4">
      <c r="D10892" s="16"/>
    </row>
    <row r="10893" spans="4:4">
      <c r="D10893" s="16"/>
    </row>
    <row r="10894" spans="4:4">
      <c r="D10894" s="16"/>
    </row>
    <row r="10895" spans="4:4">
      <c r="D10895" s="16"/>
    </row>
    <row r="10896" spans="4:4">
      <c r="D10896" s="16"/>
    </row>
    <row r="10897" spans="4:4">
      <c r="D10897" s="16"/>
    </row>
    <row r="10898" spans="4:4">
      <c r="D10898" s="16"/>
    </row>
    <row r="10899" spans="4:4">
      <c r="D10899" s="16"/>
    </row>
    <row r="10900" spans="4:4">
      <c r="D10900" s="16"/>
    </row>
    <row r="10901" spans="4:4">
      <c r="D10901" s="16"/>
    </row>
    <row r="10902" spans="4:4">
      <c r="D10902" s="16"/>
    </row>
    <row r="10903" spans="4:4">
      <c r="D10903" s="16"/>
    </row>
    <row r="10904" spans="4:4">
      <c r="D10904" s="16"/>
    </row>
    <row r="10905" spans="4:4">
      <c r="D10905" s="16"/>
    </row>
    <row r="10906" spans="4:4">
      <c r="D10906" s="16"/>
    </row>
    <row r="10907" spans="4:4">
      <c r="D10907" s="16"/>
    </row>
    <row r="10908" spans="4:4">
      <c r="D10908" s="16"/>
    </row>
    <row r="10909" spans="4:4">
      <c r="D10909" s="16"/>
    </row>
    <row r="10910" spans="4:4">
      <c r="D10910" s="16"/>
    </row>
    <row r="10911" spans="4:4">
      <c r="D10911" s="16"/>
    </row>
    <row r="10912" spans="4:4">
      <c r="D10912" s="16"/>
    </row>
    <row r="10913" spans="4:4">
      <c r="D10913" s="16"/>
    </row>
    <row r="10914" spans="4:4">
      <c r="D10914" s="16"/>
    </row>
    <row r="10915" spans="4:4">
      <c r="D10915" s="16"/>
    </row>
    <row r="10916" spans="4:4">
      <c r="D10916" s="16"/>
    </row>
    <row r="10917" spans="4:4">
      <c r="D10917" s="16"/>
    </row>
    <row r="10918" spans="4:4">
      <c r="D10918" s="16"/>
    </row>
    <row r="10919" spans="4:4">
      <c r="D10919" s="16"/>
    </row>
    <row r="10920" spans="4:4">
      <c r="D10920" s="16"/>
    </row>
    <row r="10921" spans="4:4">
      <c r="D10921" s="16"/>
    </row>
    <row r="10922" spans="4:4">
      <c r="D10922" s="16"/>
    </row>
    <row r="10923" spans="4:4">
      <c r="D10923" s="16"/>
    </row>
    <row r="10924" spans="4:4">
      <c r="D10924" s="16"/>
    </row>
    <row r="10925" spans="4:4">
      <c r="D10925" s="16"/>
    </row>
    <row r="10926" spans="4:4">
      <c r="D10926" s="16"/>
    </row>
    <row r="10927" spans="4:4">
      <c r="D10927" s="16"/>
    </row>
    <row r="10928" spans="4:4">
      <c r="D10928" s="16"/>
    </row>
    <row r="10929" spans="4:4">
      <c r="D10929" s="16"/>
    </row>
    <row r="10930" spans="4:4">
      <c r="D10930" s="16"/>
    </row>
    <row r="10931" spans="4:4">
      <c r="D10931" s="16"/>
    </row>
    <row r="10932" spans="4:4">
      <c r="D10932" s="16"/>
    </row>
    <row r="10933" spans="4:4">
      <c r="D10933" s="16"/>
    </row>
    <row r="10934" spans="4:4">
      <c r="D10934" s="16"/>
    </row>
    <row r="10935" spans="4:4">
      <c r="D10935" s="16"/>
    </row>
    <row r="10936" spans="4:4">
      <c r="D10936" s="16"/>
    </row>
    <row r="10937" spans="4:4">
      <c r="D10937" s="16"/>
    </row>
    <row r="10938" spans="4:4">
      <c r="D10938" s="16"/>
    </row>
    <row r="10939" spans="4:4">
      <c r="D10939" s="16"/>
    </row>
    <row r="10940" spans="4:4">
      <c r="D10940" s="16"/>
    </row>
    <row r="10941" spans="4:4">
      <c r="D10941" s="16"/>
    </row>
    <row r="10942" spans="4:4">
      <c r="D10942" s="16"/>
    </row>
    <row r="10943" spans="4:4">
      <c r="D10943" s="16"/>
    </row>
    <row r="10944" spans="4:4">
      <c r="D10944" s="16"/>
    </row>
    <row r="10945" spans="4:4">
      <c r="D10945" s="16"/>
    </row>
    <row r="10946" spans="4:4">
      <c r="D10946" s="16"/>
    </row>
    <row r="10947" spans="4:4">
      <c r="D10947" s="16"/>
    </row>
    <row r="10948" spans="4:4">
      <c r="D10948" s="16"/>
    </row>
    <row r="10949" spans="4:4">
      <c r="D10949" s="16"/>
    </row>
    <row r="10950" spans="4:4">
      <c r="D10950" s="16"/>
    </row>
    <row r="10951" spans="4:4">
      <c r="D10951" s="16"/>
    </row>
    <row r="10952" spans="4:4">
      <c r="D10952" s="16"/>
    </row>
    <row r="10953" spans="4:4">
      <c r="D10953" s="16"/>
    </row>
    <row r="10954" spans="4:4">
      <c r="D10954" s="16"/>
    </row>
    <row r="10955" spans="4:4">
      <c r="D10955" s="16"/>
    </row>
    <row r="10956" spans="4:4">
      <c r="D10956" s="16"/>
    </row>
    <row r="10957" spans="4:4">
      <c r="D10957" s="16"/>
    </row>
    <row r="10958" spans="4:4">
      <c r="D10958" s="16"/>
    </row>
    <row r="10959" spans="4:4">
      <c r="D10959" s="16"/>
    </row>
    <row r="10960" spans="4:4">
      <c r="D10960" s="16"/>
    </row>
    <row r="10961" spans="4:4">
      <c r="D10961" s="16"/>
    </row>
    <row r="10962" spans="4:4">
      <c r="D10962" s="16"/>
    </row>
    <row r="10963" spans="4:4">
      <c r="D10963" s="16"/>
    </row>
    <row r="10964" spans="4:4">
      <c r="D10964" s="16"/>
    </row>
    <row r="10965" spans="4:4">
      <c r="D10965" s="16"/>
    </row>
    <row r="10966" spans="4:4">
      <c r="D10966" s="16"/>
    </row>
    <row r="10967" spans="4:4">
      <c r="D10967" s="16"/>
    </row>
    <row r="10968" spans="4:4">
      <c r="D10968" s="16"/>
    </row>
    <row r="10969" spans="4:4">
      <c r="D10969" s="16"/>
    </row>
    <row r="10970" spans="4:4">
      <c r="D10970" s="16"/>
    </row>
    <row r="10971" spans="4:4">
      <c r="D10971" s="16"/>
    </row>
    <row r="10972" spans="4:4">
      <c r="D10972" s="16"/>
    </row>
    <row r="10973" spans="4:4">
      <c r="D10973" s="16"/>
    </row>
    <row r="10974" spans="4:4">
      <c r="D10974" s="16"/>
    </row>
    <row r="10975" spans="4:4">
      <c r="D10975" s="16"/>
    </row>
    <row r="10976" spans="4:4">
      <c r="D10976" s="16"/>
    </row>
    <row r="10977" spans="4:4">
      <c r="D10977" s="16"/>
    </row>
    <row r="10978" spans="4:4">
      <c r="D10978" s="16"/>
    </row>
    <row r="10979" spans="4:4">
      <c r="D10979" s="16"/>
    </row>
    <row r="10980" spans="4:4">
      <c r="D10980" s="16"/>
    </row>
    <row r="10981" spans="4:4">
      <c r="D10981" s="16"/>
    </row>
    <row r="10982" spans="4:4">
      <c r="D10982" s="16"/>
    </row>
    <row r="10983" spans="4:4">
      <c r="D10983" s="16"/>
    </row>
    <row r="10984" spans="4:4">
      <c r="D10984" s="16"/>
    </row>
    <row r="10985" spans="4:4">
      <c r="D10985" s="16"/>
    </row>
    <row r="10986" spans="4:4">
      <c r="D10986" s="16"/>
    </row>
    <row r="10987" spans="4:4">
      <c r="D10987" s="16"/>
    </row>
    <row r="10988" spans="4:4">
      <c r="D10988" s="16"/>
    </row>
    <row r="10989" spans="4:4">
      <c r="D10989" s="16"/>
    </row>
    <row r="10990" spans="4:4">
      <c r="D10990" s="16"/>
    </row>
    <row r="10991" spans="4:4">
      <c r="D10991" s="16"/>
    </row>
    <row r="10992" spans="4:4">
      <c r="D10992" s="16"/>
    </row>
    <row r="10993" spans="4:4">
      <c r="D10993" s="16"/>
    </row>
    <row r="10994" spans="4:4">
      <c r="D10994" s="16"/>
    </row>
    <row r="10995" spans="4:4">
      <c r="D10995" s="16"/>
    </row>
    <row r="10996" spans="4:4">
      <c r="D10996" s="16"/>
    </row>
    <row r="10997" spans="4:4">
      <c r="D10997" s="16"/>
    </row>
    <row r="10998" spans="4:4">
      <c r="D10998" s="16"/>
    </row>
    <row r="10999" spans="4:4">
      <c r="D10999" s="16"/>
    </row>
    <row r="11000" spans="4:4">
      <c r="D11000" s="16"/>
    </row>
    <row r="11001" spans="4:4">
      <c r="D11001" s="16"/>
    </row>
    <row r="11002" spans="4:4">
      <c r="D11002" s="16"/>
    </row>
    <row r="11003" spans="4:4">
      <c r="D11003" s="16"/>
    </row>
    <row r="11004" spans="4:4">
      <c r="D11004" s="16"/>
    </row>
    <row r="11005" spans="4:4">
      <c r="D11005" s="16"/>
    </row>
    <row r="11006" spans="4:4">
      <c r="D11006" s="16"/>
    </row>
    <row r="11007" spans="4:4">
      <c r="D11007" s="16"/>
    </row>
    <row r="11008" spans="4:4">
      <c r="D11008" s="16"/>
    </row>
    <row r="11009" spans="4:4">
      <c r="D11009" s="16"/>
    </row>
    <row r="11010" spans="4:4">
      <c r="D11010" s="16"/>
    </row>
    <row r="11011" spans="4:4">
      <c r="D11011" s="16"/>
    </row>
    <row r="11012" spans="4:4">
      <c r="D11012" s="16"/>
    </row>
    <row r="11013" spans="4:4">
      <c r="D11013" s="16"/>
    </row>
    <row r="11014" spans="4:4">
      <c r="D11014" s="16"/>
    </row>
    <row r="11015" spans="4:4">
      <c r="D11015" s="16"/>
    </row>
    <row r="11016" spans="4:4">
      <c r="D11016" s="16"/>
    </row>
    <row r="11017" spans="4:4">
      <c r="D11017" s="16"/>
    </row>
    <row r="11018" spans="4:4">
      <c r="D11018" s="16"/>
    </row>
    <row r="11019" spans="4:4">
      <c r="D11019" s="16"/>
    </row>
    <row r="11020" spans="4:4">
      <c r="D11020" s="16"/>
    </row>
    <row r="11021" spans="4:4">
      <c r="D11021" s="16"/>
    </row>
    <row r="11022" spans="4:4">
      <c r="D11022" s="16"/>
    </row>
    <row r="11023" spans="4:4">
      <c r="D11023" s="16"/>
    </row>
    <row r="11024" spans="4:4">
      <c r="D11024" s="16"/>
    </row>
    <row r="11025" spans="4:4">
      <c r="D11025" s="16"/>
    </row>
    <row r="11026" spans="4:4">
      <c r="D11026" s="16"/>
    </row>
    <row r="11027" spans="4:4">
      <c r="D11027" s="16"/>
    </row>
    <row r="11028" spans="4:4">
      <c r="D11028" s="16"/>
    </row>
    <row r="11029" spans="4:4">
      <c r="D11029" s="16"/>
    </row>
    <row r="11030" spans="4:4">
      <c r="D11030" s="16"/>
    </row>
    <row r="11031" spans="4:4">
      <c r="D11031" s="16"/>
    </row>
    <row r="11032" spans="4:4">
      <c r="D11032" s="16"/>
    </row>
    <row r="11033" spans="4:4">
      <c r="D11033" s="16"/>
    </row>
    <row r="11034" spans="4:4">
      <c r="D11034" s="16"/>
    </row>
    <row r="11035" spans="4:4">
      <c r="D11035" s="16"/>
    </row>
    <row r="11036" spans="4:4">
      <c r="D11036" s="16"/>
    </row>
    <row r="11037" spans="4:4">
      <c r="D11037" s="16"/>
    </row>
    <row r="11038" spans="4:4">
      <c r="D11038" s="16"/>
    </row>
    <row r="11039" spans="4:4">
      <c r="D11039" s="16"/>
    </row>
    <row r="11040" spans="4:4">
      <c r="D11040" s="16"/>
    </row>
    <row r="11041" spans="4:4">
      <c r="D11041" s="16"/>
    </row>
    <row r="11042" spans="4:4">
      <c r="D11042" s="16"/>
    </row>
    <row r="11043" spans="4:4">
      <c r="D11043" s="16"/>
    </row>
    <row r="11044" spans="4:4">
      <c r="D11044" s="16"/>
    </row>
    <row r="11045" spans="4:4">
      <c r="D11045" s="16"/>
    </row>
    <row r="11046" spans="4:4">
      <c r="D11046" s="16"/>
    </row>
    <row r="11047" spans="4:4">
      <c r="D11047" s="16"/>
    </row>
    <row r="11048" spans="4:4">
      <c r="D11048" s="16"/>
    </row>
    <row r="11049" spans="4:4">
      <c r="D11049" s="16"/>
    </row>
    <row r="11050" spans="4:4">
      <c r="D11050" s="16"/>
    </row>
    <row r="11051" spans="4:4">
      <c r="D11051" s="16"/>
    </row>
    <row r="11052" spans="4:4">
      <c r="D11052" s="16"/>
    </row>
    <row r="11053" spans="4:4">
      <c r="D11053" s="16"/>
    </row>
    <row r="11054" spans="4:4">
      <c r="D11054" s="16"/>
    </row>
    <row r="11055" spans="4:4">
      <c r="D11055" s="16"/>
    </row>
    <row r="11056" spans="4:4">
      <c r="D11056" s="16"/>
    </row>
    <row r="11057" spans="4:4">
      <c r="D11057" s="16"/>
    </row>
    <row r="11058" spans="4:4">
      <c r="D11058" s="16"/>
    </row>
    <row r="11059" spans="4:4">
      <c r="D11059" s="16"/>
    </row>
    <row r="11060" spans="4:4">
      <c r="D11060" s="16"/>
    </row>
    <row r="11061" spans="4:4">
      <c r="D11061" s="16"/>
    </row>
    <row r="11062" spans="4:4">
      <c r="D11062" s="16"/>
    </row>
    <row r="11063" spans="4:4">
      <c r="D11063" s="16"/>
    </row>
    <row r="11064" spans="4:4">
      <c r="D11064" s="16"/>
    </row>
    <row r="11065" spans="4:4">
      <c r="D11065" s="16"/>
    </row>
    <row r="11066" spans="4:4">
      <c r="D11066" s="16"/>
    </row>
    <row r="11067" spans="4:4">
      <c r="D11067" s="16"/>
    </row>
    <row r="11068" spans="4:4">
      <c r="D11068" s="16"/>
    </row>
    <row r="11069" spans="4:4">
      <c r="D11069" s="16"/>
    </row>
    <row r="11070" spans="4:4">
      <c r="D11070" s="16"/>
    </row>
    <row r="11071" spans="4:4">
      <c r="D11071" s="16"/>
    </row>
    <row r="11072" spans="4:4">
      <c r="D11072" s="16"/>
    </row>
    <row r="11073" spans="4:4">
      <c r="D11073" s="16"/>
    </row>
    <row r="11074" spans="4:4">
      <c r="D11074" s="16"/>
    </row>
    <row r="11075" spans="4:4">
      <c r="D11075" s="16"/>
    </row>
    <row r="11076" spans="4:4">
      <c r="D11076" s="16"/>
    </row>
    <row r="11077" spans="4:4">
      <c r="D11077" s="16"/>
    </row>
    <row r="11078" spans="4:4">
      <c r="D11078" s="16"/>
    </row>
    <row r="11079" spans="4:4">
      <c r="D11079" s="16"/>
    </row>
    <row r="11080" spans="4:4">
      <c r="D11080" s="16"/>
    </row>
    <row r="11081" spans="4:4">
      <c r="D11081" s="16"/>
    </row>
    <row r="11082" spans="4:4">
      <c r="D11082" s="16"/>
    </row>
    <row r="11083" spans="4:4">
      <c r="D11083" s="16"/>
    </row>
    <row r="11084" spans="4:4">
      <c r="D11084" s="16"/>
    </row>
    <row r="11085" spans="4:4">
      <c r="D11085" s="16"/>
    </row>
    <row r="11086" spans="4:4">
      <c r="D11086" s="16"/>
    </row>
    <row r="11087" spans="4:4">
      <c r="D11087" s="16"/>
    </row>
    <row r="11088" spans="4:4">
      <c r="D11088" s="16"/>
    </row>
    <row r="11089" spans="4:4">
      <c r="D11089" s="16"/>
    </row>
    <row r="11090" spans="4:4">
      <c r="D11090" s="16"/>
    </row>
    <row r="11091" spans="4:4">
      <c r="D11091" s="16"/>
    </row>
    <row r="11092" spans="4:4">
      <c r="D11092" s="16"/>
    </row>
    <row r="11093" spans="4:4">
      <c r="D11093" s="16"/>
    </row>
    <row r="11094" spans="4:4">
      <c r="D11094" s="16"/>
    </row>
    <row r="11095" spans="4:4">
      <c r="D11095" s="16"/>
    </row>
    <row r="11096" spans="4:4">
      <c r="D11096" s="16"/>
    </row>
    <row r="11097" spans="4:4">
      <c r="D11097" s="16"/>
    </row>
    <row r="11098" spans="4:4">
      <c r="D11098" s="16"/>
    </row>
    <row r="11099" spans="4:4">
      <c r="D11099" s="16"/>
    </row>
    <row r="11100" spans="4:4">
      <c r="D11100" s="16"/>
    </row>
    <row r="11101" spans="4:4">
      <c r="D11101" s="16"/>
    </row>
    <row r="11102" spans="4:4">
      <c r="D11102" s="16"/>
    </row>
    <row r="11103" spans="4:4">
      <c r="D11103" s="16"/>
    </row>
    <row r="11104" spans="4:4">
      <c r="D11104" s="16"/>
    </row>
    <row r="11105" spans="4:4">
      <c r="D11105" s="16"/>
    </row>
    <row r="11106" spans="4:4">
      <c r="D11106" s="16"/>
    </row>
    <row r="11107" spans="4:4">
      <c r="D11107" s="16"/>
    </row>
    <row r="11108" spans="4:4">
      <c r="D11108" s="16"/>
    </row>
    <row r="11109" spans="4:4">
      <c r="D11109" s="16"/>
    </row>
    <row r="11110" spans="4:4">
      <c r="D11110" s="16"/>
    </row>
    <row r="11111" spans="4:4">
      <c r="D11111" s="16"/>
    </row>
    <row r="11112" spans="4:4">
      <c r="D11112" s="16"/>
    </row>
    <row r="11113" spans="4:4">
      <c r="D11113" s="16"/>
    </row>
    <row r="11114" spans="4:4">
      <c r="D11114" s="16"/>
    </row>
    <row r="11115" spans="4:4">
      <c r="D11115" s="16"/>
    </row>
    <row r="11116" spans="4:4">
      <c r="D11116" s="16"/>
    </row>
    <row r="11117" spans="4:4">
      <c r="D11117" s="16"/>
    </row>
    <row r="11118" spans="4:4">
      <c r="D11118" s="16"/>
    </row>
    <row r="11119" spans="4:4">
      <c r="D11119" s="16"/>
    </row>
    <row r="11120" spans="4:4">
      <c r="D11120" s="16"/>
    </row>
    <row r="11121" spans="4:4">
      <c r="D11121" s="16"/>
    </row>
    <row r="11122" spans="4:4">
      <c r="D11122" s="16"/>
    </row>
    <row r="11123" spans="4:4">
      <c r="D11123" s="16"/>
    </row>
    <row r="11124" spans="4:4">
      <c r="D11124" s="16"/>
    </row>
    <row r="11125" spans="4:4">
      <c r="D11125" s="16"/>
    </row>
    <row r="11126" spans="4:4">
      <c r="D11126" s="16"/>
    </row>
    <row r="11127" spans="4:4">
      <c r="D11127" s="16"/>
    </row>
    <row r="11128" spans="4:4">
      <c r="D11128" s="16"/>
    </row>
    <row r="11129" spans="4:4">
      <c r="D11129" s="16"/>
    </row>
    <row r="11130" spans="4:4">
      <c r="D11130" s="16"/>
    </row>
    <row r="11131" spans="4:4">
      <c r="D11131" s="16"/>
    </row>
    <row r="11132" spans="4:4">
      <c r="D11132" s="16"/>
    </row>
    <row r="11133" spans="4:4">
      <c r="D11133" s="16"/>
    </row>
    <row r="11134" spans="4:4">
      <c r="D11134" s="16"/>
    </row>
    <row r="11135" spans="4:4">
      <c r="D11135" s="16"/>
    </row>
    <row r="11136" spans="4:4">
      <c r="D11136" s="16"/>
    </row>
    <row r="11137" spans="4:4">
      <c r="D11137" s="16"/>
    </row>
    <row r="11138" spans="4:4">
      <c r="D11138" s="16"/>
    </row>
    <row r="11139" spans="4:4">
      <c r="D11139" s="16"/>
    </row>
    <row r="11140" spans="4:4">
      <c r="D11140" s="16"/>
    </row>
    <row r="11141" spans="4:4">
      <c r="D11141" s="16"/>
    </row>
    <row r="11142" spans="4:4">
      <c r="D11142" s="16"/>
    </row>
    <row r="11143" spans="4:4">
      <c r="D11143" s="16"/>
    </row>
    <row r="11144" spans="4:4">
      <c r="D11144" s="16"/>
    </row>
    <row r="11145" spans="4:4">
      <c r="D11145" s="16"/>
    </row>
    <row r="11146" spans="4:4">
      <c r="D11146" s="16"/>
    </row>
    <row r="11147" spans="4:4">
      <c r="D11147" s="16"/>
    </row>
    <row r="11148" spans="4:4">
      <c r="D11148" s="16"/>
    </row>
    <row r="11149" spans="4:4">
      <c r="D11149" s="16"/>
    </row>
    <row r="11150" spans="4:4">
      <c r="D11150" s="16"/>
    </row>
    <row r="11151" spans="4:4">
      <c r="D11151" s="16"/>
    </row>
    <row r="11152" spans="4:4">
      <c r="D11152" s="16"/>
    </row>
    <row r="11153" spans="4:4">
      <c r="D11153" s="16"/>
    </row>
    <row r="11154" spans="4:4">
      <c r="D11154" s="16"/>
    </row>
    <row r="11155" spans="4:4">
      <c r="D11155" s="16"/>
    </row>
    <row r="11156" spans="4:4">
      <c r="D11156" s="16"/>
    </row>
    <row r="11157" spans="4:4">
      <c r="D11157" s="16"/>
    </row>
    <row r="11158" spans="4:4">
      <c r="D11158" s="16"/>
    </row>
    <row r="11159" spans="4:4">
      <c r="D11159" s="16"/>
    </row>
    <row r="11160" spans="4:4">
      <c r="D11160" s="16"/>
    </row>
    <row r="11161" spans="4:4">
      <c r="D11161" s="16"/>
    </row>
    <row r="11162" spans="4:4">
      <c r="D11162" s="16"/>
    </row>
    <row r="11163" spans="4:4">
      <c r="D11163" s="16"/>
    </row>
    <row r="11164" spans="4:4">
      <c r="D11164" s="16"/>
    </row>
    <row r="11165" spans="4:4">
      <c r="D11165" s="16"/>
    </row>
    <row r="11166" spans="4:4">
      <c r="D11166" s="16"/>
    </row>
    <row r="11167" spans="4:4">
      <c r="D11167" s="16"/>
    </row>
    <row r="11168" spans="4:4">
      <c r="D11168" s="16"/>
    </row>
    <row r="11169" spans="4:4">
      <c r="D11169" s="16"/>
    </row>
    <row r="11170" spans="4:4">
      <c r="D11170" s="16"/>
    </row>
    <row r="11171" spans="4:4">
      <c r="D11171" s="16"/>
    </row>
    <row r="11172" spans="4:4">
      <c r="D11172" s="16"/>
    </row>
    <row r="11173" spans="4:4">
      <c r="D11173" s="16"/>
    </row>
    <row r="11174" spans="4:4">
      <c r="D11174" s="16"/>
    </row>
    <row r="11175" spans="4:4">
      <c r="D11175" s="16"/>
    </row>
    <row r="11176" spans="4:4">
      <c r="D11176" s="16"/>
    </row>
    <row r="11177" spans="4:4">
      <c r="D11177" s="16"/>
    </row>
    <row r="11178" spans="4:4">
      <c r="D11178" s="16"/>
    </row>
    <row r="11179" spans="4:4">
      <c r="D11179" s="16"/>
    </row>
    <row r="11180" spans="4:4">
      <c r="D11180" s="16"/>
    </row>
    <row r="11181" spans="4:4">
      <c r="D11181" s="16"/>
    </row>
    <row r="11182" spans="4:4">
      <c r="D11182" s="16"/>
    </row>
    <row r="11183" spans="4:4">
      <c r="D11183" s="16"/>
    </row>
    <row r="11184" spans="4:4">
      <c r="D11184" s="16"/>
    </row>
    <row r="11185" spans="4:4">
      <c r="D11185" s="16"/>
    </row>
    <row r="11186" spans="4:4">
      <c r="D11186" s="16"/>
    </row>
    <row r="11187" spans="4:4">
      <c r="D11187" s="16"/>
    </row>
    <row r="11188" spans="4:4">
      <c r="D11188" s="16"/>
    </row>
    <row r="11189" spans="4:4">
      <c r="D11189" s="16"/>
    </row>
    <row r="11190" spans="4:4">
      <c r="D11190" s="16"/>
    </row>
    <row r="11191" spans="4:4">
      <c r="D11191" s="16"/>
    </row>
    <row r="11192" spans="4:4">
      <c r="D11192" s="16"/>
    </row>
    <row r="11193" spans="4:4">
      <c r="D11193" s="16"/>
    </row>
    <row r="11194" spans="4:4">
      <c r="D11194" s="16"/>
    </row>
    <row r="11195" spans="4:4">
      <c r="D11195" s="16"/>
    </row>
    <row r="11196" spans="4:4">
      <c r="D11196" s="16"/>
    </row>
    <row r="11197" spans="4:4">
      <c r="D11197" s="16"/>
    </row>
    <row r="11198" spans="4:4">
      <c r="D11198" s="16"/>
    </row>
    <row r="11199" spans="4:4">
      <c r="D11199" s="16"/>
    </row>
    <row r="11200" spans="4:4">
      <c r="D11200" s="16"/>
    </row>
    <row r="11201" spans="4:4">
      <c r="D11201" s="16"/>
    </row>
    <row r="11202" spans="4:4">
      <c r="D11202" s="16"/>
    </row>
    <row r="11203" spans="4:4">
      <c r="D11203" s="16"/>
    </row>
    <row r="11204" spans="4:4">
      <c r="D11204" s="16"/>
    </row>
    <row r="11205" spans="4:4">
      <c r="D11205" s="16"/>
    </row>
    <row r="11206" spans="4:4">
      <c r="D11206" s="16"/>
    </row>
    <row r="11207" spans="4:4">
      <c r="D11207" s="16"/>
    </row>
    <row r="11208" spans="4:4">
      <c r="D11208" s="16"/>
    </row>
    <row r="11209" spans="4:4">
      <c r="D11209" s="16"/>
    </row>
    <row r="11210" spans="4:4">
      <c r="D11210" s="16"/>
    </row>
    <row r="11211" spans="4:4">
      <c r="D11211" s="16"/>
    </row>
    <row r="11212" spans="4:4">
      <c r="D11212" s="16"/>
    </row>
    <row r="11213" spans="4:4">
      <c r="D11213" s="16"/>
    </row>
    <row r="11214" spans="4:4">
      <c r="D11214" s="16"/>
    </row>
    <row r="11215" spans="4:4">
      <c r="D11215" s="16"/>
    </row>
    <row r="11216" spans="4:4">
      <c r="D11216" s="16"/>
    </row>
    <row r="11217" spans="4:4">
      <c r="D11217" s="16"/>
    </row>
    <row r="11218" spans="4:4">
      <c r="D11218" s="16"/>
    </row>
    <row r="11219" spans="4:4">
      <c r="D11219" s="16"/>
    </row>
    <row r="11220" spans="4:4">
      <c r="D11220" s="16"/>
    </row>
    <row r="11221" spans="4:4">
      <c r="D11221" s="16"/>
    </row>
    <row r="11222" spans="4:4">
      <c r="D11222" s="16"/>
    </row>
    <row r="11223" spans="4:4">
      <c r="D11223" s="16"/>
    </row>
    <row r="11224" spans="4:4">
      <c r="D11224" s="16"/>
    </row>
    <row r="11225" spans="4:4">
      <c r="D11225" s="16"/>
    </row>
    <row r="11226" spans="4:4">
      <c r="D11226" s="16"/>
    </row>
    <row r="11227" spans="4:4">
      <c r="D11227" s="16"/>
    </row>
    <row r="11228" spans="4:4">
      <c r="D11228" s="16"/>
    </row>
    <row r="11229" spans="4:4">
      <c r="D11229" s="16"/>
    </row>
    <row r="11230" spans="4:4">
      <c r="D11230" s="16"/>
    </row>
    <row r="11231" spans="4:4">
      <c r="D11231" s="16"/>
    </row>
    <row r="11232" spans="4:4">
      <c r="D11232" s="16"/>
    </row>
    <row r="11233" spans="4:4">
      <c r="D11233" s="16"/>
    </row>
    <row r="11234" spans="4:4">
      <c r="D11234" s="16"/>
    </row>
    <row r="11235" spans="4:4">
      <c r="D11235" s="16"/>
    </row>
    <row r="11236" spans="4:4">
      <c r="D11236" s="16"/>
    </row>
    <row r="11237" spans="4:4">
      <c r="D11237" s="16"/>
    </row>
    <row r="11238" spans="4:4">
      <c r="D11238" s="16"/>
    </row>
    <row r="11239" spans="4:4">
      <c r="D11239" s="16"/>
    </row>
    <row r="11240" spans="4:4">
      <c r="D11240" s="16"/>
    </row>
    <row r="11241" spans="4:4">
      <c r="D11241" s="16"/>
    </row>
    <row r="11242" spans="4:4">
      <c r="D11242" s="16"/>
    </row>
    <row r="11243" spans="4:4">
      <c r="D11243" s="16"/>
    </row>
    <row r="11244" spans="4:4">
      <c r="D11244" s="16"/>
    </row>
    <row r="11245" spans="4:4">
      <c r="D11245" s="16"/>
    </row>
    <row r="11246" spans="4:4">
      <c r="D11246" s="16"/>
    </row>
    <row r="11247" spans="4:4">
      <c r="D11247" s="16"/>
    </row>
    <row r="11248" spans="4:4">
      <c r="D11248" s="16"/>
    </row>
    <row r="11249" spans="4:4">
      <c r="D11249" s="16"/>
    </row>
    <row r="11250" spans="4:4">
      <c r="D11250" s="16"/>
    </row>
    <row r="11251" spans="4:4">
      <c r="D11251" s="16"/>
    </row>
    <row r="11252" spans="4:4">
      <c r="D11252" s="16"/>
    </row>
    <row r="11253" spans="4:4">
      <c r="D11253" s="16"/>
    </row>
    <row r="11254" spans="4:4">
      <c r="D11254" s="16"/>
    </row>
    <row r="11255" spans="4:4">
      <c r="D11255" s="16"/>
    </row>
    <row r="11256" spans="4:4">
      <c r="D11256" s="16"/>
    </row>
    <row r="11257" spans="4:4">
      <c r="D11257" s="16"/>
    </row>
    <row r="11258" spans="4:4">
      <c r="D11258" s="16"/>
    </row>
    <row r="11259" spans="4:4">
      <c r="D11259" s="16"/>
    </row>
    <row r="11260" spans="4:4">
      <c r="D11260" s="16"/>
    </row>
    <row r="11261" spans="4:4">
      <c r="D11261" s="16"/>
    </row>
    <row r="11262" spans="4:4">
      <c r="D11262" s="16"/>
    </row>
    <row r="11263" spans="4:4">
      <c r="D11263" s="16"/>
    </row>
    <row r="11264" spans="4:4">
      <c r="D11264" s="16"/>
    </row>
    <row r="11265" spans="4:4">
      <c r="D11265" s="16"/>
    </row>
    <row r="11266" spans="4:4">
      <c r="D11266" s="16"/>
    </row>
    <row r="11267" spans="4:4">
      <c r="D11267" s="16"/>
    </row>
    <row r="11268" spans="4:4">
      <c r="D11268" s="16"/>
    </row>
    <row r="11269" spans="4:4">
      <c r="D11269" s="16"/>
    </row>
    <row r="11270" spans="4:4">
      <c r="D11270" s="16"/>
    </row>
    <row r="11271" spans="4:4">
      <c r="D11271" s="16"/>
    </row>
    <row r="11272" spans="4:4">
      <c r="D11272" s="16"/>
    </row>
    <row r="11273" spans="4:4">
      <c r="D11273" s="16"/>
    </row>
    <row r="11274" spans="4:4">
      <c r="D11274" s="16"/>
    </row>
    <row r="11275" spans="4:4">
      <c r="D11275" s="16"/>
    </row>
    <row r="11276" spans="4:4">
      <c r="D11276" s="16"/>
    </row>
    <row r="11277" spans="4:4">
      <c r="D11277" s="16"/>
    </row>
    <row r="11278" spans="4:4">
      <c r="D11278" s="16"/>
    </row>
    <row r="11279" spans="4:4">
      <c r="D11279" s="16"/>
    </row>
    <row r="11280" spans="4:4">
      <c r="D11280" s="16"/>
    </row>
    <row r="11281" spans="4:4">
      <c r="D11281" s="16"/>
    </row>
    <row r="11282" spans="4:4">
      <c r="D11282" s="16"/>
    </row>
    <row r="11283" spans="4:4">
      <c r="D11283" s="16"/>
    </row>
    <row r="11284" spans="4:4">
      <c r="D11284" s="16"/>
    </row>
    <row r="11285" spans="4:4">
      <c r="D11285" s="16"/>
    </row>
    <row r="11286" spans="4:4">
      <c r="D11286" s="16"/>
    </row>
    <row r="11287" spans="4:4">
      <c r="D11287" s="16"/>
    </row>
    <row r="11288" spans="4:4">
      <c r="D11288" s="16"/>
    </row>
    <row r="11289" spans="4:4">
      <c r="D11289" s="16"/>
    </row>
    <row r="11290" spans="4:4">
      <c r="D11290" s="16"/>
    </row>
    <row r="11291" spans="4:4">
      <c r="D11291" s="16"/>
    </row>
    <row r="11292" spans="4:4">
      <c r="D11292" s="16"/>
    </row>
    <row r="11293" spans="4:4">
      <c r="D11293" s="16"/>
    </row>
    <row r="11294" spans="4:4">
      <c r="D11294" s="16"/>
    </row>
    <row r="11295" spans="4:4">
      <c r="D11295" s="16"/>
    </row>
    <row r="11296" spans="4:4">
      <c r="D11296" s="16"/>
    </row>
    <row r="11297" spans="4:4">
      <c r="D11297" s="16"/>
    </row>
    <row r="11298" spans="4:4">
      <c r="D11298" s="16"/>
    </row>
    <row r="11299" spans="4:4">
      <c r="D11299" s="16"/>
    </row>
    <row r="11300" spans="4:4">
      <c r="D11300" s="16"/>
    </row>
    <row r="11301" spans="4:4">
      <c r="D11301" s="16"/>
    </row>
    <row r="11302" spans="4:4">
      <c r="D11302" s="16"/>
    </row>
    <row r="11303" spans="4:4">
      <c r="D11303" s="16"/>
    </row>
    <row r="11304" spans="4:4">
      <c r="D11304" s="16"/>
    </row>
    <row r="11305" spans="4:4">
      <c r="D11305" s="16"/>
    </row>
    <row r="11306" spans="4:4">
      <c r="D11306" s="16"/>
    </row>
    <row r="11307" spans="4:4">
      <c r="D11307" s="16"/>
    </row>
    <row r="11308" spans="4:4">
      <c r="D11308" s="16"/>
    </row>
    <row r="11309" spans="4:4">
      <c r="D11309" s="16"/>
    </row>
    <row r="11310" spans="4:4">
      <c r="D11310" s="16"/>
    </row>
    <row r="11311" spans="4:4">
      <c r="D11311" s="16"/>
    </row>
    <row r="11312" spans="4:4">
      <c r="D11312" s="16"/>
    </row>
    <row r="11313" spans="4:4">
      <c r="D11313" s="16"/>
    </row>
    <row r="11314" spans="4:4">
      <c r="D11314" s="16"/>
    </row>
    <row r="11315" spans="4:4">
      <c r="D11315" s="16"/>
    </row>
    <row r="11316" spans="4:4">
      <c r="D11316" s="16"/>
    </row>
    <row r="11317" spans="4:4">
      <c r="D11317" s="16"/>
    </row>
    <row r="11318" spans="4:4">
      <c r="D11318" s="16"/>
    </row>
    <row r="11319" spans="4:4">
      <c r="D11319" s="16"/>
    </row>
    <row r="11320" spans="4:4">
      <c r="D11320" s="16"/>
    </row>
    <row r="11321" spans="4:4">
      <c r="D11321" s="16"/>
    </row>
    <row r="11322" spans="4:4">
      <c r="D11322" s="16"/>
    </row>
    <row r="11323" spans="4:4">
      <c r="D11323" s="16"/>
    </row>
    <row r="11324" spans="4:4">
      <c r="D11324" s="16"/>
    </row>
    <row r="11325" spans="4:4">
      <c r="D11325" s="16"/>
    </row>
    <row r="11326" spans="4:4">
      <c r="D11326" s="16"/>
    </row>
    <row r="11327" spans="4:4">
      <c r="D11327" s="16"/>
    </row>
    <row r="11328" spans="4:4">
      <c r="D11328" s="16"/>
    </row>
    <row r="11329" spans="4:4">
      <c r="D11329" s="16"/>
    </row>
    <row r="11330" spans="4:4">
      <c r="D11330" s="16"/>
    </row>
    <row r="11331" spans="4:4">
      <c r="D11331" s="16"/>
    </row>
    <row r="11332" spans="4:4">
      <c r="D11332" s="16"/>
    </row>
    <row r="11333" spans="4:4">
      <c r="D11333" s="16"/>
    </row>
    <row r="11334" spans="4:4">
      <c r="D11334" s="16"/>
    </row>
    <row r="11335" spans="4:4">
      <c r="D11335" s="16"/>
    </row>
    <row r="11336" spans="4:4">
      <c r="D11336" s="16"/>
    </row>
    <row r="11337" spans="4:4">
      <c r="D11337" s="16"/>
    </row>
    <row r="11338" spans="4:4">
      <c r="D11338" s="16"/>
    </row>
    <row r="11339" spans="4:4">
      <c r="D11339" s="16"/>
    </row>
    <row r="11340" spans="4:4">
      <c r="D11340" s="16"/>
    </row>
    <row r="11341" spans="4:4">
      <c r="D11341" s="16"/>
    </row>
    <row r="11342" spans="4:4">
      <c r="D11342" s="16"/>
    </row>
    <row r="11343" spans="4:4">
      <c r="D11343" s="16"/>
    </row>
    <row r="11344" spans="4:4">
      <c r="D11344" s="16"/>
    </row>
    <row r="11345" spans="4:4">
      <c r="D11345" s="16"/>
    </row>
    <row r="11346" spans="4:4">
      <c r="D11346" s="16"/>
    </row>
    <row r="11347" spans="4:4">
      <c r="D11347" s="16"/>
    </row>
    <row r="11348" spans="4:4">
      <c r="D11348" s="16"/>
    </row>
    <row r="11349" spans="4:4">
      <c r="D11349" s="16"/>
    </row>
    <row r="11350" spans="4:4">
      <c r="D11350" s="16"/>
    </row>
    <row r="11351" spans="4:4">
      <c r="D11351" s="16"/>
    </row>
    <row r="11352" spans="4:4">
      <c r="D11352" s="16"/>
    </row>
    <row r="11353" spans="4:4">
      <c r="D11353" s="16"/>
    </row>
    <row r="11354" spans="4:4">
      <c r="D11354" s="16"/>
    </row>
    <row r="11355" spans="4:4">
      <c r="D11355" s="16"/>
    </row>
    <row r="11356" spans="4:4">
      <c r="D11356" s="16"/>
    </row>
    <row r="11357" spans="4:4">
      <c r="D11357" s="16"/>
    </row>
    <row r="11358" spans="4:4">
      <c r="D11358" s="16"/>
    </row>
    <row r="11359" spans="4:4">
      <c r="D11359" s="16"/>
    </row>
    <row r="11360" spans="4:4">
      <c r="D11360" s="16"/>
    </row>
    <row r="11361" spans="4:4">
      <c r="D11361" s="16"/>
    </row>
    <row r="11362" spans="4:4">
      <c r="D11362" s="16"/>
    </row>
    <row r="11363" spans="4:4">
      <c r="D11363" s="16"/>
    </row>
    <row r="11364" spans="4:4">
      <c r="D11364" s="16"/>
    </row>
    <row r="11365" spans="4:4">
      <c r="D11365" s="16"/>
    </row>
    <row r="11366" spans="4:4">
      <c r="D11366" s="16"/>
    </row>
    <row r="11367" spans="4:4">
      <c r="D11367" s="16"/>
    </row>
    <row r="11368" spans="4:4">
      <c r="D11368" s="16"/>
    </row>
    <row r="11369" spans="4:4">
      <c r="D11369" s="16"/>
    </row>
    <row r="11370" spans="4:4">
      <c r="D11370" s="16"/>
    </row>
    <row r="11371" spans="4:4">
      <c r="D11371" s="16"/>
    </row>
    <row r="11372" spans="4:4">
      <c r="D11372" s="16"/>
    </row>
    <row r="11373" spans="4:4">
      <c r="D11373" s="16"/>
    </row>
    <row r="11374" spans="4:4">
      <c r="D11374" s="16"/>
    </row>
    <row r="11375" spans="4:4">
      <c r="D11375" s="16"/>
    </row>
    <row r="11376" spans="4:4">
      <c r="D11376" s="16"/>
    </row>
    <row r="11377" spans="4:4">
      <c r="D11377" s="16"/>
    </row>
    <row r="11378" spans="4:4">
      <c r="D11378" s="16"/>
    </row>
    <row r="11379" spans="4:4">
      <c r="D11379" s="16"/>
    </row>
    <row r="11380" spans="4:4">
      <c r="D11380" s="16"/>
    </row>
    <row r="11381" spans="4:4">
      <c r="D11381" s="16"/>
    </row>
    <row r="11382" spans="4:4">
      <c r="D11382" s="16"/>
    </row>
    <row r="11383" spans="4:4">
      <c r="D11383" s="16"/>
    </row>
    <row r="11384" spans="4:4">
      <c r="D11384" s="16"/>
    </row>
    <row r="11385" spans="4:4">
      <c r="D11385" s="16"/>
    </row>
    <row r="11386" spans="4:4">
      <c r="D11386" s="16"/>
    </row>
    <row r="11387" spans="4:4">
      <c r="D11387" s="16"/>
    </row>
    <row r="11388" spans="4:4">
      <c r="D11388" s="16"/>
    </row>
    <row r="11389" spans="4:4">
      <c r="D11389" s="16"/>
    </row>
    <row r="11390" spans="4:4">
      <c r="D11390" s="16"/>
    </row>
    <row r="11391" spans="4:4">
      <c r="D11391" s="16"/>
    </row>
    <row r="11392" spans="4:4">
      <c r="D11392" s="16"/>
    </row>
    <row r="11393" spans="4:4">
      <c r="D11393" s="16"/>
    </row>
    <row r="11394" spans="4:4">
      <c r="D11394" s="16"/>
    </row>
    <row r="11395" spans="4:4">
      <c r="D11395" s="16"/>
    </row>
    <row r="11396" spans="4:4">
      <c r="D11396" s="16"/>
    </row>
    <row r="11397" spans="4:4">
      <c r="D11397" s="16"/>
    </row>
    <row r="11398" spans="4:4">
      <c r="D11398" s="16"/>
    </row>
    <row r="11399" spans="4:4">
      <c r="D11399" s="16"/>
    </row>
    <row r="11400" spans="4:4">
      <c r="D11400" s="16"/>
    </row>
    <row r="11401" spans="4:4">
      <c r="D11401" s="16"/>
    </row>
    <row r="11402" spans="4:4">
      <c r="D11402" s="16"/>
    </row>
    <row r="11403" spans="4:4">
      <c r="D11403" s="16"/>
    </row>
    <row r="11404" spans="4:4">
      <c r="D11404" s="16"/>
    </row>
    <row r="11405" spans="4:4">
      <c r="D11405" s="16"/>
    </row>
    <row r="11406" spans="4:4">
      <c r="D11406" s="16"/>
    </row>
    <row r="11407" spans="4:4">
      <c r="D11407" s="16"/>
    </row>
    <row r="11408" spans="4:4">
      <c r="D11408" s="16"/>
    </row>
    <row r="11409" spans="4:4">
      <c r="D11409" s="16"/>
    </row>
    <row r="11410" spans="4:4">
      <c r="D11410" s="16"/>
    </row>
    <row r="11411" spans="4:4">
      <c r="D11411" s="16"/>
    </row>
    <row r="11412" spans="4:4">
      <c r="D11412" s="16"/>
    </row>
    <row r="11413" spans="4:4">
      <c r="D11413" s="16"/>
    </row>
    <row r="11414" spans="4:4">
      <c r="D11414" s="16"/>
    </row>
    <row r="11415" spans="4:4">
      <c r="D11415" s="16"/>
    </row>
    <row r="11416" spans="4:4">
      <c r="D11416" s="16"/>
    </row>
    <row r="11417" spans="4:4">
      <c r="D11417" s="16"/>
    </row>
    <row r="11418" spans="4:4">
      <c r="D11418" s="16"/>
    </row>
    <row r="11419" spans="4:4">
      <c r="D11419" s="16"/>
    </row>
    <row r="11420" spans="4:4">
      <c r="D11420" s="16"/>
    </row>
    <row r="11421" spans="4:4">
      <c r="D11421" s="16"/>
    </row>
    <row r="11422" spans="4:4">
      <c r="D11422" s="16"/>
    </row>
    <row r="11423" spans="4:4">
      <c r="D11423" s="16"/>
    </row>
    <row r="11424" spans="4:4">
      <c r="D11424" s="16"/>
    </row>
    <row r="11425" spans="4:4">
      <c r="D11425" s="16"/>
    </row>
    <row r="11426" spans="4:4">
      <c r="D11426" s="16"/>
    </row>
    <row r="11427" spans="4:4">
      <c r="D11427" s="16"/>
    </row>
    <row r="11428" spans="4:4">
      <c r="D11428" s="16"/>
    </row>
    <row r="11429" spans="4:4">
      <c r="D11429" s="16"/>
    </row>
    <row r="11430" spans="4:4">
      <c r="D11430" s="16"/>
    </row>
    <row r="11431" spans="4:4">
      <c r="D11431" s="16"/>
    </row>
    <row r="11432" spans="4:4">
      <c r="D11432" s="16"/>
    </row>
    <row r="11433" spans="4:4">
      <c r="D11433" s="16"/>
    </row>
    <row r="11434" spans="4:4">
      <c r="D11434" s="16"/>
    </row>
    <row r="11435" spans="4:4">
      <c r="D11435" s="16"/>
    </row>
    <row r="11436" spans="4:4">
      <c r="D11436" s="16"/>
    </row>
    <row r="11437" spans="4:4">
      <c r="D11437" s="16"/>
    </row>
    <row r="11438" spans="4:4">
      <c r="D11438" s="16"/>
    </row>
    <row r="11439" spans="4:4">
      <c r="D11439" s="16"/>
    </row>
    <row r="11440" spans="4:4">
      <c r="D11440" s="16"/>
    </row>
    <row r="11441" spans="4:4">
      <c r="D11441" s="16"/>
    </row>
    <row r="11442" spans="4:4">
      <c r="D11442" s="16"/>
    </row>
    <row r="11443" spans="4:4">
      <c r="D11443" s="16"/>
    </row>
    <row r="11444" spans="4:4">
      <c r="D11444" s="16"/>
    </row>
    <row r="11445" spans="4:4">
      <c r="D11445" s="16"/>
    </row>
    <row r="11446" spans="4:4">
      <c r="D11446" s="16"/>
    </row>
    <row r="11447" spans="4:4">
      <c r="D11447" s="16"/>
    </row>
    <row r="11448" spans="4:4">
      <c r="D11448" s="16"/>
    </row>
    <row r="11449" spans="4:4">
      <c r="D11449" s="16"/>
    </row>
    <row r="11450" spans="4:4">
      <c r="D11450" s="16"/>
    </row>
    <row r="11451" spans="4:4">
      <c r="D11451" s="16"/>
    </row>
    <row r="11452" spans="4:4">
      <c r="D11452" s="16"/>
    </row>
    <row r="11453" spans="4:4">
      <c r="D11453" s="16"/>
    </row>
    <row r="11454" spans="4:4">
      <c r="D11454" s="16"/>
    </row>
    <row r="11455" spans="4:4">
      <c r="D11455" s="16"/>
    </row>
    <row r="11456" spans="4:4">
      <c r="D11456" s="16"/>
    </row>
    <row r="11457" spans="4:4">
      <c r="D11457" s="16"/>
    </row>
    <row r="11458" spans="4:4">
      <c r="D11458" s="16"/>
    </row>
    <row r="11459" spans="4:4">
      <c r="D11459" s="16"/>
    </row>
    <row r="11460" spans="4:4">
      <c r="D11460" s="16"/>
    </row>
    <row r="11461" spans="4:4">
      <c r="D11461" s="16"/>
    </row>
    <row r="11462" spans="4:4">
      <c r="D11462" s="16"/>
    </row>
    <row r="11463" spans="4:4">
      <c r="D11463" s="16"/>
    </row>
    <row r="11464" spans="4:4">
      <c r="D11464" s="16"/>
    </row>
    <row r="11465" spans="4:4">
      <c r="D11465" s="16"/>
    </row>
    <row r="11466" spans="4:4">
      <c r="D11466" s="16"/>
    </row>
    <row r="11467" spans="4:4">
      <c r="D11467" s="16"/>
    </row>
    <row r="11468" spans="4:4">
      <c r="D11468" s="16"/>
    </row>
    <row r="11469" spans="4:4">
      <c r="D11469" s="16"/>
    </row>
    <row r="11470" spans="4:4">
      <c r="D11470" s="16"/>
    </row>
    <row r="11471" spans="4:4">
      <c r="D11471" s="16"/>
    </row>
    <row r="11472" spans="4:4">
      <c r="D11472" s="16"/>
    </row>
    <row r="11473" spans="4:4">
      <c r="D11473" s="16"/>
    </row>
    <row r="11474" spans="4:4">
      <c r="D11474" s="16"/>
    </row>
    <row r="11475" spans="4:4">
      <c r="D11475" s="16"/>
    </row>
    <row r="11476" spans="4:4">
      <c r="D11476" s="16"/>
    </row>
    <row r="11477" spans="4:4">
      <c r="D11477" s="16"/>
    </row>
    <row r="11478" spans="4:4">
      <c r="D11478" s="16"/>
    </row>
    <row r="11479" spans="4:4">
      <c r="D11479" s="16"/>
    </row>
    <row r="11480" spans="4:4">
      <c r="D11480" s="16"/>
    </row>
    <row r="11481" spans="4:4">
      <c r="D11481" s="16"/>
    </row>
    <row r="11482" spans="4:4">
      <c r="D11482" s="16"/>
    </row>
    <row r="11483" spans="4:4">
      <c r="D11483" s="16"/>
    </row>
    <row r="11484" spans="4:4">
      <c r="D11484" s="16"/>
    </row>
    <row r="11485" spans="4:4">
      <c r="D11485" s="16"/>
    </row>
    <row r="11486" spans="4:4">
      <c r="D11486" s="16"/>
    </row>
    <row r="11487" spans="4:4">
      <c r="D11487" s="16"/>
    </row>
    <row r="11488" spans="4:4">
      <c r="D11488" s="16"/>
    </row>
    <row r="11489" spans="4:4">
      <c r="D11489" s="16"/>
    </row>
    <row r="11490" spans="4:4">
      <c r="D11490" s="16"/>
    </row>
    <row r="11491" spans="4:4">
      <c r="D11491" s="16"/>
    </row>
    <row r="11492" spans="4:4">
      <c r="D11492" s="16"/>
    </row>
    <row r="11493" spans="4:4">
      <c r="D11493" s="16"/>
    </row>
    <row r="11494" spans="4:4">
      <c r="D11494" s="16"/>
    </row>
    <row r="11495" spans="4:4">
      <c r="D11495" s="16"/>
    </row>
    <row r="11496" spans="4:4">
      <c r="D11496" s="16"/>
    </row>
    <row r="11497" spans="4:4">
      <c r="D11497" s="16"/>
    </row>
    <row r="11498" spans="4:4">
      <c r="D11498" s="16"/>
    </row>
    <row r="11499" spans="4:4">
      <c r="D11499" s="16"/>
    </row>
    <row r="11500" spans="4:4">
      <c r="D11500" s="16"/>
    </row>
    <row r="11501" spans="4:4">
      <c r="D11501" s="16"/>
    </row>
    <row r="11502" spans="4:4">
      <c r="D11502" s="16"/>
    </row>
    <row r="11503" spans="4:4">
      <c r="D11503" s="16"/>
    </row>
    <row r="11504" spans="4:4">
      <c r="D11504" s="16"/>
    </row>
    <row r="11505" spans="4:4">
      <c r="D11505" s="16"/>
    </row>
    <row r="11506" spans="4:4">
      <c r="D11506" s="16"/>
    </row>
    <row r="11507" spans="4:4">
      <c r="D11507" s="16"/>
    </row>
    <row r="11508" spans="4:4">
      <c r="D11508" s="16"/>
    </row>
    <row r="11509" spans="4:4">
      <c r="D11509" s="16"/>
    </row>
    <row r="11510" spans="4:4">
      <c r="D11510" s="16"/>
    </row>
    <row r="11511" spans="4:4">
      <c r="D11511" s="16"/>
    </row>
    <row r="11512" spans="4:4">
      <c r="D11512" s="16"/>
    </row>
    <row r="11513" spans="4:4">
      <c r="D11513" s="16"/>
    </row>
    <row r="11514" spans="4:4">
      <c r="D11514" s="16"/>
    </row>
    <row r="11515" spans="4:4">
      <c r="D11515" s="16"/>
    </row>
    <row r="11516" spans="4:4">
      <c r="D11516" s="16"/>
    </row>
    <row r="11517" spans="4:4">
      <c r="D11517" s="16"/>
    </row>
    <row r="11518" spans="4:4">
      <c r="D11518" s="16"/>
    </row>
    <row r="11519" spans="4:4">
      <c r="D11519" s="16"/>
    </row>
    <row r="11520" spans="4:4">
      <c r="D11520" s="16"/>
    </row>
    <row r="11521" spans="4:4">
      <c r="D11521" s="16"/>
    </row>
    <row r="11522" spans="4:4">
      <c r="D11522" s="16"/>
    </row>
    <row r="11523" spans="4:4">
      <c r="D11523" s="16"/>
    </row>
    <row r="11524" spans="4:4">
      <c r="D11524" s="16"/>
    </row>
    <row r="11525" spans="4:4">
      <c r="D11525" s="16"/>
    </row>
    <row r="11526" spans="4:4">
      <c r="D11526" s="16"/>
    </row>
    <row r="11527" spans="4:4">
      <c r="D11527" s="16"/>
    </row>
    <row r="11528" spans="4:4">
      <c r="D11528" s="16"/>
    </row>
    <row r="11529" spans="4:4">
      <c r="D11529" s="16"/>
    </row>
    <row r="11530" spans="4:4">
      <c r="D11530" s="16"/>
    </row>
    <row r="11531" spans="4:4">
      <c r="D11531" s="16"/>
    </row>
    <row r="11532" spans="4:4">
      <c r="D11532" s="16"/>
    </row>
    <row r="11533" spans="4:4">
      <c r="D11533" s="16"/>
    </row>
    <row r="11534" spans="4:4">
      <c r="D11534" s="16"/>
    </row>
    <row r="11535" spans="4:4">
      <c r="D11535" s="16"/>
    </row>
    <row r="11536" spans="4:4">
      <c r="D11536" s="16"/>
    </row>
    <row r="11537" spans="4:4">
      <c r="D11537" s="16"/>
    </row>
    <row r="11538" spans="4:4">
      <c r="D11538" s="16"/>
    </row>
    <row r="11539" spans="4:4">
      <c r="D11539" s="16"/>
    </row>
    <row r="11540" spans="4:4">
      <c r="D11540" s="16"/>
    </row>
    <row r="11541" spans="4:4">
      <c r="D11541" s="16"/>
    </row>
    <row r="11542" spans="4:4">
      <c r="D11542" s="16"/>
    </row>
    <row r="11543" spans="4:4">
      <c r="D11543" s="16"/>
    </row>
    <row r="11544" spans="4:4">
      <c r="D11544" s="16"/>
    </row>
    <row r="11545" spans="4:4">
      <c r="D11545" s="16"/>
    </row>
    <row r="11546" spans="4:4">
      <c r="D11546" s="16"/>
    </row>
    <row r="11547" spans="4:4">
      <c r="D11547" s="16"/>
    </row>
    <row r="11548" spans="4:4">
      <c r="D11548" s="16"/>
    </row>
    <row r="11549" spans="4:4">
      <c r="D11549" s="16"/>
    </row>
    <row r="11550" spans="4:4">
      <c r="D11550" s="16"/>
    </row>
    <row r="11551" spans="4:4">
      <c r="D11551" s="16"/>
    </row>
    <row r="11552" spans="4:4">
      <c r="D11552" s="16"/>
    </row>
    <row r="11553" spans="4:4">
      <c r="D11553" s="16"/>
    </row>
    <row r="11554" spans="4:4">
      <c r="D11554" s="16"/>
    </row>
    <row r="11555" spans="4:4">
      <c r="D11555" s="16"/>
    </row>
    <row r="11556" spans="4:4">
      <c r="D11556" s="16"/>
    </row>
    <row r="11557" spans="4:4">
      <c r="D11557" s="16"/>
    </row>
    <row r="11558" spans="4:4">
      <c r="D11558" s="16"/>
    </row>
    <row r="11559" spans="4:4">
      <c r="D11559" s="16"/>
    </row>
    <row r="11560" spans="4:4">
      <c r="D11560" s="16"/>
    </row>
    <row r="11561" spans="4:4">
      <c r="D11561" s="16"/>
    </row>
    <row r="11562" spans="4:4">
      <c r="D11562" s="16"/>
    </row>
    <row r="11563" spans="4:4">
      <c r="D11563" s="16"/>
    </row>
    <row r="11564" spans="4:4">
      <c r="D11564" s="16"/>
    </row>
    <row r="11565" spans="4:4">
      <c r="D11565" s="16"/>
    </row>
    <row r="11566" spans="4:4">
      <c r="D11566" s="16"/>
    </row>
    <row r="11567" spans="4:4">
      <c r="D11567" s="16"/>
    </row>
    <row r="11568" spans="4:4">
      <c r="D11568" s="16"/>
    </row>
    <row r="11569" spans="4:4">
      <c r="D11569" s="16"/>
    </row>
    <row r="11570" spans="4:4">
      <c r="D11570" s="16"/>
    </row>
    <row r="11571" spans="4:4">
      <c r="D11571" s="16"/>
    </row>
    <row r="11572" spans="4:4">
      <c r="D11572" s="16"/>
    </row>
    <row r="11573" spans="4:4">
      <c r="D11573" s="16"/>
    </row>
    <row r="11574" spans="4:4">
      <c r="D11574" s="16"/>
    </row>
    <row r="11575" spans="4:4">
      <c r="D11575" s="16"/>
    </row>
    <row r="11576" spans="4:4">
      <c r="D11576" s="16"/>
    </row>
    <row r="11577" spans="4:4">
      <c r="D11577" s="16"/>
    </row>
    <row r="11578" spans="4:4">
      <c r="D11578" s="16"/>
    </row>
    <row r="11579" spans="4:4">
      <c r="D11579" s="16"/>
    </row>
    <row r="11580" spans="4:4">
      <c r="D11580" s="16"/>
    </row>
    <row r="11581" spans="4:4">
      <c r="D11581" s="16"/>
    </row>
    <row r="11582" spans="4:4">
      <c r="D11582" s="16"/>
    </row>
    <row r="11583" spans="4:4">
      <c r="D11583" s="16"/>
    </row>
    <row r="11584" spans="4:4">
      <c r="D11584" s="16"/>
    </row>
    <row r="11585" spans="4:4">
      <c r="D11585" s="16"/>
    </row>
    <row r="11586" spans="4:4">
      <c r="D11586" s="16"/>
    </row>
    <row r="11587" spans="4:4">
      <c r="D11587" s="16"/>
    </row>
    <row r="11588" spans="4:4">
      <c r="D11588" s="16"/>
    </row>
    <row r="11589" spans="4:4">
      <c r="D11589" s="16"/>
    </row>
    <row r="11590" spans="4:4">
      <c r="D11590" s="16"/>
    </row>
    <row r="11591" spans="4:4">
      <c r="D11591" s="16"/>
    </row>
    <row r="11592" spans="4:4">
      <c r="D11592" s="16"/>
    </row>
    <row r="11593" spans="4:4">
      <c r="D11593" s="16"/>
    </row>
    <row r="11594" spans="4:4">
      <c r="D11594" s="16"/>
    </row>
    <row r="11595" spans="4:4">
      <c r="D11595" s="16"/>
    </row>
    <row r="11596" spans="4:4">
      <c r="D11596" s="16"/>
    </row>
    <row r="11597" spans="4:4">
      <c r="D11597" s="16"/>
    </row>
    <row r="11598" spans="4:4">
      <c r="D11598" s="16"/>
    </row>
    <row r="11599" spans="4:4">
      <c r="D11599" s="16"/>
    </row>
    <row r="11600" spans="4:4">
      <c r="D11600" s="16"/>
    </row>
    <row r="11601" spans="4:4">
      <c r="D11601" s="16"/>
    </row>
    <row r="11602" spans="4:4">
      <c r="D11602" s="16"/>
    </row>
    <row r="11603" spans="4:4">
      <c r="D11603" s="16"/>
    </row>
    <row r="11604" spans="4:4">
      <c r="D11604" s="16"/>
    </row>
    <row r="11605" spans="4:4">
      <c r="D11605" s="16"/>
    </row>
    <row r="11606" spans="4:4">
      <c r="D11606" s="16"/>
    </row>
    <row r="11607" spans="4:4">
      <c r="D11607" s="16"/>
    </row>
    <row r="11608" spans="4:4">
      <c r="D11608" s="16"/>
    </row>
    <row r="11609" spans="4:4">
      <c r="D11609" s="16"/>
    </row>
    <row r="11610" spans="4:4">
      <c r="D11610" s="16"/>
    </row>
    <row r="11611" spans="4:4">
      <c r="D11611" s="16"/>
    </row>
    <row r="11612" spans="4:4">
      <c r="D11612" s="16"/>
    </row>
    <row r="11613" spans="4:4">
      <c r="D11613" s="16"/>
    </row>
    <row r="11614" spans="4:4">
      <c r="D11614" s="16"/>
    </row>
    <row r="11615" spans="4:4">
      <c r="D11615" s="16"/>
    </row>
    <row r="11616" spans="4:4">
      <c r="D11616" s="16"/>
    </row>
    <row r="11617" spans="4:4">
      <c r="D11617" s="16"/>
    </row>
    <row r="11618" spans="4:4">
      <c r="D11618" s="16"/>
    </row>
    <row r="11619" spans="4:4">
      <c r="D11619" s="16"/>
    </row>
    <row r="11620" spans="4:4">
      <c r="D11620" s="16"/>
    </row>
    <row r="11621" spans="4:4">
      <c r="D11621" s="16"/>
    </row>
    <row r="11622" spans="4:4">
      <c r="D11622" s="16"/>
    </row>
    <row r="11623" spans="4:4">
      <c r="D11623" s="16"/>
    </row>
    <row r="11624" spans="4:4">
      <c r="D11624" s="16"/>
    </row>
    <row r="11625" spans="4:4">
      <c r="D11625" s="16"/>
    </row>
    <row r="11626" spans="4:4">
      <c r="D11626" s="16"/>
    </row>
    <row r="11627" spans="4:4">
      <c r="D11627" s="16"/>
    </row>
    <row r="11628" spans="4:4">
      <c r="D11628" s="16"/>
    </row>
    <row r="11629" spans="4:4">
      <c r="D11629" s="16"/>
    </row>
    <row r="11630" spans="4:4">
      <c r="D11630" s="16"/>
    </row>
    <row r="11631" spans="4:4">
      <c r="D11631" s="16"/>
    </row>
    <row r="11632" spans="4:4">
      <c r="D11632" s="16"/>
    </row>
    <row r="11633" spans="4:4">
      <c r="D11633" s="16"/>
    </row>
    <row r="11634" spans="4:4">
      <c r="D11634" s="16"/>
    </row>
    <row r="11635" spans="4:4">
      <c r="D11635" s="16"/>
    </row>
    <row r="11636" spans="4:4">
      <c r="D11636" s="16"/>
    </row>
    <row r="11637" spans="4:4">
      <c r="D11637" s="16"/>
    </row>
    <row r="11638" spans="4:4">
      <c r="D11638" s="16"/>
    </row>
    <row r="11639" spans="4:4">
      <c r="D11639" s="16"/>
    </row>
    <row r="11640" spans="4:4">
      <c r="D11640" s="16"/>
    </row>
    <row r="11641" spans="4:4">
      <c r="D11641" s="16"/>
    </row>
    <row r="11642" spans="4:4">
      <c r="D11642" s="16"/>
    </row>
    <row r="11643" spans="4:4">
      <c r="D11643" s="16"/>
    </row>
    <row r="11644" spans="4:4">
      <c r="D11644" s="16"/>
    </row>
    <row r="11645" spans="4:4">
      <c r="D11645" s="16"/>
    </row>
    <row r="11646" spans="4:4">
      <c r="D11646" s="16"/>
    </row>
    <row r="11647" spans="4:4">
      <c r="D11647" s="16"/>
    </row>
    <row r="11648" spans="4:4">
      <c r="D11648" s="16"/>
    </row>
    <row r="11649" spans="4:4">
      <c r="D11649" s="16"/>
    </row>
    <row r="11650" spans="4:4">
      <c r="D11650" s="16"/>
    </row>
    <row r="11651" spans="4:4">
      <c r="D11651" s="16"/>
    </row>
    <row r="11652" spans="4:4">
      <c r="D11652" s="16"/>
    </row>
    <row r="11653" spans="4:4">
      <c r="D11653" s="16"/>
    </row>
    <row r="11654" spans="4:4">
      <c r="D11654" s="16"/>
    </row>
    <row r="11655" spans="4:4">
      <c r="D11655" s="16"/>
    </row>
    <row r="11656" spans="4:4">
      <c r="D11656" s="16"/>
    </row>
    <row r="11657" spans="4:4">
      <c r="D11657" s="16"/>
    </row>
    <row r="11658" spans="4:4">
      <c r="D11658" s="16"/>
    </row>
    <row r="11659" spans="4:4">
      <c r="D11659" s="16"/>
    </row>
    <row r="11660" spans="4:4">
      <c r="D11660" s="16"/>
    </row>
    <row r="11661" spans="4:4">
      <c r="D11661" s="16"/>
    </row>
    <row r="11662" spans="4:4">
      <c r="D11662" s="16"/>
    </row>
    <row r="11663" spans="4:4">
      <c r="D11663" s="16"/>
    </row>
    <row r="11664" spans="4:4">
      <c r="D11664" s="16"/>
    </row>
    <row r="11665" spans="4:4">
      <c r="D11665" s="16"/>
    </row>
    <row r="11666" spans="4:4">
      <c r="D11666" s="16"/>
    </row>
    <row r="11667" spans="4:4">
      <c r="D11667" s="16"/>
    </row>
    <row r="11668" spans="4:4">
      <c r="D11668" s="16"/>
    </row>
    <row r="11669" spans="4:4">
      <c r="D11669" s="16"/>
    </row>
    <row r="11670" spans="4:4">
      <c r="D11670" s="16"/>
    </row>
    <row r="11671" spans="4:4">
      <c r="D11671" s="16"/>
    </row>
    <row r="11672" spans="4:4">
      <c r="D11672" s="16"/>
    </row>
    <row r="11673" spans="4:4">
      <c r="D11673" s="16"/>
    </row>
    <row r="11674" spans="4:4">
      <c r="D11674" s="16"/>
    </row>
    <row r="11675" spans="4:4">
      <c r="D11675" s="16"/>
    </row>
    <row r="11676" spans="4:4">
      <c r="D11676" s="16"/>
    </row>
    <row r="11677" spans="4:4">
      <c r="D11677" s="16"/>
    </row>
    <row r="11678" spans="4:4">
      <c r="D11678" s="16"/>
    </row>
    <row r="11679" spans="4:4">
      <c r="D11679" s="16"/>
    </row>
    <row r="11680" spans="4:4">
      <c r="D11680" s="16"/>
    </row>
    <row r="11681" spans="4:4">
      <c r="D11681" s="16"/>
    </row>
    <row r="11682" spans="4:4">
      <c r="D11682" s="16"/>
    </row>
    <row r="11683" spans="4:4">
      <c r="D11683" s="16"/>
    </row>
    <row r="11684" spans="4:4">
      <c r="D11684" s="16"/>
    </row>
    <row r="11685" spans="4:4">
      <c r="D11685" s="16"/>
    </row>
    <row r="11686" spans="4:4">
      <c r="D11686" s="16"/>
    </row>
    <row r="11687" spans="4:4">
      <c r="D11687" s="16"/>
    </row>
    <row r="11688" spans="4:4">
      <c r="D11688" s="16"/>
    </row>
    <row r="11689" spans="4:4">
      <c r="D11689" s="16"/>
    </row>
    <row r="11690" spans="4:4">
      <c r="D11690" s="16"/>
    </row>
    <row r="11691" spans="4:4">
      <c r="D11691" s="16"/>
    </row>
    <row r="11692" spans="4:4">
      <c r="D11692" s="16"/>
    </row>
    <row r="11693" spans="4:4">
      <c r="D11693" s="16"/>
    </row>
    <row r="11694" spans="4:4">
      <c r="D11694" s="16"/>
    </row>
    <row r="11695" spans="4:4">
      <c r="D11695" s="16"/>
    </row>
    <row r="11696" spans="4:4">
      <c r="D11696" s="16"/>
    </row>
    <row r="11697" spans="4:4">
      <c r="D11697" s="16"/>
    </row>
    <row r="11698" spans="4:4">
      <c r="D11698" s="16"/>
    </row>
    <row r="11699" spans="4:4">
      <c r="D11699" s="16"/>
    </row>
    <row r="11700" spans="4:4">
      <c r="D11700" s="16"/>
    </row>
    <row r="11701" spans="4:4">
      <c r="D11701" s="16"/>
    </row>
    <row r="11702" spans="4:4">
      <c r="D11702" s="16"/>
    </row>
    <row r="11703" spans="4:4">
      <c r="D11703" s="16"/>
    </row>
    <row r="11704" spans="4:4">
      <c r="D11704" s="16"/>
    </row>
    <row r="11705" spans="4:4">
      <c r="D11705" s="16"/>
    </row>
    <row r="11706" spans="4:4">
      <c r="D11706" s="16"/>
    </row>
    <row r="11707" spans="4:4">
      <c r="D11707" s="16"/>
    </row>
    <row r="11708" spans="4:4">
      <c r="D11708" s="16"/>
    </row>
    <row r="11709" spans="4:4">
      <c r="D11709" s="16"/>
    </row>
    <row r="11710" spans="4:4">
      <c r="D11710" s="16"/>
    </row>
    <row r="11711" spans="4:4">
      <c r="D11711" s="16"/>
    </row>
    <row r="11712" spans="4:4">
      <c r="D11712" s="16"/>
    </row>
    <row r="11713" spans="4:4">
      <c r="D11713" s="16"/>
    </row>
    <row r="11714" spans="4:4">
      <c r="D11714" s="16"/>
    </row>
    <row r="11715" spans="4:4">
      <c r="D11715" s="16"/>
    </row>
    <row r="11716" spans="4:4">
      <c r="D11716" s="16"/>
    </row>
    <row r="11717" spans="4:4">
      <c r="D11717" s="16"/>
    </row>
    <row r="11718" spans="4:4">
      <c r="D11718" s="16"/>
    </row>
    <row r="11719" spans="4:4">
      <c r="D11719" s="16"/>
    </row>
    <row r="11720" spans="4:4">
      <c r="D11720" s="16"/>
    </row>
    <row r="11721" spans="4:4">
      <c r="D11721" s="16"/>
    </row>
    <row r="11722" spans="4:4">
      <c r="D11722" s="16"/>
    </row>
    <row r="11723" spans="4:4">
      <c r="D11723" s="16"/>
    </row>
    <row r="11724" spans="4:4">
      <c r="D11724" s="16"/>
    </row>
    <row r="11725" spans="4:4">
      <c r="D11725" s="16"/>
    </row>
    <row r="11726" spans="4:4">
      <c r="D11726" s="16"/>
    </row>
    <row r="11727" spans="4:4">
      <c r="D11727" s="16"/>
    </row>
    <row r="11728" spans="4:4">
      <c r="D11728" s="16"/>
    </row>
    <row r="11729" spans="4:4">
      <c r="D11729" s="16"/>
    </row>
    <row r="11730" spans="4:4">
      <c r="D11730" s="16"/>
    </row>
    <row r="11731" spans="4:4">
      <c r="D11731" s="16"/>
    </row>
    <row r="11732" spans="4:4">
      <c r="D11732" s="16"/>
    </row>
    <row r="11733" spans="4:4">
      <c r="D11733" s="16"/>
    </row>
    <row r="11734" spans="4:4">
      <c r="D11734" s="16"/>
    </row>
    <row r="11735" spans="4:4">
      <c r="D11735" s="16"/>
    </row>
    <row r="11736" spans="4:4">
      <c r="D11736" s="16"/>
    </row>
    <row r="11737" spans="4:4">
      <c r="D11737" s="16"/>
    </row>
    <row r="11738" spans="4:4">
      <c r="D11738" s="16"/>
    </row>
    <row r="11739" spans="4:4">
      <c r="D11739" s="16"/>
    </row>
    <row r="11740" spans="4:4">
      <c r="D11740" s="16"/>
    </row>
    <row r="11741" spans="4:4">
      <c r="D11741" s="16"/>
    </row>
    <row r="11742" spans="4:4">
      <c r="D11742" s="16"/>
    </row>
    <row r="11743" spans="4:4">
      <c r="D11743" s="16"/>
    </row>
    <row r="11744" spans="4:4">
      <c r="D11744" s="16"/>
    </row>
    <row r="11745" spans="4:4">
      <c r="D11745" s="16"/>
    </row>
    <row r="11746" spans="4:4">
      <c r="D11746" s="16"/>
    </row>
    <row r="11747" spans="4:4">
      <c r="D11747" s="16"/>
    </row>
    <row r="11748" spans="4:4">
      <c r="D11748" s="16"/>
    </row>
    <row r="11749" spans="4:4">
      <c r="D11749" s="16"/>
    </row>
    <row r="11750" spans="4:4">
      <c r="D11750" s="16"/>
    </row>
    <row r="11751" spans="4:4">
      <c r="D11751" s="16"/>
    </row>
    <row r="11752" spans="4:4">
      <c r="D11752" s="16"/>
    </row>
    <row r="11753" spans="4:4">
      <c r="D11753" s="16"/>
    </row>
    <row r="11754" spans="4:4">
      <c r="D11754" s="16"/>
    </row>
    <row r="11755" spans="4:4">
      <c r="D11755" s="16"/>
    </row>
    <row r="11756" spans="4:4">
      <c r="D11756" s="16"/>
    </row>
    <row r="11757" spans="4:4">
      <c r="D11757" s="16"/>
    </row>
    <row r="11758" spans="4:4">
      <c r="D11758" s="16"/>
    </row>
    <row r="11759" spans="4:4">
      <c r="D11759" s="16"/>
    </row>
    <row r="11760" spans="4:4">
      <c r="D11760" s="16"/>
    </row>
    <row r="11761" spans="4:4">
      <c r="D11761" s="16"/>
    </row>
    <row r="11762" spans="4:4">
      <c r="D11762" s="16"/>
    </row>
    <row r="11763" spans="4:4">
      <c r="D11763" s="16"/>
    </row>
    <row r="11764" spans="4:4">
      <c r="D11764" s="16"/>
    </row>
    <row r="11765" spans="4:4">
      <c r="D11765" s="16"/>
    </row>
    <row r="11766" spans="4:4">
      <c r="D11766" s="16"/>
    </row>
    <row r="11767" spans="4:4">
      <c r="D11767" s="16"/>
    </row>
    <row r="11768" spans="4:4">
      <c r="D11768" s="16"/>
    </row>
    <row r="11769" spans="4:4">
      <c r="D11769" s="16"/>
    </row>
    <row r="11770" spans="4:4">
      <c r="D11770" s="16"/>
    </row>
    <row r="11771" spans="4:4">
      <c r="D11771" s="16"/>
    </row>
    <row r="11772" spans="4:4">
      <c r="D11772" s="16"/>
    </row>
    <row r="11773" spans="4:4">
      <c r="D11773" s="16"/>
    </row>
    <row r="11774" spans="4:4">
      <c r="D11774" s="16"/>
    </row>
    <row r="11775" spans="4:4">
      <c r="D11775" s="16"/>
    </row>
    <row r="11776" spans="4:4">
      <c r="D11776" s="16"/>
    </row>
    <row r="11777" spans="4:4">
      <c r="D11777" s="16"/>
    </row>
    <row r="11778" spans="4:4">
      <c r="D11778" s="16"/>
    </row>
    <row r="11779" spans="4:4">
      <c r="D11779" s="16"/>
    </row>
    <row r="11780" spans="4:4">
      <c r="D11780" s="16"/>
    </row>
    <row r="11781" spans="4:4">
      <c r="D11781" s="16"/>
    </row>
    <row r="11782" spans="4:4">
      <c r="D11782" s="16"/>
    </row>
    <row r="11783" spans="4:4">
      <c r="D11783" s="16"/>
    </row>
    <row r="11784" spans="4:4">
      <c r="D11784" s="16"/>
    </row>
    <row r="11785" spans="4:4">
      <c r="D11785" s="16"/>
    </row>
    <row r="11786" spans="4:4">
      <c r="D11786" s="16"/>
    </row>
    <row r="11787" spans="4:4">
      <c r="D11787" s="16"/>
    </row>
    <row r="11788" spans="4:4">
      <c r="D11788" s="16"/>
    </row>
    <row r="11789" spans="4:4">
      <c r="D11789" s="16"/>
    </row>
    <row r="11790" spans="4:4">
      <c r="D11790" s="16"/>
    </row>
    <row r="11791" spans="4:4">
      <c r="D11791" s="16"/>
    </row>
    <row r="11792" spans="4:4">
      <c r="D11792" s="16"/>
    </row>
    <row r="11793" spans="4:4">
      <c r="D11793" s="16"/>
    </row>
    <row r="11794" spans="4:4">
      <c r="D11794" s="16"/>
    </row>
    <row r="11795" spans="4:4">
      <c r="D11795" s="16"/>
    </row>
    <row r="11796" spans="4:4">
      <c r="D11796" s="16"/>
    </row>
    <row r="11797" spans="4:4">
      <c r="D11797" s="16"/>
    </row>
    <row r="11798" spans="4:4">
      <c r="D11798" s="16"/>
    </row>
    <row r="11799" spans="4:4">
      <c r="D11799" s="16"/>
    </row>
    <row r="11800" spans="4:4">
      <c r="D11800" s="16"/>
    </row>
    <row r="11801" spans="4:4">
      <c r="D11801" s="16"/>
    </row>
    <row r="11802" spans="4:4">
      <c r="D11802" s="16"/>
    </row>
    <row r="11803" spans="4:4">
      <c r="D11803" s="16"/>
    </row>
    <row r="11804" spans="4:4">
      <c r="D11804" s="16"/>
    </row>
    <row r="11805" spans="4:4">
      <c r="D11805" s="16"/>
    </row>
    <row r="11806" spans="4:4">
      <c r="D11806" s="16"/>
    </row>
    <row r="11807" spans="4:4">
      <c r="D11807" s="16"/>
    </row>
    <row r="11808" spans="4:4">
      <c r="D11808" s="16"/>
    </row>
    <row r="11809" spans="4:4">
      <c r="D11809" s="16"/>
    </row>
    <row r="11810" spans="4:4">
      <c r="D11810" s="16"/>
    </row>
    <row r="11811" spans="4:4">
      <c r="D11811" s="16"/>
    </row>
    <row r="11812" spans="4:4">
      <c r="D11812" s="16"/>
    </row>
    <row r="11813" spans="4:4">
      <c r="D11813" s="16"/>
    </row>
    <row r="11814" spans="4:4">
      <c r="D11814" s="16"/>
    </row>
    <row r="11815" spans="4:4">
      <c r="D11815" s="16"/>
    </row>
    <row r="11816" spans="4:4">
      <c r="D11816" s="16"/>
    </row>
    <row r="11817" spans="4:4">
      <c r="D11817" s="16"/>
    </row>
    <row r="11818" spans="4:4">
      <c r="D11818" s="16"/>
    </row>
    <row r="11819" spans="4:4">
      <c r="D11819" s="16"/>
    </row>
    <row r="11820" spans="4:4">
      <c r="D11820" s="16"/>
    </row>
    <row r="11821" spans="4:4">
      <c r="D11821" s="16"/>
    </row>
    <row r="11822" spans="4:4">
      <c r="D11822" s="16"/>
    </row>
    <row r="11823" spans="4:4">
      <c r="D11823" s="16"/>
    </row>
    <row r="11824" spans="4:4">
      <c r="D11824" s="16"/>
    </row>
    <row r="11825" spans="4:4">
      <c r="D11825" s="16"/>
    </row>
    <row r="11826" spans="4:4">
      <c r="D11826" s="16"/>
    </row>
    <row r="11827" spans="4:4">
      <c r="D11827" s="16"/>
    </row>
    <row r="11828" spans="4:4">
      <c r="D11828" s="16"/>
    </row>
    <row r="11829" spans="4:4">
      <c r="D11829" s="16"/>
    </row>
    <row r="11830" spans="4:4">
      <c r="D11830" s="16"/>
    </row>
    <row r="11831" spans="4:4">
      <c r="D11831" s="16"/>
    </row>
    <row r="11832" spans="4:4">
      <c r="D11832" s="16"/>
    </row>
    <row r="11833" spans="4:4">
      <c r="D11833" s="16"/>
    </row>
    <row r="11834" spans="4:4">
      <c r="D11834" s="16"/>
    </row>
    <row r="11835" spans="4:4">
      <c r="D11835" s="16"/>
    </row>
    <row r="11836" spans="4:4">
      <c r="D11836" s="16"/>
    </row>
    <row r="11837" spans="4:4">
      <c r="D11837" s="16"/>
    </row>
    <row r="11838" spans="4:4">
      <c r="D11838" s="16"/>
    </row>
    <row r="11839" spans="4:4">
      <c r="D11839" s="16"/>
    </row>
    <row r="11840" spans="4:4">
      <c r="D11840" s="16"/>
    </row>
    <row r="11841" spans="4:4">
      <c r="D11841" s="16"/>
    </row>
    <row r="11842" spans="4:4">
      <c r="D11842" s="16"/>
    </row>
    <row r="11843" spans="4:4">
      <c r="D11843" s="16"/>
    </row>
    <row r="11844" spans="4:4">
      <c r="D11844" s="16"/>
    </row>
    <row r="11845" spans="4:4">
      <c r="D11845" s="16"/>
    </row>
    <row r="11846" spans="4:4">
      <c r="D11846" s="16"/>
    </row>
    <row r="11847" spans="4:4">
      <c r="D11847" s="16"/>
    </row>
    <row r="11848" spans="4:4">
      <c r="D11848" s="16"/>
    </row>
    <row r="11849" spans="4:4">
      <c r="D11849" s="16"/>
    </row>
    <row r="11850" spans="4:4">
      <c r="D11850" s="16"/>
    </row>
    <row r="11851" spans="4:4">
      <c r="D11851" s="16"/>
    </row>
    <row r="11852" spans="4:4">
      <c r="D11852" s="16"/>
    </row>
    <row r="11853" spans="4:4">
      <c r="D11853" s="16"/>
    </row>
    <row r="11854" spans="4:4">
      <c r="D11854" s="16"/>
    </row>
    <row r="11855" spans="4:4">
      <c r="D11855" s="16"/>
    </row>
    <row r="11856" spans="4:4">
      <c r="D11856" s="16"/>
    </row>
    <row r="11857" spans="4:4">
      <c r="D11857" s="16"/>
    </row>
    <row r="11858" spans="4:4">
      <c r="D11858" s="16"/>
    </row>
    <row r="11859" spans="4:4">
      <c r="D11859" s="16"/>
    </row>
    <row r="11860" spans="4:4">
      <c r="D11860" s="16"/>
    </row>
    <row r="11861" spans="4:4">
      <c r="D11861" s="16"/>
    </row>
    <row r="11862" spans="4:4">
      <c r="D11862" s="16"/>
    </row>
    <row r="11863" spans="4:4">
      <c r="D11863" s="16"/>
    </row>
    <row r="11864" spans="4:4">
      <c r="D11864" s="16"/>
    </row>
    <row r="11865" spans="4:4">
      <c r="D11865" s="16"/>
    </row>
    <row r="11866" spans="4:4">
      <c r="D11866" s="16"/>
    </row>
    <row r="11867" spans="4:4">
      <c r="D11867" s="16"/>
    </row>
    <row r="11868" spans="4:4">
      <c r="D11868" s="16"/>
    </row>
    <row r="11869" spans="4:4">
      <c r="D11869" s="16"/>
    </row>
    <row r="11870" spans="4:4">
      <c r="D11870" s="16"/>
    </row>
    <row r="11871" spans="4:4">
      <c r="D11871" s="16"/>
    </row>
    <row r="11872" spans="4:4">
      <c r="D11872" s="16"/>
    </row>
    <row r="11873" spans="4:4">
      <c r="D11873" s="16"/>
    </row>
    <row r="11874" spans="4:4">
      <c r="D11874" s="16"/>
    </row>
    <row r="11875" spans="4:4">
      <c r="D11875" s="16"/>
    </row>
    <row r="11876" spans="4:4">
      <c r="D11876" s="16"/>
    </row>
    <row r="11877" spans="4:4">
      <c r="D11877" s="16"/>
    </row>
    <row r="11878" spans="4:4">
      <c r="D11878" s="16"/>
    </row>
    <row r="11879" spans="4:4">
      <c r="D11879" s="16"/>
    </row>
    <row r="11880" spans="4:4">
      <c r="D11880" s="16"/>
    </row>
    <row r="11881" spans="4:4">
      <c r="D11881" s="16"/>
    </row>
    <row r="11882" spans="4:4">
      <c r="D11882" s="16"/>
    </row>
    <row r="11883" spans="4:4">
      <c r="D11883" s="16"/>
    </row>
    <row r="11884" spans="4:4">
      <c r="D11884" s="16"/>
    </row>
    <row r="11885" spans="4:4">
      <c r="D11885" s="16"/>
    </row>
    <row r="11886" spans="4:4">
      <c r="D11886" s="16"/>
    </row>
    <row r="11887" spans="4:4">
      <c r="D11887" s="16"/>
    </row>
    <row r="11888" spans="4:4">
      <c r="D11888" s="16"/>
    </row>
    <row r="11889" spans="4:4">
      <c r="D11889" s="16"/>
    </row>
    <row r="11890" spans="4:4">
      <c r="D11890" s="16"/>
    </row>
    <row r="11891" spans="4:4">
      <c r="D11891" s="16"/>
    </row>
    <row r="11892" spans="4:4">
      <c r="D11892" s="16"/>
    </row>
    <row r="11893" spans="4:4">
      <c r="D11893" s="16"/>
    </row>
    <row r="11894" spans="4:4">
      <c r="D11894" s="16"/>
    </row>
    <row r="11895" spans="4:4">
      <c r="D11895" s="16"/>
    </row>
    <row r="11896" spans="4:4">
      <c r="D11896" s="16"/>
    </row>
    <row r="11897" spans="4:4">
      <c r="D11897" s="16"/>
    </row>
    <row r="11898" spans="4:4">
      <c r="D11898" s="16"/>
    </row>
    <row r="11899" spans="4:4">
      <c r="D11899" s="16"/>
    </row>
    <row r="11900" spans="4:4">
      <c r="D11900" s="16"/>
    </row>
    <row r="11901" spans="4:4">
      <c r="D11901" s="16"/>
    </row>
    <row r="11902" spans="4:4">
      <c r="D11902" s="16"/>
    </row>
    <row r="11903" spans="4:4">
      <c r="D11903" s="16"/>
    </row>
    <row r="11904" spans="4:4">
      <c r="D11904" s="16"/>
    </row>
    <row r="11905" spans="4:4">
      <c r="D11905" s="16"/>
    </row>
    <row r="11906" spans="4:4">
      <c r="D11906" s="16"/>
    </row>
    <row r="11907" spans="4:4">
      <c r="D11907" s="16"/>
    </row>
    <row r="11908" spans="4:4">
      <c r="D11908" s="16"/>
    </row>
    <row r="11909" spans="4:4">
      <c r="D11909" s="16"/>
    </row>
    <row r="11910" spans="4:4">
      <c r="D11910" s="16"/>
    </row>
    <row r="11911" spans="4:4">
      <c r="D11911" s="16"/>
    </row>
    <row r="11912" spans="4:4">
      <c r="D11912" s="16"/>
    </row>
    <row r="11913" spans="4:4">
      <c r="D11913" s="16"/>
    </row>
    <row r="11914" spans="4:4">
      <c r="D11914" s="16"/>
    </row>
    <row r="11915" spans="4:4">
      <c r="D11915" s="16"/>
    </row>
    <row r="11916" spans="4:4">
      <c r="D11916" s="16"/>
    </row>
    <row r="11917" spans="4:4">
      <c r="D11917" s="16"/>
    </row>
    <row r="11918" spans="4:4">
      <c r="D11918" s="16"/>
    </row>
    <row r="11919" spans="4:4">
      <c r="D11919" s="16"/>
    </row>
    <row r="11920" spans="4:4">
      <c r="D11920" s="16"/>
    </row>
    <row r="11921" spans="4:4">
      <c r="D11921" s="16"/>
    </row>
    <row r="11922" spans="4:4">
      <c r="D11922" s="16"/>
    </row>
    <row r="11923" spans="4:4">
      <c r="D11923" s="16"/>
    </row>
    <row r="11924" spans="4:4">
      <c r="D11924" s="16"/>
    </row>
    <row r="11925" spans="4:4">
      <c r="D11925" s="16"/>
    </row>
    <row r="11926" spans="4:4">
      <c r="D11926" s="16"/>
    </row>
    <row r="11927" spans="4:4">
      <c r="D11927" s="16"/>
    </row>
    <row r="11928" spans="4:4">
      <c r="D11928" s="16"/>
    </row>
    <row r="11929" spans="4:4">
      <c r="D11929" s="16"/>
    </row>
    <row r="11930" spans="4:4">
      <c r="D11930" s="16"/>
    </row>
    <row r="11931" spans="4:4">
      <c r="D11931" s="16"/>
    </row>
    <row r="11932" spans="4:4">
      <c r="D11932" s="16"/>
    </row>
    <row r="11933" spans="4:4">
      <c r="D11933" s="16"/>
    </row>
    <row r="11934" spans="4:4">
      <c r="D11934" s="16"/>
    </row>
    <row r="11935" spans="4:4">
      <c r="D11935" s="16"/>
    </row>
    <row r="11936" spans="4:4">
      <c r="D11936" s="16"/>
    </row>
    <row r="11937" spans="4:4">
      <c r="D11937" s="16"/>
    </row>
    <row r="11938" spans="4:4">
      <c r="D11938" s="16"/>
    </row>
    <row r="11939" spans="4:4">
      <c r="D11939" s="16"/>
    </row>
    <row r="11940" spans="4:4">
      <c r="D11940" s="16"/>
    </row>
    <row r="11941" spans="4:4">
      <c r="D11941" s="16"/>
    </row>
    <row r="11942" spans="4:4">
      <c r="D11942" s="16"/>
    </row>
    <row r="11943" spans="4:4">
      <c r="D11943" s="16"/>
    </row>
    <row r="11944" spans="4:4">
      <c r="D11944" s="16"/>
    </row>
    <row r="11945" spans="4:4">
      <c r="D11945" s="16"/>
    </row>
    <row r="11946" spans="4:4">
      <c r="D11946" s="16"/>
    </row>
    <row r="11947" spans="4:4">
      <c r="D11947" s="16"/>
    </row>
    <row r="11948" spans="4:4">
      <c r="D11948" s="16"/>
    </row>
    <row r="11949" spans="4:4">
      <c r="D11949" s="16"/>
    </row>
    <row r="11950" spans="4:4">
      <c r="D11950" s="16"/>
    </row>
    <row r="11951" spans="4:4">
      <c r="D11951" s="16"/>
    </row>
    <row r="11952" spans="4:4">
      <c r="D11952" s="16"/>
    </row>
    <row r="11953" spans="4:4">
      <c r="D11953" s="16"/>
    </row>
    <row r="11954" spans="4:4">
      <c r="D11954" s="16"/>
    </row>
    <row r="11955" spans="4:4">
      <c r="D11955" s="16"/>
    </row>
    <row r="11956" spans="4:4">
      <c r="D11956" s="16"/>
    </row>
    <row r="11957" spans="4:4">
      <c r="D11957" s="16"/>
    </row>
    <row r="11958" spans="4:4">
      <c r="D11958" s="16"/>
    </row>
    <row r="11959" spans="4:4">
      <c r="D11959" s="16"/>
    </row>
    <row r="11960" spans="4:4">
      <c r="D11960" s="16"/>
    </row>
    <row r="11961" spans="4:4">
      <c r="D11961" s="16"/>
    </row>
    <row r="11962" spans="4:4">
      <c r="D11962" s="16"/>
    </row>
    <row r="11963" spans="4:4">
      <c r="D11963" s="16"/>
    </row>
    <row r="11964" spans="4:4">
      <c r="D11964" s="16"/>
    </row>
    <row r="11965" spans="4:4">
      <c r="D11965" s="16"/>
    </row>
    <row r="11966" spans="4:4">
      <c r="D11966" s="16"/>
    </row>
    <row r="11967" spans="4:4">
      <c r="D11967" s="16"/>
    </row>
    <row r="11968" spans="4:4">
      <c r="D11968" s="16"/>
    </row>
    <row r="11969" spans="4:4">
      <c r="D11969" s="16"/>
    </row>
    <row r="11970" spans="4:4">
      <c r="D11970" s="16"/>
    </row>
    <row r="11971" spans="4:4">
      <c r="D11971" s="16"/>
    </row>
    <row r="11972" spans="4:4">
      <c r="D11972" s="16"/>
    </row>
    <row r="11973" spans="4:4">
      <c r="D11973" s="16"/>
    </row>
    <row r="11974" spans="4:4">
      <c r="D11974" s="16"/>
    </row>
    <row r="11975" spans="4:4">
      <c r="D11975" s="16"/>
    </row>
    <row r="11976" spans="4:4">
      <c r="D11976" s="16"/>
    </row>
    <row r="11977" spans="4:4">
      <c r="D11977" s="16"/>
    </row>
    <row r="11978" spans="4:4">
      <c r="D11978" s="16"/>
    </row>
    <row r="11979" spans="4:4">
      <c r="D11979" s="16"/>
    </row>
    <row r="11980" spans="4:4">
      <c r="D11980" s="16"/>
    </row>
    <row r="11981" spans="4:4">
      <c r="D11981" s="16"/>
    </row>
    <row r="11982" spans="4:4">
      <c r="D11982" s="16"/>
    </row>
    <row r="11983" spans="4:4">
      <c r="D11983" s="16"/>
    </row>
    <row r="11984" spans="4:4">
      <c r="D11984" s="16"/>
    </row>
    <row r="11985" spans="4:4">
      <c r="D11985" s="16"/>
    </row>
    <row r="11986" spans="4:4">
      <c r="D11986" s="16"/>
    </row>
    <row r="11987" spans="4:4">
      <c r="D11987" s="16"/>
    </row>
    <row r="11988" spans="4:4">
      <c r="D11988" s="16"/>
    </row>
    <row r="11989" spans="4:4">
      <c r="D11989" s="16"/>
    </row>
    <row r="11990" spans="4:4">
      <c r="D11990" s="16"/>
    </row>
    <row r="11991" spans="4:4">
      <c r="D11991" s="16"/>
    </row>
    <row r="11992" spans="4:4">
      <c r="D11992" s="16"/>
    </row>
    <row r="11993" spans="4:4">
      <c r="D11993" s="16"/>
    </row>
    <row r="11994" spans="4:4">
      <c r="D11994" s="16"/>
    </row>
    <row r="11995" spans="4:4">
      <c r="D11995" s="16"/>
    </row>
    <row r="11996" spans="4:4">
      <c r="D11996" s="16"/>
    </row>
    <row r="11997" spans="4:4">
      <c r="D11997" s="16"/>
    </row>
    <row r="11998" spans="4:4">
      <c r="D11998" s="16"/>
    </row>
    <row r="11999" spans="4:4">
      <c r="D11999" s="16"/>
    </row>
    <row r="12000" spans="4:4">
      <c r="D12000" s="16"/>
    </row>
    <row r="12001" spans="4:4">
      <c r="D12001" s="16"/>
    </row>
    <row r="12002" spans="4:4">
      <c r="D12002" s="16"/>
    </row>
    <row r="12003" spans="4:4">
      <c r="D12003" s="16"/>
    </row>
    <row r="12004" spans="4:4">
      <c r="D12004" s="16"/>
    </row>
    <row r="12005" spans="4:4">
      <c r="D12005" s="16"/>
    </row>
    <row r="12006" spans="4:4">
      <c r="D12006" s="16"/>
    </row>
    <row r="12007" spans="4:4">
      <c r="D12007" s="16"/>
    </row>
    <row r="12008" spans="4:4">
      <c r="D12008" s="16"/>
    </row>
    <row r="12009" spans="4:4">
      <c r="D12009" s="16"/>
    </row>
    <row r="12010" spans="4:4">
      <c r="D12010" s="16"/>
    </row>
    <row r="12011" spans="4:4">
      <c r="D12011" s="16"/>
    </row>
    <row r="12012" spans="4:4">
      <c r="D12012" s="16"/>
    </row>
    <row r="12013" spans="4:4">
      <c r="D12013" s="16"/>
    </row>
    <row r="12014" spans="4:4">
      <c r="D12014" s="16"/>
    </row>
    <row r="12015" spans="4:4">
      <c r="D12015" s="16"/>
    </row>
    <row r="12016" spans="4:4">
      <c r="D12016" s="16"/>
    </row>
    <row r="12017" spans="4:4">
      <c r="D12017" s="16"/>
    </row>
    <row r="12018" spans="4:4">
      <c r="D12018" s="16"/>
    </row>
    <row r="12019" spans="4:4">
      <c r="D12019" s="16"/>
    </row>
    <row r="12020" spans="4:4">
      <c r="D12020" s="16"/>
    </row>
    <row r="12021" spans="4:4">
      <c r="D12021" s="16"/>
    </row>
    <row r="12022" spans="4:4">
      <c r="D12022" s="16"/>
    </row>
    <row r="12023" spans="4:4">
      <c r="D12023" s="16"/>
    </row>
    <row r="12024" spans="4:4">
      <c r="D12024" s="16"/>
    </row>
    <row r="12025" spans="4:4">
      <c r="D12025" s="16"/>
    </row>
    <row r="12026" spans="4:4">
      <c r="D12026" s="16"/>
    </row>
    <row r="12027" spans="4:4">
      <c r="D12027" s="16"/>
    </row>
    <row r="12028" spans="4:4">
      <c r="D12028" s="16"/>
    </row>
    <row r="12029" spans="4:4">
      <c r="D12029" s="16"/>
    </row>
    <row r="12030" spans="4:4">
      <c r="D12030" s="16"/>
    </row>
    <row r="12031" spans="4:4">
      <c r="D12031" s="16"/>
    </row>
    <row r="12032" spans="4:4">
      <c r="D12032" s="16"/>
    </row>
    <row r="12033" spans="4:4">
      <c r="D12033" s="16"/>
    </row>
    <row r="12034" spans="4:4">
      <c r="D12034" s="16"/>
    </row>
    <row r="12035" spans="4:4">
      <c r="D12035" s="16"/>
    </row>
    <row r="12036" spans="4:4">
      <c r="D12036" s="16"/>
    </row>
    <row r="12037" spans="4:4">
      <c r="D12037" s="16"/>
    </row>
    <row r="12038" spans="4:4">
      <c r="D12038" s="16"/>
    </row>
    <row r="12039" spans="4:4">
      <c r="D12039" s="16"/>
    </row>
    <row r="12040" spans="4:4">
      <c r="D12040" s="16"/>
    </row>
    <row r="12041" spans="4:4">
      <c r="D12041" s="16"/>
    </row>
    <row r="12042" spans="4:4">
      <c r="D12042" s="16"/>
    </row>
    <row r="12043" spans="4:4">
      <c r="D12043" s="16"/>
    </row>
    <row r="12044" spans="4:4">
      <c r="D12044" s="16"/>
    </row>
    <row r="12045" spans="4:4">
      <c r="D12045" s="16"/>
    </row>
    <row r="12046" spans="4:4">
      <c r="D12046" s="16"/>
    </row>
    <row r="12047" spans="4:4">
      <c r="D12047" s="16"/>
    </row>
    <row r="12048" spans="4:4">
      <c r="D12048" s="16"/>
    </row>
    <row r="12049" spans="4:4">
      <c r="D12049" s="16"/>
    </row>
    <row r="12050" spans="4:4">
      <c r="D12050" s="16"/>
    </row>
    <row r="12051" spans="4:4">
      <c r="D12051" s="16"/>
    </row>
    <row r="12052" spans="4:4">
      <c r="D12052" s="16"/>
    </row>
    <row r="12053" spans="4:4">
      <c r="D12053" s="16"/>
    </row>
    <row r="12054" spans="4:4">
      <c r="D12054" s="16"/>
    </row>
    <row r="12055" spans="4:4">
      <c r="D12055" s="16"/>
    </row>
    <row r="12056" spans="4:4">
      <c r="D12056" s="16"/>
    </row>
    <row r="12057" spans="4:4">
      <c r="D12057" s="16"/>
    </row>
    <row r="12058" spans="4:4">
      <c r="D12058" s="16"/>
    </row>
    <row r="12059" spans="4:4">
      <c r="D12059" s="16"/>
    </row>
    <row r="12060" spans="4:4">
      <c r="D12060" s="16"/>
    </row>
    <row r="12061" spans="4:4">
      <c r="D12061" s="16"/>
    </row>
    <row r="12062" spans="4:4">
      <c r="D12062" s="16"/>
    </row>
    <row r="12063" spans="4:4">
      <c r="D12063" s="16"/>
    </row>
    <row r="12064" spans="4:4">
      <c r="D12064" s="16"/>
    </row>
    <row r="12065" spans="4:4">
      <c r="D12065" s="16"/>
    </row>
    <row r="12066" spans="4:4">
      <c r="D12066" s="16"/>
    </row>
    <row r="12067" spans="4:4">
      <c r="D12067" s="16"/>
    </row>
    <row r="12068" spans="4:4">
      <c r="D12068" s="16"/>
    </row>
    <row r="12069" spans="4:4">
      <c r="D12069" s="16"/>
    </row>
    <row r="12070" spans="4:4">
      <c r="D12070" s="16"/>
    </row>
    <row r="12071" spans="4:4">
      <c r="D12071" s="16"/>
    </row>
    <row r="12072" spans="4:4">
      <c r="D12072" s="16"/>
    </row>
    <row r="12073" spans="4:4">
      <c r="D12073" s="16"/>
    </row>
    <row r="12074" spans="4:4">
      <c r="D12074" s="16"/>
    </row>
    <row r="12075" spans="4:4">
      <c r="D12075" s="16"/>
    </row>
    <row r="12076" spans="4:4">
      <c r="D12076" s="16"/>
    </row>
    <row r="12077" spans="4:4">
      <c r="D12077" s="16"/>
    </row>
    <row r="12078" spans="4:4">
      <c r="D12078" s="16"/>
    </row>
    <row r="12079" spans="4:4">
      <c r="D12079" s="16"/>
    </row>
    <row r="12080" spans="4:4">
      <c r="D12080" s="16"/>
    </row>
    <row r="12081" spans="4:4">
      <c r="D12081" s="16"/>
    </row>
    <row r="12082" spans="4:4">
      <c r="D12082" s="16"/>
    </row>
    <row r="12083" spans="4:4">
      <c r="D12083" s="16"/>
    </row>
    <row r="12084" spans="4:4">
      <c r="D12084" s="16"/>
    </row>
    <row r="12085" spans="4:4">
      <c r="D12085" s="16"/>
    </row>
    <row r="12086" spans="4:4">
      <c r="D12086" s="16"/>
    </row>
    <row r="12087" spans="4:4">
      <c r="D12087" s="16"/>
    </row>
    <row r="12088" spans="4:4">
      <c r="D12088" s="16"/>
    </row>
    <row r="12089" spans="4:4">
      <c r="D12089" s="16"/>
    </row>
    <row r="12090" spans="4:4">
      <c r="D12090" s="16"/>
    </row>
    <row r="12091" spans="4:4">
      <c r="D12091" s="16"/>
    </row>
    <row r="12092" spans="4:4">
      <c r="D12092" s="16"/>
    </row>
    <row r="12093" spans="4:4">
      <c r="D12093" s="16"/>
    </row>
    <row r="12094" spans="4:4">
      <c r="D12094" s="16"/>
    </row>
    <row r="12095" spans="4:4">
      <c r="D12095" s="16"/>
    </row>
    <row r="12096" spans="4:4">
      <c r="D12096" s="16"/>
    </row>
    <row r="12097" spans="4:4">
      <c r="D12097" s="16"/>
    </row>
    <row r="12098" spans="4:4">
      <c r="D12098" s="16"/>
    </row>
    <row r="12099" spans="4:4">
      <c r="D12099" s="16"/>
    </row>
    <row r="12100" spans="4:4">
      <c r="D12100" s="16"/>
    </row>
    <row r="12101" spans="4:4">
      <c r="D12101" s="16"/>
    </row>
    <row r="12102" spans="4:4">
      <c r="D12102" s="16"/>
    </row>
    <row r="12103" spans="4:4">
      <c r="D12103" s="16"/>
    </row>
    <row r="12104" spans="4:4">
      <c r="D12104" s="16"/>
    </row>
    <row r="12105" spans="4:4">
      <c r="D12105" s="16"/>
    </row>
    <row r="12106" spans="4:4">
      <c r="D12106" s="16"/>
    </row>
    <row r="12107" spans="4:4">
      <c r="D12107" s="16"/>
    </row>
    <row r="12108" spans="4:4">
      <c r="D12108" s="16"/>
    </row>
    <row r="12109" spans="4:4">
      <c r="D12109" s="16"/>
    </row>
    <row r="12110" spans="4:4">
      <c r="D12110" s="16"/>
    </row>
    <row r="12111" spans="4:4">
      <c r="D12111" s="16"/>
    </row>
    <row r="12112" spans="4:4">
      <c r="D12112" s="16"/>
    </row>
    <row r="12113" spans="4:4">
      <c r="D12113" s="16"/>
    </row>
    <row r="12114" spans="4:4">
      <c r="D12114" s="16"/>
    </row>
    <row r="12115" spans="4:4">
      <c r="D12115" s="16"/>
    </row>
    <row r="12116" spans="4:4">
      <c r="D12116" s="16"/>
    </row>
    <row r="12117" spans="4:4">
      <c r="D12117" s="16"/>
    </row>
    <row r="12118" spans="4:4">
      <c r="D12118" s="16"/>
    </row>
    <row r="12119" spans="4:4">
      <c r="D12119" s="16"/>
    </row>
    <row r="12120" spans="4:4">
      <c r="D12120" s="16"/>
    </row>
    <row r="12121" spans="4:4">
      <c r="D12121" s="16"/>
    </row>
    <row r="12122" spans="4:4">
      <c r="D12122" s="16"/>
    </row>
    <row r="12123" spans="4:4">
      <c r="D12123" s="16"/>
    </row>
    <row r="12124" spans="4:4">
      <c r="D12124" s="16"/>
    </row>
    <row r="12125" spans="4:4">
      <c r="D12125" s="16"/>
    </row>
    <row r="12126" spans="4:4">
      <c r="D12126" s="16"/>
    </row>
    <row r="12127" spans="4:4">
      <c r="D12127" s="16"/>
    </row>
    <row r="12128" spans="4:4">
      <c r="D12128" s="16"/>
    </row>
    <row r="12129" spans="4:4">
      <c r="D12129" s="16"/>
    </row>
    <row r="12130" spans="4:4">
      <c r="D12130" s="16"/>
    </row>
    <row r="12131" spans="4:4">
      <c r="D12131" s="16"/>
    </row>
    <row r="12132" spans="4:4">
      <c r="D12132" s="16"/>
    </row>
    <row r="12133" spans="4:4">
      <c r="D12133" s="16"/>
    </row>
    <row r="12134" spans="4:4">
      <c r="D12134" s="16"/>
    </row>
    <row r="12135" spans="4:4">
      <c r="D12135" s="16"/>
    </row>
    <row r="12136" spans="4:4">
      <c r="D12136" s="16"/>
    </row>
    <row r="12137" spans="4:4">
      <c r="D12137" s="16"/>
    </row>
    <row r="12138" spans="4:4">
      <c r="D12138" s="16"/>
    </row>
    <row r="12139" spans="4:4">
      <c r="D12139" s="16"/>
    </row>
    <row r="12140" spans="4:4">
      <c r="D12140" s="16"/>
    </row>
    <row r="12141" spans="4:4">
      <c r="D12141" s="16"/>
    </row>
    <row r="12142" spans="4:4">
      <c r="D12142" s="16"/>
    </row>
    <row r="12143" spans="4:4">
      <c r="D12143" s="16"/>
    </row>
    <row r="12144" spans="4:4">
      <c r="D12144" s="16"/>
    </row>
    <row r="12145" spans="4:4">
      <c r="D12145" s="16"/>
    </row>
    <row r="12146" spans="4:4">
      <c r="D12146" s="16"/>
    </row>
    <row r="12147" spans="4:4">
      <c r="D12147" s="16"/>
    </row>
    <row r="12148" spans="4:4">
      <c r="D12148" s="16"/>
    </row>
    <row r="12149" spans="4:4">
      <c r="D12149" s="16"/>
    </row>
    <row r="12150" spans="4:4">
      <c r="D12150" s="16"/>
    </row>
    <row r="12151" spans="4:4">
      <c r="D12151" s="16"/>
    </row>
    <row r="12152" spans="4:4">
      <c r="D12152" s="16"/>
    </row>
    <row r="12153" spans="4:4">
      <c r="D12153" s="16"/>
    </row>
    <row r="12154" spans="4:4">
      <c r="D12154" s="16"/>
    </row>
    <row r="12155" spans="4:4">
      <c r="D12155" s="16"/>
    </row>
    <row r="12156" spans="4:4">
      <c r="D12156" s="16"/>
    </row>
    <row r="12157" spans="4:4">
      <c r="D12157" s="16"/>
    </row>
    <row r="12158" spans="4:4">
      <c r="D12158" s="16"/>
    </row>
    <row r="12159" spans="4:4">
      <c r="D12159" s="16"/>
    </row>
    <row r="12160" spans="4:4">
      <c r="D12160" s="16"/>
    </row>
    <row r="12161" spans="4:4">
      <c r="D12161" s="16"/>
    </row>
    <row r="12162" spans="4:4">
      <c r="D12162" s="16"/>
    </row>
    <row r="12163" spans="4:4">
      <c r="D12163" s="16"/>
    </row>
    <row r="12164" spans="4:4">
      <c r="D12164" s="16"/>
    </row>
    <row r="12165" spans="4:4">
      <c r="D12165" s="16"/>
    </row>
    <row r="12166" spans="4:4">
      <c r="D12166" s="16"/>
    </row>
    <row r="12167" spans="4:4">
      <c r="D12167" s="16"/>
    </row>
    <row r="12168" spans="4:4">
      <c r="D12168" s="16"/>
    </row>
    <row r="12169" spans="4:4">
      <c r="D12169" s="16"/>
    </row>
    <row r="12170" spans="4:4">
      <c r="D12170" s="16"/>
    </row>
    <row r="12171" spans="4:4">
      <c r="D12171" s="16"/>
    </row>
    <row r="12172" spans="4:4">
      <c r="D12172" s="16"/>
    </row>
    <row r="12173" spans="4:4">
      <c r="D12173" s="16"/>
    </row>
    <row r="12174" spans="4:4">
      <c r="D12174" s="16"/>
    </row>
    <row r="12175" spans="4:4">
      <c r="D12175" s="16"/>
    </row>
    <row r="12176" spans="4:4">
      <c r="D12176" s="16"/>
    </row>
    <row r="12177" spans="4:4">
      <c r="D12177" s="16"/>
    </row>
    <row r="12178" spans="4:4">
      <c r="D12178" s="16"/>
    </row>
    <row r="12179" spans="4:4">
      <c r="D12179" s="16"/>
    </row>
    <row r="12180" spans="4:4">
      <c r="D12180" s="16"/>
    </row>
    <row r="12181" spans="4:4">
      <c r="D12181" s="16"/>
    </row>
    <row r="12182" spans="4:4">
      <c r="D12182" s="16"/>
    </row>
    <row r="12183" spans="4:4">
      <c r="D12183" s="16"/>
    </row>
    <row r="12184" spans="4:4">
      <c r="D12184" s="16"/>
    </row>
    <row r="12185" spans="4:4">
      <c r="D12185" s="16"/>
    </row>
    <row r="12186" spans="4:4">
      <c r="D12186" s="16"/>
    </row>
    <row r="12187" spans="4:4">
      <c r="D12187" s="16"/>
    </row>
    <row r="12188" spans="4:4">
      <c r="D12188" s="16"/>
    </row>
    <row r="12189" spans="4:4">
      <c r="D12189" s="16"/>
    </row>
    <row r="12190" spans="4:4">
      <c r="D12190" s="16"/>
    </row>
    <row r="12191" spans="4:4">
      <c r="D12191" s="16"/>
    </row>
    <row r="12192" spans="4:4">
      <c r="D12192" s="16"/>
    </row>
    <row r="12193" spans="4:4">
      <c r="D12193" s="16"/>
    </row>
    <row r="12194" spans="4:4">
      <c r="D12194" s="16"/>
    </row>
    <row r="12195" spans="4:4">
      <c r="D12195" s="16"/>
    </row>
    <row r="12196" spans="4:4">
      <c r="D12196" s="16"/>
    </row>
    <row r="12197" spans="4:4">
      <c r="D12197" s="16"/>
    </row>
    <row r="12198" spans="4:4">
      <c r="D12198" s="16"/>
    </row>
    <row r="12199" spans="4:4">
      <c r="D12199" s="16"/>
    </row>
    <row r="12200" spans="4:4">
      <c r="D12200" s="16"/>
    </row>
    <row r="12201" spans="4:4">
      <c r="D12201" s="16"/>
    </row>
    <row r="12202" spans="4:4">
      <c r="D12202" s="16"/>
    </row>
    <row r="12203" spans="4:4">
      <c r="D12203" s="16"/>
    </row>
    <row r="12204" spans="4:4">
      <c r="D12204" s="16"/>
    </row>
    <row r="12205" spans="4:4">
      <c r="D12205" s="16"/>
    </row>
    <row r="12206" spans="4:4">
      <c r="D12206" s="16"/>
    </row>
    <row r="12207" spans="4:4">
      <c r="D12207" s="16"/>
    </row>
    <row r="12208" spans="4:4">
      <c r="D12208" s="16"/>
    </row>
    <row r="12209" spans="4:4">
      <c r="D12209" s="16"/>
    </row>
    <row r="12210" spans="4:4">
      <c r="D12210" s="16"/>
    </row>
    <row r="12211" spans="4:4">
      <c r="D12211" s="16"/>
    </row>
    <row r="12212" spans="4:4">
      <c r="D12212" s="16"/>
    </row>
    <row r="12213" spans="4:4">
      <c r="D12213" s="16"/>
    </row>
    <row r="12214" spans="4:4">
      <c r="D12214" s="16"/>
    </row>
    <row r="12215" spans="4:4">
      <c r="D12215" s="16"/>
    </row>
    <row r="12216" spans="4:4">
      <c r="D12216" s="16"/>
    </row>
    <row r="12217" spans="4:4">
      <c r="D12217" s="16"/>
    </row>
    <row r="12218" spans="4:4">
      <c r="D12218" s="16"/>
    </row>
    <row r="12219" spans="4:4">
      <c r="D12219" s="16"/>
    </row>
    <row r="12220" spans="4:4">
      <c r="D12220" s="16"/>
    </row>
    <row r="12221" spans="4:4">
      <c r="D12221" s="16"/>
    </row>
    <row r="12222" spans="4:4">
      <c r="D12222" s="16"/>
    </row>
    <row r="12223" spans="4:4">
      <c r="D12223" s="16"/>
    </row>
    <row r="12224" spans="4:4">
      <c r="D12224" s="16"/>
    </row>
    <row r="12225" spans="4:4">
      <c r="D12225" s="16"/>
    </row>
    <row r="12226" spans="4:4">
      <c r="D12226" s="16"/>
    </row>
    <row r="12227" spans="4:4">
      <c r="D12227" s="16"/>
    </row>
    <row r="12228" spans="4:4">
      <c r="D12228" s="16"/>
    </row>
    <row r="12229" spans="4:4">
      <c r="D12229" s="16"/>
    </row>
    <row r="12230" spans="4:4">
      <c r="D12230" s="16"/>
    </row>
    <row r="12231" spans="4:4">
      <c r="D12231" s="16"/>
    </row>
    <row r="12232" spans="4:4">
      <c r="D12232" s="16"/>
    </row>
    <row r="12233" spans="4:4">
      <c r="D12233" s="16"/>
    </row>
    <row r="12234" spans="4:4">
      <c r="D12234" s="16"/>
    </row>
    <row r="12235" spans="4:4">
      <c r="D12235" s="16"/>
    </row>
    <row r="12236" spans="4:4">
      <c r="D12236" s="16"/>
    </row>
    <row r="12237" spans="4:4">
      <c r="D12237" s="16"/>
    </row>
    <row r="12238" spans="4:4">
      <c r="D12238" s="16"/>
    </row>
    <row r="12239" spans="4:4">
      <c r="D12239" s="16"/>
    </row>
    <row r="12240" spans="4:4">
      <c r="D12240" s="16"/>
    </row>
    <row r="12241" spans="4:4">
      <c r="D12241" s="16"/>
    </row>
    <row r="12242" spans="4:4">
      <c r="D12242" s="16"/>
    </row>
    <row r="12243" spans="4:4">
      <c r="D12243" s="16"/>
    </row>
    <row r="12244" spans="4:4">
      <c r="D12244" s="16"/>
    </row>
    <row r="12245" spans="4:4">
      <c r="D12245" s="16"/>
    </row>
    <row r="12246" spans="4:4">
      <c r="D12246" s="16"/>
    </row>
    <row r="12247" spans="4:4">
      <c r="D12247" s="16"/>
    </row>
    <row r="12248" spans="4:4">
      <c r="D12248" s="16"/>
    </row>
    <row r="12249" spans="4:4">
      <c r="D12249" s="16"/>
    </row>
    <row r="12250" spans="4:4">
      <c r="D12250" s="16"/>
    </row>
    <row r="12251" spans="4:4">
      <c r="D12251" s="16"/>
    </row>
    <row r="12252" spans="4:4">
      <c r="D12252" s="16"/>
    </row>
    <row r="12253" spans="4:4">
      <c r="D12253" s="16"/>
    </row>
    <row r="12254" spans="4:4">
      <c r="D12254" s="16"/>
    </row>
    <row r="12255" spans="4:4">
      <c r="D12255" s="16"/>
    </row>
    <row r="12256" spans="4:4">
      <c r="D12256" s="16"/>
    </row>
    <row r="12257" spans="4:4">
      <c r="D12257" s="16"/>
    </row>
    <row r="12258" spans="4:4">
      <c r="D12258" s="16"/>
    </row>
    <row r="12259" spans="4:4">
      <c r="D12259" s="16"/>
    </row>
    <row r="12260" spans="4:4">
      <c r="D12260" s="16"/>
    </row>
    <row r="12261" spans="4:4">
      <c r="D12261" s="16"/>
    </row>
    <row r="12262" spans="4:4">
      <c r="D12262" s="16"/>
    </row>
    <row r="12263" spans="4:4">
      <c r="D12263" s="16"/>
    </row>
    <row r="12264" spans="4:4">
      <c r="D12264" s="16"/>
    </row>
    <row r="12265" spans="4:4">
      <c r="D12265" s="16"/>
    </row>
    <row r="12266" spans="4:4">
      <c r="D12266" s="16"/>
    </row>
    <row r="12267" spans="4:4">
      <c r="D12267" s="16"/>
    </row>
    <row r="12268" spans="4:4">
      <c r="D12268" s="16"/>
    </row>
    <row r="12269" spans="4:4">
      <c r="D12269" s="16"/>
    </row>
    <row r="12270" spans="4:4">
      <c r="D12270" s="16"/>
    </row>
    <row r="12271" spans="4:4">
      <c r="D12271" s="16"/>
    </row>
    <row r="12272" spans="4:4">
      <c r="D12272" s="16"/>
    </row>
    <row r="12273" spans="4:4">
      <c r="D12273" s="16"/>
    </row>
    <row r="12274" spans="4:4">
      <c r="D12274" s="16"/>
    </row>
    <row r="12275" spans="4:4">
      <c r="D12275" s="16"/>
    </row>
    <row r="12276" spans="4:4">
      <c r="D12276" s="16"/>
    </row>
    <row r="12277" spans="4:4">
      <c r="D12277" s="16"/>
    </row>
    <row r="12278" spans="4:4">
      <c r="D12278" s="16"/>
    </row>
    <row r="12279" spans="4:4">
      <c r="D12279" s="16"/>
    </row>
    <row r="12280" spans="4:4">
      <c r="D12280" s="16"/>
    </row>
    <row r="12281" spans="4:4">
      <c r="D12281" s="16"/>
    </row>
    <row r="12282" spans="4:4">
      <c r="D12282" s="16"/>
    </row>
    <row r="12283" spans="4:4">
      <c r="D12283" s="16"/>
    </row>
    <row r="12284" spans="4:4">
      <c r="D12284" s="16"/>
    </row>
    <row r="12285" spans="4:4">
      <c r="D12285" s="16"/>
    </row>
    <row r="12286" spans="4:4">
      <c r="D12286" s="16"/>
    </row>
    <row r="12287" spans="4:4">
      <c r="D12287" s="16"/>
    </row>
    <row r="12288" spans="4:4">
      <c r="D12288" s="16"/>
    </row>
    <row r="12289" spans="4:4">
      <c r="D12289" s="16"/>
    </row>
    <row r="12290" spans="4:4">
      <c r="D12290" s="16"/>
    </row>
    <row r="12291" spans="4:4">
      <c r="D12291" s="16"/>
    </row>
    <row r="12292" spans="4:4">
      <c r="D12292" s="16"/>
    </row>
    <row r="12293" spans="4:4">
      <c r="D12293" s="16"/>
    </row>
    <row r="12294" spans="4:4">
      <c r="D12294" s="16"/>
    </row>
    <row r="12295" spans="4:4">
      <c r="D12295" s="16"/>
    </row>
    <row r="12296" spans="4:4">
      <c r="D12296" s="16"/>
    </row>
    <row r="12297" spans="4:4">
      <c r="D12297" s="16"/>
    </row>
    <row r="12298" spans="4:4">
      <c r="D12298" s="16"/>
    </row>
    <row r="12299" spans="4:4">
      <c r="D12299" s="16"/>
    </row>
    <row r="12300" spans="4:4">
      <c r="D12300" s="16"/>
    </row>
    <row r="12301" spans="4:4">
      <c r="D12301" s="16"/>
    </row>
    <row r="12302" spans="4:4">
      <c r="D12302" s="16"/>
    </row>
    <row r="12303" spans="4:4">
      <c r="D12303" s="16"/>
    </row>
    <row r="12304" spans="4:4">
      <c r="D12304" s="16"/>
    </row>
    <row r="12305" spans="4:4">
      <c r="D12305" s="16"/>
    </row>
    <row r="12306" spans="4:4">
      <c r="D12306" s="16"/>
    </row>
    <row r="12307" spans="4:4">
      <c r="D12307" s="16"/>
    </row>
    <row r="12308" spans="4:4">
      <c r="D12308" s="16"/>
    </row>
    <row r="12309" spans="4:4">
      <c r="D12309" s="16"/>
    </row>
    <row r="12310" spans="4:4">
      <c r="D12310" s="16"/>
    </row>
    <row r="12311" spans="4:4">
      <c r="D12311" s="16"/>
    </row>
    <row r="12312" spans="4:4">
      <c r="D12312" s="16"/>
    </row>
    <row r="12313" spans="4:4">
      <c r="D12313" s="16"/>
    </row>
    <row r="12314" spans="4:4">
      <c r="D12314" s="16"/>
    </row>
    <row r="12315" spans="4:4">
      <c r="D12315" s="16"/>
    </row>
    <row r="12316" spans="4:4">
      <c r="D12316" s="16"/>
    </row>
    <row r="12317" spans="4:4">
      <c r="D12317" s="16"/>
    </row>
    <row r="12318" spans="4:4">
      <c r="D12318" s="16"/>
    </row>
    <row r="12319" spans="4:4">
      <c r="D12319" s="16"/>
    </row>
    <row r="12320" spans="4:4">
      <c r="D12320" s="16"/>
    </row>
    <row r="12321" spans="4:4">
      <c r="D12321" s="16"/>
    </row>
    <row r="12322" spans="4:4">
      <c r="D12322" s="16"/>
    </row>
    <row r="12323" spans="4:4">
      <c r="D12323" s="16"/>
    </row>
    <row r="12324" spans="4:4">
      <c r="D12324" s="16"/>
    </row>
    <row r="12325" spans="4:4">
      <c r="D12325" s="16"/>
    </row>
    <row r="12326" spans="4:4">
      <c r="D12326" s="16"/>
    </row>
    <row r="12327" spans="4:4">
      <c r="D12327" s="16"/>
    </row>
    <row r="12328" spans="4:4">
      <c r="D12328" s="16"/>
    </row>
    <row r="12329" spans="4:4">
      <c r="D12329" s="16"/>
    </row>
    <row r="12330" spans="4:4">
      <c r="D12330" s="16"/>
    </row>
    <row r="12331" spans="4:4">
      <c r="D12331" s="16"/>
    </row>
    <row r="12332" spans="4:4">
      <c r="D12332" s="16"/>
    </row>
    <row r="12333" spans="4:4">
      <c r="D12333" s="16"/>
    </row>
    <row r="12334" spans="4:4">
      <c r="D12334" s="16"/>
    </row>
    <row r="12335" spans="4:4">
      <c r="D12335" s="16"/>
    </row>
    <row r="12336" spans="4:4">
      <c r="D12336" s="16"/>
    </row>
    <row r="12337" spans="4:4">
      <c r="D12337" s="16"/>
    </row>
    <row r="12338" spans="4:4">
      <c r="D12338" s="16"/>
    </row>
    <row r="12339" spans="4:4">
      <c r="D12339" s="16"/>
    </row>
    <row r="12340" spans="4:4">
      <c r="D12340" s="16"/>
    </row>
    <row r="12341" spans="4:4">
      <c r="D12341" s="16"/>
    </row>
    <row r="12342" spans="4:4">
      <c r="D12342" s="16"/>
    </row>
    <row r="12343" spans="4:4">
      <c r="D12343" s="16"/>
    </row>
    <row r="12344" spans="4:4">
      <c r="D12344" s="16"/>
    </row>
    <row r="12345" spans="4:4">
      <c r="D12345" s="16"/>
    </row>
    <row r="12346" spans="4:4">
      <c r="D12346" s="16"/>
    </row>
    <row r="12347" spans="4:4">
      <c r="D12347" s="16"/>
    </row>
    <row r="12348" spans="4:4">
      <c r="D12348" s="16"/>
    </row>
    <row r="12349" spans="4:4">
      <c r="D12349" s="16"/>
    </row>
    <row r="12350" spans="4:4">
      <c r="D12350" s="16"/>
    </row>
    <row r="12351" spans="4:4">
      <c r="D12351" s="16"/>
    </row>
    <row r="12352" spans="4:4">
      <c r="D12352" s="16"/>
    </row>
    <row r="12353" spans="4:4">
      <c r="D12353" s="16"/>
    </row>
    <row r="12354" spans="4:4">
      <c r="D12354" s="16"/>
    </row>
    <row r="12355" spans="4:4">
      <c r="D12355" s="16"/>
    </row>
    <row r="12356" spans="4:4">
      <c r="D12356" s="16"/>
    </row>
    <row r="12357" spans="4:4">
      <c r="D12357" s="16"/>
    </row>
    <row r="12358" spans="4:4">
      <c r="D12358" s="16"/>
    </row>
    <row r="12359" spans="4:4">
      <c r="D12359" s="16"/>
    </row>
    <row r="12360" spans="4:4">
      <c r="D12360" s="16"/>
    </row>
    <row r="12361" spans="4:4">
      <c r="D12361" s="16"/>
    </row>
    <row r="12362" spans="4:4">
      <c r="D12362" s="16"/>
    </row>
    <row r="12363" spans="4:4">
      <c r="D12363" s="16"/>
    </row>
    <row r="12364" spans="4:4">
      <c r="D12364" s="16"/>
    </row>
    <row r="12365" spans="4:4">
      <c r="D12365" s="16"/>
    </row>
    <row r="12366" spans="4:4">
      <c r="D12366" s="16"/>
    </row>
    <row r="12367" spans="4:4">
      <c r="D12367" s="16"/>
    </row>
    <row r="12368" spans="4:4">
      <c r="D12368" s="16"/>
    </row>
    <row r="12369" spans="4:4">
      <c r="D12369" s="16"/>
    </row>
    <row r="12370" spans="4:4">
      <c r="D12370" s="16"/>
    </row>
    <row r="12371" spans="4:4">
      <c r="D12371" s="16"/>
    </row>
    <row r="12372" spans="4:4">
      <c r="D12372" s="16"/>
    </row>
    <row r="12373" spans="4:4">
      <c r="D12373" s="16"/>
    </row>
    <row r="12374" spans="4:4">
      <c r="D12374" s="16"/>
    </row>
    <row r="12375" spans="4:4">
      <c r="D12375" s="16"/>
    </row>
    <row r="12376" spans="4:4">
      <c r="D12376" s="16"/>
    </row>
    <row r="12377" spans="4:4">
      <c r="D12377" s="16"/>
    </row>
    <row r="12378" spans="4:4">
      <c r="D12378" s="16"/>
    </row>
    <row r="12379" spans="4:4">
      <c r="D12379" s="16"/>
    </row>
    <row r="12380" spans="4:4">
      <c r="D12380" s="16"/>
    </row>
    <row r="12381" spans="4:4">
      <c r="D12381" s="16"/>
    </row>
    <row r="12382" spans="4:4">
      <c r="D12382" s="16"/>
    </row>
    <row r="12383" spans="4:4">
      <c r="D12383" s="16"/>
    </row>
    <row r="12384" spans="4:4">
      <c r="D12384" s="16"/>
    </row>
    <row r="12385" spans="4:4">
      <c r="D12385" s="16"/>
    </row>
    <row r="12386" spans="4:4">
      <c r="D12386" s="16"/>
    </row>
    <row r="12387" spans="4:4">
      <c r="D12387" s="16"/>
    </row>
    <row r="12388" spans="4:4">
      <c r="D12388" s="16"/>
    </row>
    <row r="12389" spans="4:4">
      <c r="D12389" s="16"/>
    </row>
    <row r="12390" spans="4:4">
      <c r="D12390" s="16"/>
    </row>
    <row r="12391" spans="4:4">
      <c r="D12391" s="16"/>
    </row>
    <row r="12392" spans="4:4">
      <c r="D12392" s="16"/>
    </row>
    <row r="12393" spans="4:4">
      <c r="D12393" s="16"/>
    </row>
    <row r="12394" spans="4:4">
      <c r="D12394" s="16"/>
    </row>
    <row r="12395" spans="4:4">
      <c r="D12395" s="16"/>
    </row>
    <row r="12396" spans="4:4">
      <c r="D12396" s="16"/>
    </row>
    <row r="12397" spans="4:4">
      <c r="D12397" s="16"/>
    </row>
    <row r="12398" spans="4:4">
      <c r="D12398" s="16"/>
    </row>
    <row r="12399" spans="4:4">
      <c r="D12399" s="16"/>
    </row>
    <row r="12400" spans="4:4">
      <c r="D12400" s="16"/>
    </row>
    <row r="12401" spans="4:4">
      <c r="D12401" s="16"/>
    </row>
    <row r="12402" spans="4:4">
      <c r="D12402" s="16"/>
    </row>
    <row r="12403" spans="4:4">
      <c r="D12403" s="16"/>
    </row>
    <row r="12404" spans="4:4">
      <c r="D12404" s="16"/>
    </row>
    <row r="12405" spans="4:4">
      <c r="D12405" s="16"/>
    </row>
    <row r="12406" spans="4:4">
      <c r="D12406" s="16"/>
    </row>
    <row r="12407" spans="4:4">
      <c r="D12407" s="16"/>
    </row>
    <row r="12408" spans="4:4">
      <c r="D12408" s="16"/>
    </row>
    <row r="12409" spans="4:4">
      <c r="D12409" s="16"/>
    </row>
    <row r="12410" spans="4:4">
      <c r="D12410" s="16"/>
    </row>
    <row r="12411" spans="4:4">
      <c r="D12411" s="16"/>
    </row>
    <row r="12412" spans="4:4">
      <c r="D12412" s="16"/>
    </row>
    <row r="12413" spans="4:4">
      <c r="D12413" s="16"/>
    </row>
    <row r="12414" spans="4:4">
      <c r="D12414" s="16"/>
    </row>
    <row r="12415" spans="4:4">
      <c r="D12415" s="16"/>
    </row>
    <row r="12416" spans="4:4">
      <c r="D12416" s="16"/>
    </row>
    <row r="12417" spans="4:4">
      <c r="D12417" s="16"/>
    </row>
    <row r="12418" spans="4:4">
      <c r="D12418" s="16"/>
    </row>
    <row r="12419" spans="4:4">
      <c r="D12419" s="16"/>
    </row>
    <row r="12420" spans="4:4">
      <c r="D12420" s="16"/>
    </row>
    <row r="12421" spans="4:4">
      <c r="D12421" s="16"/>
    </row>
    <row r="12422" spans="4:4">
      <c r="D12422" s="16"/>
    </row>
    <row r="12423" spans="4:4">
      <c r="D12423" s="16"/>
    </row>
    <row r="12424" spans="4:4">
      <c r="D12424" s="16"/>
    </row>
    <row r="12425" spans="4:4">
      <c r="D12425" s="16"/>
    </row>
    <row r="12426" spans="4:4">
      <c r="D12426" s="16"/>
    </row>
    <row r="12427" spans="4:4">
      <c r="D12427" s="16"/>
    </row>
    <row r="12428" spans="4:4">
      <c r="D12428" s="16"/>
    </row>
    <row r="12429" spans="4:4">
      <c r="D12429" s="16"/>
    </row>
    <row r="12430" spans="4:4">
      <c r="D12430" s="16"/>
    </row>
    <row r="12431" spans="4:4">
      <c r="D12431" s="16"/>
    </row>
    <row r="12432" spans="4:4">
      <c r="D12432" s="16"/>
    </row>
    <row r="12433" spans="4:4">
      <c r="D12433" s="16"/>
    </row>
    <row r="12434" spans="4:4">
      <c r="D12434" s="16"/>
    </row>
    <row r="12435" spans="4:4">
      <c r="D12435" s="16"/>
    </row>
    <row r="12436" spans="4:4">
      <c r="D12436" s="16"/>
    </row>
    <row r="12437" spans="4:4">
      <c r="D12437" s="16"/>
    </row>
    <row r="12438" spans="4:4">
      <c r="D12438" s="16"/>
    </row>
    <row r="12439" spans="4:4">
      <c r="D12439" s="16"/>
    </row>
    <row r="12440" spans="4:4">
      <c r="D12440" s="16"/>
    </row>
    <row r="12441" spans="4:4">
      <c r="D12441" s="16"/>
    </row>
    <row r="12442" spans="4:4">
      <c r="D12442" s="16"/>
    </row>
    <row r="12443" spans="4:4">
      <c r="D12443" s="16"/>
    </row>
    <row r="12444" spans="4:4">
      <c r="D12444" s="16"/>
    </row>
    <row r="12445" spans="4:4">
      <c r="D12445" s="16"/>
    </row>
    <row r="12446" spans="4:4">
      <c r="D12446" s="16"/>
    </row>
    <row r="12447" spans="4:4">
      <c r="D12447" s="16"/>
    </row>
    <row r="12448" spans="4:4">
      <c r="D12448" s="16"/>
    </row>
    <row r="12449" spans="4:4">
      <c r="D12449" s="16"/>
    </row>
    <row r="12450" spans="4:4">
      <c r="D12450" s="16"/>
    </row>
    <row r="12451" spans="4:4">
      <c r="D12451" s="16"/>
    </row>
    <row r="12452" spans="4:4">
      <c r="D12452" s="16"/>
    </row>
    <row r="12453" spans="4:4">
      <c r="D12453" s="16"/>
    </row>
    <row r="12454" spans="4:4">
      <c r="D12454" s="16"/>
    </row>
    <row r="12455" spans="4:4">
      <c r="D12455" s="16"/>
    </row>
    <row r="12456" spans="4:4">
      <c r="D12456" s="16"/>
    </row>
    <row r="12457" spans="4:4">
      <c r="D12457" s="16"/>
    </row>
    <row r="12458" spans="4:4">
      <c r="D12458" s="16"/>
    </row>
    <row r="12459" spans="4:4">
      <c r="D12459" s="16"/>
    </row>
    <row r="12460" spans="4:4">
      <c r="D12460" s="16"/>
    </row>
    <row r="12461" spans="4:4">
      <c r="D12461" s="16"/>
    </row>
    <row r="12462" spans="4:4">
      <c r="D12462" s="16"/>
    </row>
    <row r="12463" spans="4:4">
      <c r="D12463" s="16"/>
    </row>
    <row r="12464" spans="4:4">
      <c r="D12464" s="16"/>
    </row>
    <row r="12465" spans="4:4">
      <c r="D12465" s="16"/>
    </row>
    <row r="12466" spans="4:4">
      <c r="D12466" s="16"/>
    </row>
    <row r="12467" spans="4:4">
      <c r="D12467" s="16"/>
    </row>
    <row r="12468" spans="4:4">
      <c r="D12468" s="16"/>
    </row>
    <row r="12469" spans="4:4">
      <c r="D12469" s="16"/>
    </row>
    <row r="12470" spans="4:4">
      <c r="D12470" s="16"/>
    </row>
    <row r="12471" spans="4:4">
      <c r="D12471" s="16"/>
    </row>
    <row r="12472" spans="4:4">
      <c r="D12472" s="16"/>
    </row>
    <row r="12473" spans="4:4">
      <c r="D12473" s="16"/>
    </row>
    <row r="12474" spans="4:4">
      <c r="D12474" s="16"/>
    </row>
    <row r="12475" spans="4:4">
      <c r="D12475" s="16"/>
    </row>
    <row r="12476" spans="4:4">
      <c r="D12476" s="16"/>
    </row>
    <row r="12477" spans="4:4">
      <c r="D12477" s="16"/>
    </row>
    <row r="12478" spans="4:4">
      <c r="D12478" s="16"/>
    </row>
    <row r="12479" spans="4:4">
      <c r="D12479" s="16"/>
    </row>
    <row r="12480" spans="4:4">
      <c r="D12480" s="16"/>
    </row>
    <row r="12481" spans="4:4">
      <c r="D12481" s="16"/>
    </row>
    <row r="12482" spans="4:4">
      <c r="D12482" s="16"/>
    </row>
    <row r="12483" spans="4:4">
      <c r="D12483" s="16"/>
    </row>
    <row r="12484" spans="4:4">
      <c r="D12484" s="16"/>
    </row>
    <row r="12485" spans="4:4">
      <c r="D12485" s="16"/>
    </row>
    <row r="12486" spans="4:4">
      <c r="D12486" s="16"/>
    </row>
    <row r="12487" spans="4:4">
      <c r="D12487" s="16"/>
    </row>
    <row r="12488" spans="4:4">
      <c r="D12488" s="16"/>
    </row>
    <row r="12489" spans="4:4">
      <c r="D12489" s="16"/>
    </row>
    <row r="12490" spans="4:4">
      <c r="D12490" s="16"/>
    </row>
    <row r="12491" spans="4:4">
      <c r="D12491" s="16"/>
    </row>
    <row r="12492" spans="4:4">
      <c r="D12492" s="16"/>
    </row>
    <row r="12493" spans="4:4">
      <c r="D12493" s="16"/>
    </row>
    <row r="12494" spans="4:4">
      <c r="D12494" s="16"/>
    </row>
    <row r="12495" spans="4:4">
      <c r="D12495" s="16"/>
    </row>
    <row r="12496" spans="4:4">
      <c r="D12496" s="16"/>
    </row>
    <row r="12497" spans="4:4">
      <c r="D12497" s="16"/>
    </row>
    <row r="12498" spans="4:4">
      <c r="D12498" s="16"/>
    </row>
    <row r="12499" spans="4:4">
      <c r="D12499" s="16"/>
    </row>
    <row r="12500" spans="4:4">
      <c r="D12500" s="16"/>
    </row>
    <row r="12501" spans="4:4">
      <c r="D12501" s="16"/>
    </row>
    <row r="12502" spans="4:4">
      <c r="D12502" s="16"/>
    </row>
    <row r="12503" spans="4:4">
      <c r="D12503" s="16"/>
    </row>
    <row r="12504" spans="4:4">
      <c r="D12504" s="16"/>
    </row>
    <row r="12505" spans="4:4">
      <c r="D12505" s="16"/>
    </row>
    <row r="12506" spans="4:4">
      <c r="D12506" s="16"/>
    </row>
    <row r="12507" spans="4:4">
      <c r="D12507" s="16"/>
    </row>
    <row r="12508" spans="4:4">
      <c r="D12508" s="16"/>
    </row>
    <row r="12509" spans="4:4">
      <c r="D12509" s="16"/>
    </row>
    <row r="12510" spans="4:4">
      <c r="D12510" s="16"/>
    </row>
    <row r="12511" spans="4:4">
      <c r="D12511" s="16"/>
    </row>
    <row r="12512" spans="4:4">
      <c r="D12512" s="16"/>
    </row>
    <row r="12513" spans="4:4">
      <c r="D12513" s="16"/>
    </row>
    <row r="12514" spans="4:4">
      <c r="D12514" s="16"/>
    </row>
    <row r="12515" spans="4:4">
      <c r="D12515" s="16"/>
    </row>
    <row r="12516" spans="4:4">
      <c r="D12516" s="16"/>
    </row>
    <row r="12517" spans="4:4">
      <c r="D12517" s="16"/>
    </row>
    <row r="12518" spans="4:4">
      <c r="D12518" s="16"/>
    </row>
    <row r="12519" spans="4:4">
      <c r="D12519" s="16"/>
    </row>
    <row r="12520" spans="4:4">
      <c r="D12520" s="16"/>
    </row>
    <row r="12521" spans="4:4">
      <c r="D12521" s="16"/>
    </row>
    <row r="12522" spans="4:4">
      <c r="D12522" s="16"/>
    </row>
    <row r="12523" spans="4:4">
      <c r="D12523" s="16"/>
    </row>
    <row r="12524" spans="4:4">
      <c r="D12524" s="16"/>
    </row>
    <row r="12525" spans="4:4">
      <c r="D12525" s="16"/>
    </row>
    <row r="12526" spans="4:4">
      <c r="D12526" s="16"/>
    </row>
    <row r="12527" spans="4:4">
      <c r="D12527" s="16"/>
    </row>
    <row r="12528" spans="4:4">
      <c r="D12528" s="16"/>
    </row>
    <row r="12529" spans="4:4">
      <c r="D12529" s="16"/>
    </row>
    <row r="12530" spans="4:4">
      <c r="D12530" s="16"/>
    </row>
    <row r="12531" spans="4:4">
      <c r="D12531" s="16"/>
    </row>
    <row r="12532" spans="4:4">
      <c r="D12532" s="16"/>
    </row>
    <row r="12533" spans="4:4">
      <c r="D12533" s="16"/>
    </row>
    <row r="12534" spans="4:4">
      <c r="D12534" s="16"/>
    </row>
    <row r="12535" spans="4:4">
      <c r="D12535" s="16"/>
    </row>
    <row r="12536" spans="4:4">
      <c r="D12536" s="16"/>
    </row>
    <row r="12537" spans="4:4">
      <c r="D12537" s="16"/>
    </row>
    <row r="12538" spans="4:4">
      <c r="D12538" s="16"/>
    </row>
    <row r="12539" spans="4:4">
      <c r="D12539" s="16"/>
    </row>
    <row r="12540" spans="4:4">
      <c r="D12540" s="16"/>
    </row>
    <row r="12541" spans="4:4">
      <c r="D12541" s="16"/>
    </row>
    <row r="12542" spans="4:4">
      <c r="D12542" s="16"/>
    </row>
    <row r="12543" spans="4:4">
      <c r="D12543" s="16"/>
    </row>
    <row r="12544" spans="4:4">
      <c r="D12544" s="16"/>
    </row>
    <row r="12545" spans="4:4">
      <c r="D12545" s="16"/>
    </row>
    <row r="12546" spans="4:4">
      <c r="D12546" s="16"/>
    </row>
    <row r="12547" spans="4:4">
      <c r="D12547" s="16"/>
    </row>
    <row r="12548" spans="4:4">
      <c r="D12548" s="16"/>
    </row>
    <row r="12549" spans="4:4">
      <c r="D12549" s="16"/>
    </row>
    <row r="12550" spans="4:4">
      <c r="D12550" s="16"/>
    </row>
    <row r="12551" spans="4:4">
      <c r="D12551" s="16"/>
    </row>
    <row r="12552" spans="4:4">
      <c r="D12552" s="16"/>
    </row>
    <row r="12553" spans="4:4">
      <c r="D12553" s="16"/>
    </row>
    <row r="12554" spans="4:4">
      <c r="D12554" s="16"/>
    </row>
    <row r="12555" spans="4:4">
      <c r="D12555" s="16"/>
    </row>
    <row r="12556" spans="4:4">
      <c r="D12556" s="16"/>
    </row>
    <row r="12557" spans="4:4">
      <c r="D12557" s="16"/>
    </row>
    <row r="12558" spans="4:4">
      <c r="D12558" s="16"/>
    </row>
    <row r="12559" spans="4:4">
      <c r="D12559" s="16"/>
    </row>
    <row r="12560" spans="4:4">
      <c r="D12560" s="16"/>
    </row>
    <row r="12561" spans="4:4">
      <c r="D12561" s="16"/>
    </row>
    <row r="12562" spans="4:4">
      <c r="D12562" s="16"/>
    </row>
    <row r="12563" spans="4:4">
      <c r="D12563" s="16"/>
    </row>
    <row r="12564" spans="4:4">
      <c r="D12564" s="16"/>
    </row>
    <row r="12565" spans="4:4">
      <c r="D12565" s="16"/>
    </row>
    <row r="12566" spans="4:4">
      <c r="D12566" s="16"/>
    </row>
    <row r="12567" spans="4:4">
      <c r="D12567" s="16"/>
    </row>
    <row r="12568" spans="4:4">
      <c r="D12568" s="16"/>
    </row>
    <row r="12569" spans="4:4">
      <c r="D12569" s="16"/>
    </row>
    <row r="12570" spans="4:4">
      <c r="D12570" s="16"/>
    </row>
    <row r="12571" spans="4:4">
      <c r="D12571" s="16"/>
    </row>
    <row r="12572" spans="4:4">
      <c r="D12572" s="16"/>
    </row>
    <row r="12573" spans="4:4">
      <c r="D12573" s="16"/>
    </row>
    <row r="12574" spans="4:4">
      <c r="D12574" s="16"/>
    </row>
    <row r="12575" spans="4:4">
      <c r="D12575" s="16"/>
    </row>
    <row r="12576" spans="4:4">
      <c r="D12576" s="16"/>
    </row>
    <row r="12577" spans="4:4">
      <c r="D12577" s="16"/>
    </row>
    <row r="12578" spans="4:4">
      <c r="D12578" s="16"/>
    </row>
    <row r="12579" spans="4:4">
      <c r="D12579" s="16"/>
    </row>
    <row r="12580" spans="4:4">
      <c r="D12580" s="16"/>
    </row>
    <row r="12581" spans="4:4">
      <c r="D12581" s="16"/>
    </row>
    <row r="12582" spans="4:4">
      <c r="D12582" s="16"/>
    </row>
    <row r="12583" spans="4:4">
      <c r="D12583" s="16"/>
    </row>
    <row r="12584" spans="4:4">
      <c r="D12584" s="16"/>
    </row>
    <row r="12585" spans="4:4">
      <c r="D12585" s="16"/>
    </row>
    <row r="12586" spans="4:4">
      <c r="D12586" s="16"/>
    </row>
    <row r="12587" spans="4:4">
      <c r="D12587" s="16"/>
    </row>
    <row r="12588" spans="4:4">
      <c r="D12588" s="16"/>
    </row>
    <row r="12589" spans="4:4">
      <c r="D12589" s="16"/>
    </row>
    <row r="12590" spans="4:4">
      <c r="D12590" s="16"/>
    </row>
    <row r="12591" spans="4:4">
      <c r="D12591" s="16"/>
    </row>
    <row r="12592" spans="4:4">
      <c r="D12592" s="16"/>
    </row>
    <row r="12593" spans="4:4">
      <c r="D12593" s="16"/>
    </row>
    <row r="12594" spans="4:4">
      <c r="D12594" s="16"/>
    </row>
    <row r="12595" spans="4:4">
      <c r="D12595" s="16"/>
    </row>
    <row r="12596" spans="4:4">
      <c r="D12596" s="16"/>
    </row>
    <row r="12597" spans="4:4">
      <c r="D12597" s="16"/>
    </row>
    <row r="12598" spans="4:4">
      <c r="D12598" s="16"/>
    </row>
    <row r="12599" spans="4:4">
      <c r="D12599" s="16"/>
    </row>
    <row r="12600" spans="4:4">
      <c r="D12600" s="16"/>
    </row>
    <row r="12601" spans="4:4">
      <c r="D12601" s="16"/>
    </row>
    <row r="12602" spans="4:4">
      <c r="D12602" s="16"/>
    </row>
    <row r="12603" spans="4:4">
      <c r="D12603" s="16"/>
    </row>
    <row r="12604" spans="4:4">
      <c r="D12604" s="16"/>
    </row>
    <row r="12605" spans="4:4">
      <c r="D12605" s="16"/>
    </row>
    <row r="12606" spans="4:4">
      <c r="D12606" s="16"/>
    </row>
    <row r="12607" spans="4:4">
      <c r="D12607" s="16"/>
    </row>
    <row r="12608" spans="4:4">
      <c r="D12608" s="16"/>
    </row>
    <row r="12609" spans="4:4">
      <c r="D12609" s="16"/>
    </row>
    <row r="12610" spans="4:4">
      <c r="D12610" s="16"/>
    </row>
    <row r="12611" spans="4:4">
      <c r="D12611" s="16"/>
    </row>
    <row r="12612" spans="4:4">
      <c r="D12612" s="16"/>
    </row>
    <row r="12613" spans="4:4">
      <c r="D12613" s="16"/>
    </row>
    <row r="12614" spans="4:4">
      <c r="D12614" s="16"/>
    </row>
    <row r="12615" spans="4:4">
      <c r="D12615" s="16"/>
    </row>
    <row r="12616" spans="4:4">
      <c r="D12616" s="16"/>
    </row>
    <row r="12617" spans="4:4">
      <c r="D12617" s="16"/>
    </row>
    <row r="12618" spans="4:4">
      <c r="D12618" s="16"/>
    </row>
    <row r="12619" spans="4:4">
      <c r="D12619" s="16"/>
    </row>
    <row r="12620" spans="4:4">
      <c r="D12620" s="16"/>
    </row>
    <row r="12621" spans="4:4">
      <c r="D12621" s="16"/>
    </row>
    <row r="12622" spans="4:4">
      <c r="D12622" s="16"/>
    </row>
    <row r="12623" spans="4:4">
      <c r="D12623" s="16"/>
    </row>
    <row r="12624" spans="4:4">
      <c r="D12624" s="16"/>
    </row>
    <row r="12625" spans="4:4">
      <c r="D12625" s="16"/>
    </row>
    <row r="12626" spans="4:4">
      <c r="D12626" s="16"/>
    </row>
    <row r="12627" spans="4:4">
      <c r="D12627" s="16"/>
    </row>
    <row r="12628" spans="4:4">
      <c r="D12628" s="16"/>
    </row>
    <row r="12629" spans="4:4">
      <c r="D12629" s="16"/>
    </row>
    <row r="12630" spans="4:4">
      <c r="D12630" s="16"/>
    </row>
    <row r="12631" spans="4:4">
      <c r="D12631" s="16"/>
    </row>
    <row r="12632" spans="4:4">
      <c r="D12632" s="16"/>
    </row>
    <row r="12633" spans="4:4">
      <c r="D12633" s="16"/>
    </row>
    <row r="12634" spans="4:4">
      <c r="D12634" s="16"/>
    </row>
    <row r="12635" spans="4:4">
      <c r="D12635" s="16"/>
    </row>
    <row r="12636" spans="4:4">
      <c r="D12636" s="16"/>
    </row>
    <row r="12637" spans="4:4">
      <c r="D12637" s="16"/>
    </row>
    <row r="12638" spans="4:4">
      <c r="D12638" s="16"/>
    </row>
    <row r="12639" spans="4:4">
      <c r="D12639" s="16"/>
    </row>
    <row r="12640" spans="4:4">
      <c r="D12640" s="16"/>
    </row>
    <row r="12641" spans="4:4">
      <c r="D12641" s="16"/>
    </row>
    <row r="12642" spans="4:4">
      <c r="D12642" s="16"/>
    </row>
    <row r="12643" spans="4:4">
      <c r="D12643" s="16"/>
    </row>
    <row r="12644" spans="4:4">
      <c r="D12644" s="16"/>
    </row>
    <row r="12645" spans="4:4">
      <c r="D12645" s="16"/>
    </row>
    <row r="12646" spans="4:4">
      <c r="D12646" s="16"/>
    </row>
    <row r="12647" spans="4:4">
      <c r="D12647" s="16"/>
    </row>
    <row r="12648" spans="4:4">
      <c r="D12648" s="16"/>
    </row>
    <row r="12649" spans="4:4">
      <c r="D12649" s="16"/>
    </row>
    <row r="12650" spans="4:4">
      <c r="D12650" s="16"/>
    </row>
    <row r="12651" spans="4:4">
      <c r="D12651" s="16"/>
    </row>
    <row r="12652" spans="4:4">
      <c r="D12652" s="16"/>
    </row>
    <row r="12653" spans="4:4">
      <c r="D12653" s="16"/>
    </row>
    <row r="12654" spans="4:4">
      <c r="D12654" s="16"/>
    </row>
    <row r="12655" spans="4:4">
      <c r="D12655" s="16"/>
    </row>
    <row r="12656" spans="4:4">
      <c r="D12656" s="16"/>
    </row>
    <row r="12657" spans="4:4">
      <c r="D12657" s="16"/>
    </row>
    <row r="12658" spans="4:4">
      <c r="D12658" s="16"/>
    </row>
    <row r="12659" spans="4:4">
      <c r="D12659" s="16"/>
    </row>
    <row r="12660" spans="4:4">
      <c r="D12660" s="16"/>
    </row>
    <row r="12661" spans="4:4">
      <c r="D12661" s="16"/>
    </row>
    <row r="12662" spans="4:4">
      <c r="D12662" s="16"/>
    </row>
    <row r="12663" spans="4:4">
      <c r="D12663" s="16"/>
    </row>
    <row r="12664" spans="4:4">
      <c r="D12664" s="16"/>
    </row>
    <row r="12665" spans="4:4">
      <c r="D12665" s="16"/>
    </row>
    <row r="12666" spans="4:4">
      <c r="D12666" s="16"/>
    </row>
    <row r="12667" spans="4:4">
      <c r="D12667" s="16"/>
    </row>
    <row r="12668" spans="4:4">
      <c r="D12668" s="16"/>
    </row>
    <row r="12669" spans="4:4">
      <c r="D12669" s="16"/>
    </row>
    <row r="12670" spans="4:4">
      <c r="D12670" s="16"/>
    </row>
    <row r="12671" spans="4:4">
      <c r="D12671" s="16"/>
    </row>
    <row r="12672" spans="4:4">
      <c r="D12672" s="16"/>
    </row>
    <row r="12673" spans="4:4">
      <c r="D12673" s="16"/>
    </row>
    <row r="12674" spans="4:4">
      <c r="D12674" s="16"/>
    </row>
    <row r="12675" spans="4:4">
      <c r="D12675" s="16"/>
    </row>
    <row r="12676" spans="4:4">
      <c r="D12676" s="16"/>
    </row>
    <row r="12677" spans="4:4">
      <c r="D12677" s="16"/>
    </row>
    <row r="12678" spans="4:4">
      <c r="D12678" s="16"/>
    </row>
    <row r="12679" spans="4:4">
      <c r="D12679" s="16"/>
    </row>
    <row r="12680" spans="4:4">
      <c r="D12680" s="16"/>
    </row>
    <row r="12681" spans="4:4">
      <c r="D12681" s="16"/>
    </row>
    <row r="12682" spans="4:4">
      <c r="D12682" s="16"/>
    </row>
    <row r="12683" spans="4:4">
      <c r="D12683" s="16"/>
    </row>
    <row r="12684" spans="4:4">
      <c r="D12684" s="16"/>
    </row>
    <row r="12685" spans="4:4">
      <c r="D12685" s="16"/>
    </row>
    <row r="12686" spans="4:4">
      <c r="D12686" s="16"/>
    </row>
    <row r="12687" spans="4:4">
      <c r="D12687" s="16"/>
    </row>
    <row r="12688" spans="4:4">
      <c r="D12688" s="16"/>
    </row>
    <row r="12689" spans="4:4">
      <c r="D12689" s="16"/>
    </row>
    <row r="12690" spans="4:4">
      <c r="D12690" s="16"/>
    </row>
    <row r="12691" spans="4:4">
      <c r="D12691" s="16"/>
    </row>
    <row r="12692" spans="4:4">
      <c r="D12692" s="16"/>
    </row>
    <row r="12693" spans="4:4">
      <c r="D12693" s="16"/>
    </row>
    <row r="12694" spans="4:4">
      <c r="D12694" s="16"/>
    </row>
    <row r="12695" spans="4:4">
      <c r="D12695" s="16"/>
    </row>
    <row r="12696" spans="4:4">
      <c r="D12696" s="16"/>
    </row>
    <row r="12697" spans="4:4">
      <c r="D12697" s="16"/>
    </row>
    <row r="12698" spans="4:4">
      <c r="D12698" s="16"/>
    </row>
    <row r="12699" spans="4:4">
      <c r="D12699" s="16"/>
    </row>
    <row r="12700" spans="4:4">
      <c r="D12700" s="16"/>
    </row>
    <row r="12701" spans="4:4">
      <c r="D12701" s="16"/>
    </row>
    <row r="12702" spans="4:4">
      <c r="D12702" s="16"/>
    </row>
    <row r="12703" spans="4:4">
      <c r="D12703" s="16"/>
    </row>
    <row r="12704" spans="4:4">
      <c r="D12704" s="16"/>
    </row>
    <row r="12705" spans="4:4">
      <c r="D12705" s="16"/>
    </row>
    <row r="12706" spans="4:4">
      <c r="D12706" s="16"/>
    </row>
    <row r="12707" spans="4:4">
      <c r="D12707" s="16"/>
    </row>
    <row r="12708" spans="4:4">
      <c r="D12708" s="16"/>
    </row>
    <row r="12709" spans="4:4">
      <c r="D12709" s="16"/>
    </row>
    <row r="12710" spans="4:4">
      <c r="D12710" s="16"/>
    </row>
    <row r="12711" spans="4:4">
      <c r="D12711" s="16"/>
    </row>
    <row r="12712" spans="4:4">
      <c r="D12712" s="16"/>
    </row>
    <row r="12713" spans="4:4">
      <c r="D12713" s="16"/>
    </row>
    <row r="12714" spans="4:4">
      <c r="D12714" s="16"/>
    </row>
    <row r="12715" spans="4:4">
      <c r="D12715" s="16"/>
    </row>
    <row r="12716" spans="4:4">
      <c r="D12716" s="16"/>
    </row>
    <row r="12717" spans="4:4">
      <c r="D12717" s="16"/>
    </row>
    <row r="12718" spans="4:4">
      <c r="D12718" s="16"/>
    </row>
    <row r="12719" spans="4:4">
      <c r="D12719" s="16"/>
    </row>
    <row r="12720" spans="4:4">
      <c r="D12720" s="16"/>
    </row>
    <row r="12721" spans="4:4">
      <c r="D12721" s="16"/>
    </row>
    <row r="12722" spans="4:4">
      <c r="D12722" s="16"/>
    </row>
    <row r="12723" spans="4:4">
      <c r="D12723" s="16"/>
    </row>
    <row r="12724" spans="4:4">
      <c r="D12724" s="16"/>
    </row>
    <row r="12725" spans="4:4">
      <c r="D12725" s="16"/>
    </row>
    <row r="12726" spans="4:4">
      <c r="D12726" s="16"/>
    </row>
    <row r="12727" spans="4:4">
      <c r="D12727" s="16"/>
    </row>
    <row r="12728" spans="4:4">
      <c r="D12728" s="16"/>
    </row>
    <row r="12729" spans="4:4">
      <c r="D12729" s="16"/>
    </row>
    <row r="12730" spans="4:4">
      <c r="D12730" s="16"/>
    </row>
    <row r="12731" spans="4:4">
      <c r="D12731" s="16"/>
    </row>
    <row r="12732" spans="4:4">
      <c r="D12732" s="16"/>
    </row>
    <row r="12733" spans="4:4">
      <c r="D12733" s="16"/>
    </row>
    <row r="12734" spans="4:4">
      <c r="D12734" s="16"/>
    </row>
    <row r="12735" spans="4:4">
      <c r="D12735" s="16"/>
    </row>
    <row r="12736" spans="4:4">
      <c r="D12736" s="16"/>
    </row>
    <row r="12737" spans="4:4">
      <c r="D12737" s="16"/>
    </row>
    <row r="12738" spans="4:4">
      <c r="D12738" s="16"/>
    </row>
    <row r="12739" spans="4:4">
      <c r="D12739" s="16"/>
    </row>
    <row r="12740" spans="4:4">
      <c r="D12740" s="16"/>
    </row>
    <row r="12741" spans="4:4">
      <c r="D12741" s="16"/>
    </row>
    <row r="12742" spans="4:4">
      <c r="D12742" s="16"/>
    </row>
    <row r="12743" spans="4:4">
      <c r="D12743" s="16"/>
    </row>
    <row r="12744" spans="4:4">
      <c r="D12744" s="16"/>
    </row>
    <row r="12745" spans="4:4">
      <c r="D12745" s="16"/>
    </row>
    <row r="12746" spans="4:4">
      <c r="D12746" s="16"/>
    </row>
    <row r="12747" spans="4:4">
      <c r="D12747" s="16"/>
    </row>
    <row r="12748" spans="4:4">
      <c r="D12748" s="16"/>
    </row>
    <row r="12749" spans="4:4">
      <c r="D12749" s="16"/>
    </row>
    <row r="12750" spans="4:4">
      <c r="D12750" s="16"/>
    </row>
    <row r="12751" spans="4:4">
      <c r="D12751" s="16"/>
    </row>
    <row r="12752" spans="4:4">
      <c r="D12752" s="16"/>
    </row>
    <row r="12753" spans="4:4">
      <c r="D12753" s="16"/>
    </row>
    <row r="12754" spans="4:4">
      <c r="D12754" s="16"/>
    </row>
    <row r="12755" spans="4:4">
      <c r="D12755" s="16"/>
    </row>
    <row r="12756" spans="4:4">
      <c r="D12756" s="16"/>
    </row>
    <row r="12757" spans="4:4">
      <c r="D12757" s="16"/>
    </row>
    <row r="12758" spans="4:4">
      <c r="D12758" s="16"/>
    </row>
    <row r="12759" spans="4:4">
      <c r="D12759" s="16"/>
    </row>
    <row r="12760" spans="4:4">
      <c r="D12760" s="16"/>
    </row>
    <row r="12761" spans="4:4">
      <c r="D12761" s="16"/>
    </row>
    <row r="12762" spans="4:4">
      <c r="D12762" s="16"/>
    </row>
    <row r="12763" spans="4:4">
      <c r="D12763" s="16"/>
    </row>
    <row r="12764" spans="4:4">
      <c r="D12764" s="16"/>
    </row>
    <row r="12765" spans="4:4">
      <c r="D12765" s="16"/>
    </row>
    <row r="12766" spans="4:4">
      <c r="D12766" s="16"/>
    </row>
    <row r="12767" spans="4:4">
      <c r="D12767" s="16"/>
    </row>
    <row r="12768" spans="4:4">
      <c r="D12768" s="16"/>
    </row>
    <row r="12769" spans="4:4">
      <c r="D12769" s="16"/>
    </row>
    <row r="12770" spans="4:4">
      <c r="D12770" s="16"/>
    </row>
    <row r="12771" spans="4:4">
      <c r="D12771" s="16"/>
    </row>
    <row r="12772" spans="4:4">
      <c r="D12772" s="16"/>
    </row>
    <row r="12773" spans="4:4">
      <c r="D12773" s="16"/>
    </row>
    <row r="12774" spans="4:4">
      <c r="D12774" s="16"/>
    </row>
    <row r="12775" spans="4:4">
      <c r="D12775" s="16"/>
    </row>
    <row r="12776" spans="4:4">
      <c r="D12776" s="16"/>
    </row>
    <row r="12777" spans="4:4">
      <c r="D12777" s="16"/>
    </row>
    <row r="12778" spans="4:4">
      <c r="D12778" s="16"/>
    </row>
    <row r="12779" spans="4:4">
      <c r="D12779" s="16"/>
    </row>
    <row r="12780" spans="4:4">
      <c r="D12780" s="16"/>
    </row>
    <row r="12781" spans="4:4">
      <c r="D12781" s="16"/>
    </row>
    <row r="12782" spans="4:4">
      <c r="D12782" s="16"/>
    </row>
    <row r="12783" spans="4:4">
      <c r="D12783" s="16"/>
    </row>
    <row r="12784" spans="4:4">
      <c r="D12784" s="16"/>
    </row>
    <row r="12785" spans="4:4">
      <c r="D12785" s="16"/>
    </row>
    <row r="12786" spans="4:4">
      <c r="D12786" s="16"/>
    </row>
    <row r="12787" spans="4:4">
      <c r="D12787" s="16"/>
    </row>
    <row r="12788" spans="4:4">
      <c r="D12788" s="16"/>
    </row>
    <row r="12789" spans="4:4">
      <c r="D12789" s="16"/>
    </row>
    <row r="12790" spans="4:4">
      <c r="D12790" s="16"/>
    </row>
    <row r="12791" spans="4:4">
      <c r="D12791" s="16"/>
    </row>
    <row r="12792" spans="4:4">
      <c r="D12792" s="16"/>
    </row>
    <row r="12793" spans="4:4">
      <c r="D12793" s="16"/>
    </row>
    <row r="12794" spans="4:4">
      <c r="D12794" s="16"/>
    </row>
    <row r="12795" spans="4:4">
      <c r="D12795" s="16"/>
    </row>
    <row r="12796" spans="4:4">
      <c r="D12796" s="16"/>
    </row>
    <row r="12797" spans="4:4">
      <c r="D12797" s="16"/>
    </row>
    <row r="12798" spans="4:4">
      <c r="D12798" s="16"/>
    </row>
    <row r="12799" spans="4:4">
      <c r="D12799" s="16"/>
    </row>
    <row r="12800" spans="4:4">
      <c r="D12800" s="16"/>
    </row>
    <row r="12801" spans="4:4">
      <c r="D12801" s="16"/>
    </row>
    <row r="12802" spans="4:4">
      <c r="D12802" s="16"/>
    </row>
    <row r="12803" spans="4:4">
      <c r="D12803" s="16"/>
    </row>
    <row r="12804" spans="4:4">
      <c r="D12804" s="16"/>
    </row>
    <row r="12805" spans="4:4">
      <c r="D12805" s="16"/>
    </row>
    <row r="12806" spans="4:4">
      <c r="D12806" s="16"/>
    </row>
    <row r="12807" spans="4:4">
      <c r="D12807" s="16"/>
    </row>
    <row r="12808" spans="4:4">
      <c r="D12808" s="16"/>
    </row>
    <row r="12809" spans="4:4">
      <c r="D12809" s="16"/>
    </row>
    <row r="12810" spans="4:4">
      <c r="D12810" s="16"/>
    </row>
    <row r="12811" spans="4:4">
      <c r="D12811" s="16"/>
    </row>
    <row r="12812" spans="4:4">
      <c r="D12812" s="16"/>
    </row>
    <row r="12813" spans="4:4">
      <c r="D12813" s="16"/>
    </row>
    <row r="12814" spans="4:4">
      <c r="D12814" s="16"/>
    </row>
    <row r="12815" spans="4:4">
      <c r="D12815" s="16"/>
    </row>
    <row r="12816" spans="4:4">
      <c r="D12816" s="16"/>
    </row>
    <row r="12817" spans="4:4">
      <c r="D12817" s="16"/>
    </row>
    <row r="12818" spans="4:4">
      <c r="D12818" s="16"/>
    </row>
    <row r="12819" spans="4:4">
      <c r="D12819" s="16"/>
    </row>
    <row r="12820" spans="4:4">
      <c r="D12820" s="16"/>
    </row>
    <row r="12821" spans="4:4">
      <c r="D12821" s="16"/>
    </row>
    <row r="12822" spans="4:4">
      <c r="D12822" s="16"/>
    </row>
    <row r="12823" spans="4:4">
      <c r="D12823" s="16"/>
    </row>
    <row r="12824" spans="4:4">
      <c r="D12824" s="16"/>
    </row>
    <row r="12825" spans="4:4">
      <c r="D12825" s="16"/>
    </row>
    <row r="12826" spans="4:4">
      <c r="D12826" s="16"/>
    </row>
    <row r="12827" spans="4:4">
      <c r="D12827" s="16"/>
    </row>
    <row r="12828" spans="4:4">
      <c r="D12828" s="16"/>
    </row>
    <row r="12829" spans="4:4">
      <c r="D12829" s="16"/>
    </row>
    <row r="12830" spans="4:4">
      <c r="D12830" s="16"/>
    </row>
    <row r="12831" spans="4:4">
      <c r="D12831" s="16"/>
    </row>
    <row r="12832" spans="4:4">
      <c r="D12832" s="16"/>
    </row>
    <row r="12833" spans="4:4">
      <c r="D12833" s="16"/>
    </row>
    <row r="12834" spans="4:4">
      <c r="D12834" s="16"/>
    </row>
    <row r="12835" spans="4:4">
      <c r="D12835" s="16"/>
    </row>
    <row r="12836" spans="4:4">
      <c r="D12836" s="16"/>
    </row>
    <row r="12837" spans="4:4">
      <c r="D12837" s="16"/>
    </row>
    <row r="12838" spans="4:4">
      <c r="D12838" s="16"/>
    </row>
    <row r="12839" spans="4:4">
      <c r="D12839" s="16"/>
    </row>
    <row r="12840" spans="4:4">
      <c r="D12840" s="16"/>
    </row>
    <row r="12841" spans="4:4">
      <c r="D12841" s="16"/>
    </row>
    <row r="12842" spans="4:4">
      <c r="D12842" s="16"/>
    </row>
    <row r="12843" spans="4:4">
      <c r="D12843" s="16"/>
    </row>
    <row r="12844" spans="4:4">
      <c r="D12844" s="16"/>
    </row>
    <row r="12845" spans="4:4">
      <c r="D12845" s="16"/>
    </row>
    <row r="12846" spans="4:4">
      <c r="D12846" s="16"/>
    </row>
    <row r="12847" spans="4:4">
      <c r="D12847" s="16"/>
    </row>
    <row r="12848" spans="4:4">
      <c r="D12848" s="16"/>
    </row>
    <row r="12849" spans="4:4">
      <c r="D12849" s="16"/>
    </row>
    <row r="12850" spans="4:4">
      <c r="D12850" s="16"/>
    </row>
    <row r="12851" spans="4:4">
      <c r="D12851" s="16"/>
    </row>
    <row r="12852" spans="4:4">
      <c r="D12852" s="16"/>
    </row>
    <row r="12853" spans="4:4">
      <c r="D12853" s="16"/>
    </row>
    <row r="12854" spans="4:4">
      <c r="D12854" s="16"/>
    </row>
    <row r="12855" spans="4:4">
      <c r="D12855" s="16"/>
    </row>
    <row r="12856" spans="4:4">
      <c r="D12856" s="16"/>
    </row>
    <row r="12857" spans="4:4">
      <c r="D12857" s="16"/>
    </row>
    <row r="12858" spans="4:4">
      <c r="D12858" s="16"/>
    </row>
    <row r="12859" spans="4:4">
      <c r="D12859" s="16"/>
    </row>
    <row r="12860" spans="4:4">
      <c r="D12860" s="16"/>
    </row>
    <row r="12861" spans="4:4">
      <c r="D12861" s="16"/>
    </row>
    <row r="12862" spans="4:4">
      <c r="D12862" s="16"/>
    </row>
    <row r="12863" spans="4:4">
      <c r="D12863" s="16"/>
    </row>
    <row r="12864" spans="4:4">
      <c r="D12864" s="16"/>
    </row>
    <row r="12865" spans="4:4">
      <c r="D12865" s="16"/>
    </row>
    <row r="12866" spans="4:4">
      <c r="D12866" s="16"/>
    </row>
    <row r="12867" spans="4:4">
      <c r="D12867" s="16"/>
    </row>
    <row r="12868" spans="4:4">
      <c r="D12868" s="16"/>
    </row>
    <row r="12869" spans="4:4">
      <c r="D12869" s="16"/>
    </row>
    <row r="12870" spans="4:4">
      <c r="D12870" s="16"/>
    </row>
    <row r="12871" spans="4:4">
      <c r="D12871" s="16"/>
    </row>
    <row r="12872" spans="4:4">
      <c r="D12872" s="16"/>
    </row>
    <row r="12873" spans="4:4">
      <c r="D12873" s="16"/>
    </row>
    <row r="12874" spans="4:4">
      <c r="D12874" s="16"/>
    </row>
    <row r="12875" spans="4:4">
      <c r="D12875" s="16"/>
    </row>
    <row r="12876" spans="4:4">
      <c r="D12876" s="16"/>
    </row>
    <row r="12877" spans="4:4">
      <c r="D12877" s="16"/>
    </row>
    <row r="12878" spans="4:4">
      <c r="D12878" s="16"/>
    </row>
    <row r="12879" spans="4:4">
      <c r="D12879" s="16"/>
    </row>
    <row r="12880" spans="4:4">
      <c r="D12880" s="16"/>
    </row>
    <row r="12881" spans="4:4">
      <c r="D12881" s="16"/>
    </row>
    <row r="12882" spans="4:4">
      <c r="D12882" s="16"/>
    </row>
    <row r="12883" spans="4:4">
      <c r="D12883" s="16"/>
    </row>
    <row r="12884" spans="4:4">
      <c r="D12884" s="16"/>
    </row>
    <row r="12885" spans="4:4">
      <c r="D12885" s="16"/>
    </row>
    <row r="12886" spans="4:4">
      <c r="D12886" s="16"/>
    </row>
    <row r="12887" spans="4:4">
      <c r="D12887" s="16"/>
    </row>
    <row r="12888" spans="4:4">
      <c r="D12888" s="16"/>
    </row>
    <row r="12889" spans="4:4">
      <c r="D12889" s="16"/>
    </row>
    <row r="12890" spans="4:4">
      <c r="D12890" s="16"/>
    </row>
    <row r="12891" spans="4:4">
      <c r="D12891" s="16"/>
    </row>
    <row r="12892" spans="4:4">
      <c r="D12892" s="16"/>
    </row>
    <row r="12893" spans="4:4">
      <c r="D12893" s="16"/>
    </row>
    <row r="12894" spans="4:4">
      <c r="D12894" s="16"/>
    </row>
    <row r="12895" spans="4:4">
      <c r="D12895" s="16"/>
    </row>
    <row r="12896" spans="4:4">
      <c r="D12896" s="16"/>
    </row>
    <row r="12897" spans="4:4">
      <c r="D12897" s="16"/>
    </row>
    <row r="12898" spans="4:4">
      <c r="D12898" s="16"/>
    </row>
    <row r="12899" spans="4:4">
      <c r="D12899" s="16"/>
    </row>
    <row r="12900" spans="4:4">
      <c r="D12900" s="16"/>
    </row>
    <row r="12901" spans="4:4">
      <c r="D12901" s="16"/>
    </row>
    <row r="12902" spans="4:4">
      <c r="D12902" s="16"/>
    </row>
    <row r="12903" spans="4:4">
      <c r="D12903" s="16"/>
    </row>
    <row r="12904" spans="4:4">
      <c r="D12904" s="16"/>
    </row>
    <row r="12905" spans="4:4">
      <c r="D12905" s="16"/>
    </row>
    <row r="12906" spans="4:4">
      <c r="D12906" s="16"/>
    </row>
    <row r="12907" spans="4:4">
      <c r="D12907" s="16"/>
    </row>
    <row r="12908" spans="4:4">
      <c r="D12908" s="16"/>
    </row>
    <row r="12909" spans="4:4">
      <c r="D12909" s="16"/>
    </row>
    <row r="12910" spans="4:4">
      <c r="D12910" s="16"/>
    </row>
    <row r="12911" spans="4:4">
      <c r="D12911" s="16"/>
    </row>
    <row r="12912" spans="4:4">
      <c r="D12912" s="16"/>
    </row>
    <row r="12913" spans="4:4">
      <c r="D12913" s="16"/>
    </row>
    <row r="12914" spans="4:4">
      <c r="D12914" s="16"/>
    </row>
    <row r="12915" spans="4:4">
      <c r="D12915" s="16"/>
    </row>
    <row r="12916" spans="4:4">
      <c r="D12916" s="16"/>
    </row>
    <row r="12917" spans="4:4">
      <c r="D12917" s="16"/>
    </row>
    <row r="12918" spans="4:4">
      <c r="D12918" s="16"/>
    </row>
    <row r="12919" spans="4:4">
      <c r="D12919" s="16"/>
    </row>
    <row r="12920" spans="4:4">
      <c r="D12920" s="16"/>
    </row>
    <row r="12921" spans="4:4">
      <c r="D12921" s="16"/>
    </row>
    <row r="12922" spans="4:4">
      <c r="D12922" s="16"/>
    </row>
    <row r="12923" spans="4:4">
      <c r="D12923" s="16"/>
    </row>
    <row r="12924" spans="4:4">
      <c r="D12924" s="16"/>
    </row>
    <row r="12925" spans="4:4">
      <c r="D12925" s="16"/>
    </row>
    <row r="12926" spans="4:4">
      <c r="D12926" s="16"/>
    </row>
    <row r="12927" spans="4:4">
      <c r="D12927" s="16"/>
    </row>
    <row r="12928" spans="4:4">
      <c r="D12928" s="16"/>
    </row>
    <row r="12929" spans="4:4">
      <c r="D12929" s="16"/>
    </row>
    <row r="12930" spans="4:4">
      <c r="D12930" s="16"/>
    </row>
    <row r="12931" spans="4:4">
      <c r="D12931" s="16"/>
    </row>
    <row r="12932" spans="4:4">
      <c r="D12932" s="16"/>
    </row>
    <row r="12933" spans="4:4">
      <c r="D12933" s="16"/>
    </row>
    <row r="12934" spans="4:4">
      <c r="D12934" s="16"/>
    </row>
    <row r="12935" spans="4:4">
      <c r="D12935" s="16"/>
    </row>
    <row r="12936" spans="4:4">
      <c r="D12936" s="16"/>
    </row>
    <row r="12937" spans="4:4">
      <c r="D12937" s="16"/>
    </row>
    <row r="12938" spans="4:4">
      <c r="D12938" s="16"/>
    </row>
    <row r="12939" spans="4:4">
      <c r="D12939" s="16"/>
    </row>
    <row r="12940" spans="4:4">
      <c r="D12940" s="16"/>
    </row>
    <row r="12941" spans="4:4">
      <c r="D12941" s="16"/>
    </row>
    <row r="12942" spans="4:4">
      <c r="D12942" s="16"/>
    </row>
    <row r="12943" spans="4:4">
      <c r="D12943" s="16"/>
    </row>
    <row r="12944" spans="4:4">
      <c r="D12944" s="16"/>
    </row>
    <row r="12945" spans="4:4">
      <c r="D12945" s="16"/>
    </row>
    <row r="12946" spans="4:4">
      <c r="D12946" s="16"/>
    </row>
    <row r="12947" spans="4:4">
      <c r="D12947" s="16"/>
    </row>
    <row r="12948" spans="4:4">
      <c r="D12948" s="16"/>
    </row>
    <row r="12949" spans="4:4">
      <c r="D12949" s="16"/>
    </row>
    <row r="12950" spans="4:4">
      <c r="D12950" s="16"/>
    </row>
    <row r="12951" spans="4:4">
      <c r="D12951" s="16"/>
    </row>
    <row r="12952" spans="4:4">
      <c r="D12952" s="16"/>
    </row>
    <row r="12953" spans="4:4">
      <c r="D12953" s="16"/>
    </row>
    <row r="12954" spans="4:4">
      <c r="D12954" s="16"/>
    </row>
    <row r="12955" spans="4:4">
      <c r="D12955" s="16"/>
    </row>
    <row r="12956" spans="4:4">
      <c r="D12956" s="16"/>
    </row>
    <row r="12957" spans="4:4">
      <c r="D12957" s="16"/>
    </row>
    <row r="12958" spans="4:4">
      <c r="D12958" s="16"/>
    </row>
    <row r="12959" spans="4:4">
      <c r="D12959" s="16"/>
    </row>
    <row r="12960" spans="4:4">
      <c r="D12960" s="16"/>
    </row>
    <row r="12961" spans="4:4">
      <c r="D12961" s="16"/>
    </row>
    <row r="12962" spans="4:4">
      <c r="D12962" s="16"/>
    </row>
    <row r="12963" spans="4:4">
      <c r="D12963" s="16"/>
    </row>
    <row r="12964" spans="4:4">
      <c r="D12964" s="16"/>
    </row>
    <row r="12965" spans="4:4">
      <c r="D12965" s="16"/>
    </row>
    <row r="12966" spans="4:4">
      <c r="D12966" s="16"/>
    </row>
    <row r="12967" spans="4:4">
      <c r="D12967" s="16"/>
    </row>
    <row r="12968" spans="4:4">
      <c r="D12968" s="16"/>
    </row>
    <row r="12969" spans="4:4">
      <c r="D12969" s="16"/>
    </row>
    <row r="12970" spans="4:4">
      <c r="D12970" s="16"/>
    </row>
    <row r="12971" spans="4:4">
      <c r="D12971" s="16"/>
    </row>
    <row r="12972" spans="4:4">
      <c r="D12972" s="16"/>
    </row>
    <row r="12973" spans="4:4">
      <c r="D12973" s="16"/>
    </row>
    <row r="12974" spans="4:4">
      <c r="D12974" s="16"/>
    </row>
    <row r="12975" spans="4:4">
      <c r="D12975" s="16"/>
    </row>
    <row r="12976" spans="4:4">
      <c r="D12976" s="16"/>
    </row>
    <row r="12977" spans="4:4">
      <c r="D12977" s="16"/>
    </row>
    <row r="12978" spans="4:4">
      <c r="D12978" s="16"/>
    </row>
    <row r="12979" spans="4:4">
      <c r="D12979" s="16"/>
    </row>
    <row r="12980" spans="4:4">
      <c r="D12980" s="16"/>
    </row>
    <row r="12981" spans="4:4">
      <c r="D12981" s="16"/>
    </row>
    <row r="12982" spans="4:4">
      <c r="D12982" s="16"/>
    </row>
    <row r="12983" spans="4:4">
      <c r="D12983" s="16"/>
    </row>
    <row r="12984" spans="4:4">
      <c r="D12984" s="16"/>
    </row>
    <row r="12985" spans="4:4">
      <c r="D12985" s="16"/>
    </row>
    <row r="12986" spans="4:4">
      <c r="D12986" s="16"/>
    </row>
    <row r="12987" spans="4:4">
      <c r="D12987" s="16"/>
    </row>
    <row r="12988" spans="4:4">
      <c r="D12988" s="16"/>
    </row>
    <row r="12989" spans="4:4">
      <c r="D12989" s="16"/>
    </row>
    <row r="12990" spans="4:4">
      <c r="D12990" s="16"/>
    </row>
    <row r="12991" spans="4:4">
      <c r="D12991" s="16"/>
    </row>
    <row r="12992" spans="4:4">
      <c r="D12992" s="16"/>
    </row>
    <row r="12993" spans="4:4">
      <c r="D12993" s="16"/>
    </row>
    <row r="12994" spans="4:4">
      <c r="D12994" s="16"/>
    </row>
    <row r="12995" spans="4:4">
      <c r="D12995" s="16"/>
    </row>
    <row r="12996" spans="4:4">
      <c r="D12996" s="16"/>
    </row>
    <row r="12997" spans="4:4">
      <c r="D12997" s="16"/>
    </row>
    <row r="12998" spans="4:4">
      <c r="D12998" s="16"/>
    </row>
    <row r="12999" spans="4:4">
      <c r="D12999" s="16"/>
    </row>
    <row r="13000" spans="4:4">
      <c r="D13000" s="16"/>
    </row>
    <row r="13001" spans="4:4">
      <c r="D13001" s="16"/>
    </row>
    <row r="13002" spans="4:4">
      <c r="D13002" s="16"/>
    </row>
    <row r="13003" spans="4:4">
      <c r="D13003" s="16"/>
    </row>
    <row r="13004" spans="4:4">
      <c r="D13004" s="16"/>
    </row>
    <row r="13005" spans="4:4">
      <c r="D13005" s="16"/>
    </row>
    <row r="13006" spans="4:4">
      <c r="D13006" s="16"/>
    </row>
    <row r="13007" spans="4:4">
      <c r="D13007" s="16"/>
    </row>
    <row r="13008" spans="4:4">
      <c r="D13008" s="16"/>
    </row>
    <row r="13009" spans="4:4">
      <c r="D13009" s="16"/>
    </row>
    <row r="13010" spans="4:4">
      <c r="D13010" s="16"/>
    </row>
    <row r="13011" spans="4:4">
      <c r="D13011" s="16"/>
    </row>
    <row r="13012" spans="4:4">
      <c r="D13012" s="16"/>
    </row>
    <row r="13013" spans="4:4">
      <c r="D13013" s="16"/>
    </row>
    <row r="13014" spans="4:4">
      <c r="D13014" s="16"/>
    </row>
    <row r="13015" spans="4:4">
      <c r="D13015" s="16"/>
    </row>
    <row r="13016" spans="4:4">
      <c r="D13016" s="16"/>
    </row>
    <row r="13017" spans="4:4">
      <c r="D13017" s="16"/>
    </row>
    <row r="13018" spans="4:4">
      <c r="D13018" s="16"/>
    </row>
    <row r="13019" spans="4:4">
      <c r="D13019" s="16"/>
    </row>
    <row r="13020" spans="4:4">
      <c r="D13020" s="16"/>
    </row>
    <row r="13021" spans="4:4">
      <c r="D13021" s="16"/>
    </row>
    <row r="13022" spans="4:4">
      <c r="D13022" s="16"/>
    </row>
    <row r="13023" spans="4:4">
      <c r="D13023" s="16"/>
    </row>
    <row r="13024" spans="4:4">
      <c r="D13024" s="16"/>
    </row>
    <row r="13025" spans="4:4">
      <c r="D13025" s="16"/>
    </row>
    <row r="13026" spans="4:4">
      <c r="D13026" s="16"/>
    </row>
    <row r="13027" spans="4:4">
      <c r="D13027" s="16"/>
    </row>
    <row r="13028" spans="4:4">
      <c r="D13028" s="16"/>
    </row>
    <row r="13029" spans="4:4">
      <c r="D13029" s="16"/>
    </row>
    <row r="13030" spans="4:4">
      <c r="D13030" s="16"/>
    </row>
    <row r="13031" spans="4:4">
      <c r="D13031" s="16"/>
    </row>
    <row r="13032" spans="4:4">
      <c r="D13032" s="16"/>
    </row>
    <row r="13033" spans="4:4">
      <c r="D13033" s="16"/>
    </row>
    <row r="13034" spans="4:4">
      <c r="D13034" s="16"/>
    </row>
    <row r="13035" spans="4:4">
      <c r="D13035" s="16"/>
    </row>
    <row r="13036" spans="4:4">
      <c r="D13036" s="16"/>
    </row>
    <row r="13037" spans="4:4">
      <c r="D13037" s="16"/>
    </row>
    <row r="13038" spans="4:4">
      <c r="D13038" s="16"/>
    </row>
    <row r="13039" spans="4:4">
      <c r="D13039" s="16"/>
    </row>
    <row r="13040" spans="4:4">
      <c r="D13040" s="16"/>
    </row>
    <row r="13041" spans="4:4">
      <c r="D13041" s="16"/>
    </row>
    <row r="13042" spans="4:4">
      <c r="D13042" s="16"/>
    </row>
    <row r="13043" spans="4:4">
      <c r="D13043" s="16"/>
    </row>
    <row r="13044" spans="4:4">
      <c r="D13044" s="16"/>
    </row>
    <row r="13045" spans="4:4">
      <c r="D13045" s="16"/>
    </row>
    <row r="13046" spans="4:4">
      <c r="D13046" s="16"/>
    </row>
    <row r="13047" spans="4:4">
      <c r="D13047" s="16"/>
    </row>
    <row r="13048" spans="4:4">
      <c r="D13048" s="16"/>
    </row>
    <row r="13049" spans="4:4">
      <c r="D13049" s="16"/>
    </row>
    <row r="13050" spans="4:4">
      <c r="D13050" s="16"/>
    </row>
    <row r="13051" spans="4:4">
      <c r="D13051" s="16"/>
    </row>
    <row r="13052" spans="4:4">
      <c r="D13052" s="16"/>
    </row>
    <row r="13053" spans="4:4">
      <c r="D13053" s="16"/>
    </row>
    <row r="13054" spans="4:4">
      <c r="D13054" s="16"/>
    </row>
    <row r="13055" spans="4:4">
      <c r="D13055" s="16"/>
    </row>
    <row r="13056" spans="4:4">
      <c r="D13056" s="16"/>
    </row>
    <row r="13057" spans="4:4">
      <c r="D13057" s="16"/>
    </row>
    <row r="13058" spans="4:4">
      <c r="D13058" s="16"/>
    </row>
    <row r="13059" spans="4:4">
      <c r="D13059" s="16"/>
    </row>
    <row r="13060" spans="4:4">
      <c r="D13060" s="16"/>
    </row>
    <row r="13061" spans="4:4">
      <c r="D13061" s="16"/>
    </row>
    <row r="13062" spans="4:4">
      <c r="D13062" s="16"/>
    </row>
    <row r="13063" spans="4:4">
      <c r="D13063" s="16"/>
    </row>
    <row r="13064" spans="4:4">
      <c r="D13064" s="16"/>
    </row>
    <row r="13065" spans="4:4">
      <c r="D13065" s="16"/>
    </row>
    <row r="13066" spans="4:4">
      <c r="D13066" s="16"/>
    </row>
    <row r="13067" spans="4:4">
      <c r="D13067" s="16"/>
    </row>
    <row r="13068" spans="4:4">
      <c r="D13068" s="16"/>
    </row>
    <row r="13069" spans="4:4">
      <c r="D13069" s="16"/>
    </row>
    <row r="13070" spans="4:4">
      <c r="D13070" s="16"/>
    </row>
    <row r="13071" spans="4:4">
      <c r="D13071" s="16"/>
    </row>
    <row r="13072" spans="4:4">
      <c r="D13072" s="16"/>
    </row>
    <row r="13073" spans="4:4">
      <c r="D13073" s="16"/>
    </row>
    <row r="13074" spans="4:4">
      <c r="D13074" s="16"/>
    </row>
    <row r="13075" spans="4:4">
      <c r="D13075" s="16"/>
    </row>
    <row r="13076" spans="4:4">
      <c r="D13076" s="16"/>
    </row>
    <row r="13077" spans="4:4">
      <c r="D13077" s="16"/>
    </row>
    <row r="13078" spans="4:4">
      <c r="D13078" s="16"/>
    </row>
    <row r="13079" spans="4:4">
      <c r="D13079" s="16"/>
    </row>
    <row r="13080" spans="4:4">
      <c r="D13080" s="16"/>
    </row>
    <row r="13081" spans="4:4">
      <c r="D13081" s="16"/>
    </row>
    <row r="13082" spans="4:4">
      <c r="D13082" s="16"/>
    </row>
    <row r="13083" spans="4:4">
      <c r="D13083" s="16"/>
    </row>
    <row r="13084" spans="4:4">
      <c r="D13084" s="16"/>
    </row>
    <row r="13085" spans="4:4">
      <c r="D13085" s="16"/>
    </row>
    <row r="13086" spans="4:4">
      <c r="D13086" s="16"/>
    </row>
    <row r="13087" spans="4:4">
      <c r="D13087" s="16"/>
    </row>
    <row r="13088" spans="4:4">
      <c r="D13088" s="16"/>
    </row>
    <row r="13089" spans="4:4">
      <c r="D13089" s="16"/>
    </row>
    <row r="13090" spans="4:4">
      <c r="D13090" s="16"/>
    </row>
    <row r="13091" spans="4:4">
      <c r="D13091" s="16"/>
    </row>
    <row r="13092" spans="4:4">
      <c r="D13092" s="16"/>
    </row>
    <row r="13093" spans="4:4">
      <c r="D13093" s="16"/>
    </row>
    <row r="13094" spans="4:4">
      <c r="D13094" s="16"/>
    </row>
    <row r="13095" spans="4:4">
      <c r="D13095" s="16"/>
    </row>
    <row r="13096" spans="4:4">
      <c r="D13096" s="16"/>
    </row>
    <row r="13097" spans="4:4">
      <c r="D13097" s="16"/>
    </row>
    <row r="13098" spans="4:4">
      <c r="D13098" s="16"/>
    </row>
    <row r="13099" spans="4:4">
      <c r="D13099" s="16"/>
    </row>
    <row r="13100" spans="4:4">
      <c r="D13100" s="16"/>
    </row>
    <row r="13101" spans="4:4">
      <c r="D13101" s="16"/>
    </row>
    <row r="13102" spans="4:4">
      <c r="D13102" s="16"/>
    </row>
    <row r="13103" spans="4:4">
      <c r="D13103" s="16"/>
    </row>
    <row r="13104" spans="4:4">
      <c r="D13104" s="16"/>
    </row>
    <row r="13105" spans="4:4">
      <c r="D13105" s="16"/>
    </row>
    <row r="13106" spans="4:4">
      <c r="D13106" s="16"/>
    </row>
    <row r="13107" spans="4:4">
      <c r="D13107" s="16"/>
    </row>
    <row r="13108" spans="4:4">
      <c r="D13108" s="16"/>
    </row>
    <row r="13109" spans="4:4">
      <c r="D13109" s="16"/>
    </row>
    <row r="13110" spans="4:4">
      <c r="D13110" s="16"/>
    </row>
    <row r="13111" spans="4:4">
      <c r="D13111" s="16"/>
    </row>
    <row r="13112" spans="4:4">
      <c r="D13112" s="16"/>
    </row>
    <row r="13113" spans="4:4">
      <c r="D13113" s="16"/>
    </row>
    <row r="13114" spans="4:4">
      <c r="D13114" s="16"/>
    </row>
    <row r="13115" spans="4:4">
      <c r="D13115" s="16"/>
    </row>
    <row r="13116" spans="4:4">
      <c r="D13116" s="16"/>
    </row>
    <row r="13117" spans="4:4">
      <c r="D13117" s="16"/>
    </row>
    <row r="13118" spans="4:4">
      <c r="D13118" s="16"/>
    </row>
    <row r="13119" spans="4:4">
      <c r="D13119" s="16"/>
    </row>
    <row r="13120" spans="4:4">
      <c r="D13120" s="16"/>
    </row>
    <row r="13121" spans="4:4">
      <c r="D13121" s="16"/>
    </row>
    <row r="13122" spans="4:4">
      <c r="D13122" s="16"/>
    </row>
    <row r="13123" spans="4:4">
      <c r="D13123" s="16"/>
    </row>
    <row r="13124" spans="4:4">
      <c r="D13124" s="16"/>
    </row>
    <row r="13125" spans="4:4">
      <c r="D13125" s="16"/>
    </row>
    <row r="13126" spans="4:4">
      <c r="D13126" s="16"/>
    </row>
    <row r="13127" spans="4:4">
      <c r="D13127" s="16"/>
    </row>
    <row r="13128" spans="4:4">
      <c r="D13128" s="16"/>
    </row>
    <row r="13129" spans="4:4">
      <c r="D13129" s="16"/>
    </row>
    <row r="13130" spans="4:4">
      <c r="D13130" s="16"/>
    </row>
    <row r="13131" spans="4:4">
      <c r="D13131" s="16"/>
    </row>
    <row r="13132" spans="4:4">
      <c r="D13132" s="16"/>
    </row>
    <row r="13133" spans="4:4">
      <c r="D13133" s="16"/>
    </row>
    <row r="13134" spans="4:4">
      <c r="D13134" s="16"/>
    </row>
    <row r="13135" spans="4:4">
      <c r="D13135" s="16"/>
    </row>
    <row r="13136" spans="4:4">
      <c r="D13136" s="16"/>
    </row>
    <row r="13137" spans="4:4">
      <c r="D13137" s="16"/>
    </row>
    <row r="13138" spans="4:4">
      <c r="D13138" s="16"/>
    </row>
    <row r="13139" spans="4:4">
      <c r="D13139" s="16"/>
    </row>
    <row r="13140" spans="4:4">
      <c r="D13140" s="16"/>
    </row>
    <row r="13141" spans="4:4">
      <c r="D13141" s="16"/>
    </row>
    <row r="13142" spans="4:4">
      <c r="D13142" s="16"/>
    </row>
    <row r="13143" spans="4:4">
      <c r="D13143" s="16"/>
    </row>
    <row r="13144" spans="4:4">
      <c r="D13144" s="16"/>
    </row>
    <row r="13145" spans="4:4">
      <c r="D13145" s="16"/>
    </row>
    <row r="13146" spans="4:4">
      <c r="D13146" s="16"/>
    </row>
    <row r="13147" spans="4:4">
      <c r="D13147" s="16"/>
    </row>
    <row r="13148" spans="4:4">
      <c r="D13148" s="16"/>
    </row>
    <row r="13149" spans="4:4">
      <c r="D13149" s="16"/>
    </row>
    <row r="13150" spans="4:4">
      <c r="D13150" s="16"/>
    </row>
    <row r="13151" spans="4:4">
      <c r="D13151" s="16"/>
    </row>
    <row r="13152" spans="4:4">
      <c r="D13152" s="16"/>
    </row>
    <row r="13153" spans="4:4">
      <c r="D13153" s="16"/>
    </row>
    <row r="13154" spans="4:4">
      <c r="D13154" s="16"/>
    </row>
    <row r="13155" spans="4:4">
      <c r="D13155" s="16"/>
    </row>
    <row r="13156" spans="4:4">
      <c r="D13156" s="16"/>
    </row>
    <row r="13157" spans="4:4">
      <c r="D13157" s="16"/>
    </row>
    <row r="13158" spans="4:4">
      <c r="D13158" s="16"/>
    </row>
    <row r="13159" spans="4:4">
      <c r="D13159" s="16"/>
    </row>
    <row r="13160" spans="4:4">
      <c r="D13160" s="16"/>
    </row>
    <row r="13161" spans="4:4">
      <c r="D13161" s="16"/>
    </row>
    <row r="13162" spans="4:4">
      <c r="D13162" s="16"/>
    </row>
    <row r="13163" spans="4:4">
      <c r="D13163" s="16"/>
    </row>
    <row r="13164" spans="4:4">
      <c r="D13164" s="16"/>
    </row>
    <row r="13165" spans="4:4">
      <c r="D13165" s="16"/>
    </row>
    <row r="13166" spans="4:4">
      <c r="D13166" s="16"/>
    </row>
    <row r="13167" spans="4:4">
      <c r="D13167" s="16"/>
    </row>
    <row r="13168" spans="4:4">
      <c r="D13168" s="16"/>
    </row>
    <row r="13169" spans="4:4">
      <c r="D13169" s="16"/>
    </row>
    <row r="13170" spans="4:4">
      <c r="D13170" s="16"/>
    </row>
    <row r="13171" spans="4:4">
      <c r="D13171" s="16"/>
    </row>
    <row r="13172" spans="4:4">
      <c r="D13172" s="16"/>
    </row>
    <row r="13173" spans="4:4">
      <c r="D13173" s="16"/>
    </row>
    <row r="13174" spans="4:4">
      <c r="D13174" s="16"/>
    </row>
    <row r="13175" spans="4:4">
      <c r="D13175" s="16"/>
    </row>
    <row r="13176" spans="4:4">
      <c r="D13176" s="16"/>
    </row>
    <row r="13177" spans="4:4">
      <c r="D13177" s="16"/>
    </row>
    <row r="13178" spans="4:4">
      <c r="D13178" s="16"/>
    </row>
    <row r="13179" spans="4:4">
      <c r="D13179" s="16"/>
    </row>
    <row r="13180" spans="4:4">
      <c r="D13180" s="16"/>
    </row>
    <row r="13181" spans="4:4">
      <c r="D13181" s="16"/>
    </row>
    <row r="13182" spans="4:4">
      <c r="D13182" s="16"/>
    </row>
    <row r="13183" spans="4:4">
      <c r="D13183" s="16"/>
    </row>
    <row r="13184" spans="4:4">
      <c r="D13184" s="16"/>
    </row>
    <row r="13185" spans="4:4">
      <c r="D13185" s="16"/>
    </row>
    <row r="13186" spans="4:4">
      <c r="D13186" s="16"/>
    </row>
    <row r="13187" spans="4:4">
      <c r="D13187" s="16"/>
    </row>
    <row r="13188" spans="4:4">
      <c r="D13188" s="16"/>
    </row>
    <row r="13189" spans="4:4">
      <c r="D13189" s="16"/>
    </row>
    <row r="13190" spans="4:4">
      <c r="D13190" s="16"/>
    </row>
    <row r="13191" spans="4:4">
      <c r="D13191" s="16"/>
    </row>
    <row r="13192" spans="4:4">
      <c r="D13192" s="16"/>
    </row>
    <row r="13193" spans="4:4">
      <c r="D13193" s="16"/>
    </row>
    <row r="13194" spans="4:4">
      <c r="D13194" s="16"/>
    </row>
    <row r="13195" spans="4:4">
      <c r="D13195" s="16"/>
    </row>
    <row r="13196" spans="4:4">
      <c r="D13196" s="16"/>
    </row>
    <row r="13197" spans="4:4">
      <c r="D13197" s="16"/>
    </row>
    <row r="13198" spans="4:4">
      <c r="D13198" s="16"/>
    </row>
    <row r="13199" spans="4:4">
      <c r="D13199" s="16"/>
    </row>
    <row r="13200" spans="4:4">
      <c r="D13200" s="16"/>
    </row>
    <row r="13201" spans="4:4">
      <c r="D13201" s="16"/>
    </row>
    <row r="13202" spans="4:4">
      <c r="D13202" s="16"/>
    </row>
    <row r="13203" spans="4:4">
      <c r="D13203" s="16"/>
    </row>
    <row r="13204" spans="4:4">
      <c r="D13204" s="16"/>
    </row>
    <row r="13205" spans="4:4">
      <c r="D13205" s="16"/>
    </row>
    <row r="13206" spans="4:4">
      <c r="D13206" s="16"/>
    </row>
    <row r="13207" spans="4:4">
      <c r="D13207" s="16"/>
    </row>
    <row r="13208" spans="4:4">
      <c r="D13208" s="16"/>
    </row>
    <row r="13209" spans="4:4">
      <c r="D13209" s="16"/>
    </row>
    <row r="13210" spans="4:4">
      <c r="D13210" s="16"/>
    </row>
    <row r="13211" spans="4:4">
      <c r="D13211" s="16"/>
    </row>
    <row r="13212" spans="4:4">
      <c r="D13212" s="16"/>
    </row>
    <row r="13213" spans="4:4">
      <c r="D13213" s="16"/>
    </row>
    <row r="13214" spans="4:4">
      <c r="D13214" s="16"/>
    </row>
    <row r="13215" spans="4:4">
      <c r="D13215" s="16"/>
    </row>
    <row r="13216" spans="4:4">
      <c r="D13216" s="16"/>
    </row>
    <row r="13217" spans="4:4">
      <c r="D13217" s="16"/>
    </row>
    <row r="13218" spans="4:4">
      <c r="D13218" s="16"/>
    </row>
    <row r="13219" spans="4:4">
      <c r="D13219" s="16"/>
    </row>
    <row r="13220" spans="4:4">
      <c r="D13220" s="16"/>
    </row>
    <row r="13221" spans="4:4">
      <c r="D13221" s="16"/>
    </row>
    <row r="13222" spans="4:4">
      <c r="D13222" s="16"/>
    </row>
    <row r="13223" spans="4:4">
      <c r="D13223" s="16"/>
    </row>
    <row r="13224" spans="4:4">
      <c r="D13224" s="16"/>
    </row>
    <row r="13225" spans="4:4">
      <c r="D13225" s="16"/>
    </row>
    <row r="13226" spans="4:4">
      <c r="D13226" s="16"/>
    </row>
    <row r="13227" spans="4:4">
      <c r="D13227" s="16"/>
    </row>
    <row r="13228" spans="4:4">
      <c r="D13228" s="16"/>
    </row>
    <row r="13229" spans="4:4">
      <c r="D13229" s="16"/>
    </row>
    <row r="13230" spans="4:4">
      <c r="D13230" s="16"/>
    </row>
    <row r="13231" spans="4:4">
      <c r="D13231" s="16"/>
    </row>
    <row r="13232" spans="4:4">
      <c r="D13232" s="16"/>
    </row>
    <row r="13233" spans="4:4">
      <c r="D13233" s="16"/>
    </row>
    <row r="13234" spans="4:4">
      <c r="D13234" s="16"/>
    </row>
    <row r="13235" spans="4:4">
      <c r="D13235" s="16"/>
    </row>
    <row r="13236" spans="4:4">
      <c r="D13236" s="16"/>
    </row>
    <row r="13237" spans="4:4">
      <c r="D13237" s="16"/>
    </row>
    <row r="13238" spans="4:4">
      <c r="D13238" s="16"/>
    </row>
    <row r="13239" spans="4:4">
      <c r="D13239" s="16"/>
    </row>
    <row r="13240" spans="4:4">
      <c r="D13240" s="16"/>
    </row>
    <row r="13241" spans="4:4">
      <c r="D13241" s="16"/>
    </row>
    <row r="13242" spans="4:4">
      <c r="D13242" s="16"/>
    </row>
    <row r="13243" spans="4:4">
      <c r="D13243" s="16"/>
    </row>
    <row r="13244" spans="4:4">
      <c r="D13244" s="16"/>
    </row>
    <row r="13245" spans="4:4">
      <c r="D13245" s="16"/>
    </row>
    <row r="13246" spans="4:4">
      <c r="D13246" s="16"/>
    </row>
    <row r="13247" spans="4:4">
      <c r="D13247" s="16"/>
    </row>
    <row r="13248" spans="4:4">
      <c r="D13248" s="16"/>
    </row>
    <row r="13249" spans="4:4">
      <c r="D13249" s="16"/>
    </row>
    <row r="13250" spans="4:4">
      <c r="D13250" s="16"/>
    </row>
    <row r="13251" spans="4:4">
      <c r="D13251" s="16"/>
    </row>
    <row r="13252" spans="4:4">
      <c r="D13252" s="16"/>
    </row>
    <row r="13253" spans="4:4">
      <c r="D13253" s="16"/>
    </row>
    <row r="13254" spans="4:4">
      <c r="D13254" s="16"/>
    </row>
    <row r="13255" spans="4:4">
      <c r="D13255" s="16"/>
    </row>
    <row r="13256" spans="4:4">
      <c r="D13256" s="16"/>
    </row>
    <row r="13257" spans="4:4">
      <c r="D13257" s="16"/>
    </row>
    <row r="13258" spans="4:4">
      <c r="D13258" s="16"/>
    </row>
    <row r="13259" spans="4:4">
      <c r="D13259" s="16"/>
    </row>
    <row r="13260" spans="4:4">
      <c r="D13260" s="16"/>
    </row>
    <row r="13261" spans="4:4">
      <c r="D13261" s="16"/>
    </row>
    <row r="13262" spans="4:4">
      <c r="D13262" s="16"/>
    </row>
    <row r="13263" spans="4:4">
      <c r="D13263" s="16"/>
    </row>
    <row r="13264" spans="4:4">
      <c r="D13264" s="16"/>
    </row>
    <row r="13265" spans="4:4">
      <c r="D13265" s="16"/>
    </row>
    <row r="13266" spans="4:4">
      <c r="D13266" s="16"/>
    </row>
    <row r="13267" spans="4:4">
      <c r="D13267" s="16"/>
    </row>
    <row r="13268" spans="4:4">
      <c r="D13268" s="16"/>
    </row>
    <row r="13269" spans="4:4">
      <c r="D13269" s="16"/>
    </row>
    <row r="13270" spans="4:4">
      <c r="D13270" s="16"/>
    </row>
    <row r="13271" spans="4:4">
      <c r="D13271" s="16"/>
    </row>
    <row r="13272" spans="4:4">
      <c r="D13272" s="16"/>
    </row>
    <row r="13273" spans="4:4">
      <c r="D13273" s="16"/>
    </row>
    <row r="13274" spans="4:4">
      <c r="D13274" s="16"/>
    </row>
    <row r="13275" spans="4:4">
      <c r="D13275" s="16"/>
    </row>
    <row r="13276" spans="4:4">
      <c r="D13276" s="16"/>
    </row>
    <row r="13277" spans="4:4">
      <c r="D13277" s="16"/>
    </row>
    <row r="13278" spans="4:4">
      <c r="D13278" s="16"/>
    </row>
    <row r="13279" spans="4:4">
      <c r="D13279" s="16"/>
    </row>
    <row r="13280" spans="4:4">
      <c r="D13280" s="16"/>
    </row>
    <row r="13281" spans="4:4">
      <c r="D13281" s="16"/>
    </row>
    <row r="13282" spans="4:4">
      <c r="D13282" s="16"/>
    </row>
    <row r="13283" spans="4:4">
      <c r="D13283" s="16"/>
    </row>
    <row r="13284" spans="4:4">
      <c r="D13284" s="16"/>
    </row>
    <row r="13285" spans="4:4">
      <c r="D13285" s="16"/>
    </row>
    <row r="13286" spans="4:4">
      <c r="D13286" s="16"/>
    </row>
    <row r="13287" spans="4:4">
      <c r="D13287" s="16"/>
    </row>
    <row r="13288" spans="4:4">
      <c r="D13288" s="16"/>
    </row>
    <row r="13289" spans="4:4">
      <c r="D13289" s="16"/>
    </row>
    <row r="13290" spans="4:4">
      <c r="D13290" s="16"/>
    </row>
    <row r="13291" spans="4:4">
      <c r="D13291" s="16"/>
    </row>
    <row r="13292" spans="4:4">
      <c r="D13292" s="16"/>
    </row>
    <row r="13293" spans="4:4">
      <c r="D13293" s="16"/>
    </row>
    <row r="13294" spans="4:4">
      <c r="D13294" s="16"/>
    </row>
    <row r="13295" spans="4:4">
      <c r="D13295" s="16"/>
    </row>
    <row r="13296" spans="4:4">
      <c r="D13296" s="16"/>
    </row>
    <row r="13297" spans="4:4">
      <c r="D13297" s="16"/>
    </row>
    <row r="13298" spans="4:4">
      <c r="D13298" s="16"/>
    </row>
    <row r="13299" spans="4:4">
      <c r="D13299" s="16"/>
    </row>
    <row r="13300" spans="4:4">
      <c r="D13300" s="16"/>
    </row>
    <row r="13301" spans="4:4">
      <c r="D13301" s="16"/>
    </row>
    <row r="13302" spans="4:4">
      <c r="D13302" s="16"/>
    </row>
    <row r="13303" spans="4:4">
      <c r="D13303" s="16"/>
    </row>
    <row r="13304" spans="4:4">
      <c r="D13304" s="16"/>
    </row>
    <row r="13305" spans="4:4">
      <c r="D13305" s="16"/>
    </row>
    <row r="13306" spans="4:4">
      <c r="D13306" s="16"/>
    </row>
    <row r="13307" spans="4:4">
      <c r="D13307" s="16"/>
    </row>
    <row r="13308" spans="4:4">
      <c r="D13308" s="16"/>
    </row>
    <row r="13309" spans="4:4">
      <c r="D13309" s="16"/>
    </row>
    <row r="13310" spans="4:4">
      <c r="D13310" s="16"/>
    </row>
    <row r="13311" spans="4:4">
      <c r="D13311" s="16"/>
    </row>
    <row r="13312" spans="4:4">
      <c r="D13312" s="16"/>
    </row>
    <row r="13313" spans="4:4">
      <c r="D13313" s="16"/>
    </row>
    <row r="13314" spans="4:4">
      <c r="D13314" s="16"/>
    </row>
    <row r="13315" spans="4:4">
      <c r="D13315" s="16"/>
    </row>
    <row r="13316" spans="4:4">
      <c r="D13316" s="16"/>
    </row>
    <row r="13317" spans="4:4">
      <c r="D13317" s="16"/>
    </row>
    <row r="13318" spans="4:4">
      <c r="D13318" s="16"/>
    </row>
    <row r="13319" spans="4:4">
      <c r="D13319" s="16"/>
    </row>
    <row r="13320" spans="4:4">
      <c r="D13320" s="16"/>
    </row>
    <row r="13321" spans="4:4">
      <c r="D13321" s="16"/>
    </row>
    <row r="13322" spans="4:4">
      <c r="D13322" s="16"/>
    </row>
    <row r="13323" spans="4:4">
      <c r="D13323" s="16"/>
    </row>
    <row r="13324" spans="4:4">
      <c r="D13324" s="16"/>
    </row>
    <row r="13325" spans="4:4">
      <c r="D13325" s="16"/>
    </row>
    <row r="13326" spans="4:4">
      <c r="D13326" s="16"/>
    </row>
    <row r="13327" spans="4:4">
      <c r="D13327" s="16"/>
    </row>
    <row r="13328" spans="4:4">
      <c r="D13328" s="16"/>
    </row>
    <row r="13329" spans="4:4">
      <c r="D13329" s="16"/>
    </row>
    <row r="13330" spans="4:4">
      <c r="D13330" s="16"/>
    </row>
    <row r="13331" spans="4:4">
      <c r="D13331" s="16"/>
    </row>
    <row r="13332" spans="4:4">
      <c r="D13332" s="16"/>
    </row>
    <row r="13333" spans="4:4">
      <c r="D13333" s="16"/>
    </row>
    <row r="13334" spans="4:4">
      <c r="D13334" s="16"/>
    </row>
    <row r="13335" spans="4:4">
      <c r="D13335" s="16"/>
    </row>
    <row r="13336" spans="4:4">
      <c r="D13336" s="16"/>
    </row>
    <row r="13337" spans="4:4">
      <c r="D13337" s="16"/>
    </row>
    <row r="13338" spans="4:4">
      <c r="D13338" s="16"/>
    </row>
    <row r="13339" spans="4:4">
      <c r="D13339" s="16"/>
    </row>
    <row r="13340" spans="4:4">
      <c r="D13340" s="16"/>
    </row>
    <row r="13341" spans="4:4">
      <c r="D13341" s="16"/>
    </row>
    <row r="13342" spans="4:4">
      <c r="D13342" s="16"/>
    </row>
    <row r="13343" spans="4:4">
      <c r="D13343" s="16"/>
    </row>
    <row r="13344" spans="4:4">
      <c r="D13344" s="16"/>
    </row>
    <row r="13345" spans="4:4">
      <c r="D13345" s="16"/>
    </row>
    <row r="13346" spans="4:4">
      <c r="D13346" s="16"/>
    </row>
    <row r="13347" spans="4:4">
      <c r="D13347" s="16"/>
    </row>
    <row r="13348" spans="4:4">
      <c r="D13348" s="16"/>
    </row>
    <row r="13349" spans="4:4">
      <c r="D13349" s="16"/>
    </row>
    <row r="13350" spans="4:4">
      <c r="D13350" s="16"/>
    </row>
    <row r="13351" spans="4:4">
      <c r="D13351" s="16"/>
    </row>
    <row r="13352" spans="4:4">
      <c r="D13352" s="16"/>
    </row>
    <row r="13353" spans="4:4">
      <c r="D13353" s="16"/>
    </row>
    <row r="13354" spans="4:4">
      <c r="D13354" s="16"/>
    </row>
    <row r="13355" spans="4:4">
      <c r="D13355" s="16"/>
    </row>
    <row r="13356" spans="4:4">
      <c r="D13356" s="16"/>
    </row>
    <row r="13357" spans="4:4">
      <c r="D13357" s="16"/>
    </row>
    <row r="13358" spans="4:4">
      <c r="D13358" s="16"/>
    </row>
    <row r="13359" spans="4:4">
      <c r="D13359" s="16"/>
    </row>
    <row r="13360" spans="4:4">
      <c r="D13360" s="16"/>
    </row>
    <row r="13361" spans="4:4">
      <c r="D13361" s="16"/>
    </row>
    <row r="13362" spans="4:4">
      <c r="D13362" s="16"/>
    </row>
    <row r="13363" spans="4:4">
      <c r="D13363" s="16"/>
    </row>
    <row r="13364" spans="4:4">
      <c r="D13364" s="16"/>
    </row>
    <row r="13365" spans="4:4">
      <c r="D13365" s="16"/>
    </row>
    <row r="13366" spans="4:4">
      <c r="D13366" s="16"/>
    </row>
    <row r="13367" spans="4:4">
      <c r="D13367" s="16"/>
    </row>
    <row r="13368" spans="4:4">
      <c r="D13368" s="16"/>
    </row>
    <row r="13369" spans="4:4">
      <c r="D13369" s="16"/>
    </row>
    <row r="13370" spans="4:4">
      <c r="D13370" s="16"/>
    </row>
    <row r="13371" spans="4:4">
      <c r="D13371" s="16"/>
    </row>
    <row r="13372" spans="4:4">
      <c r="D13372" s="16"/>
    </row>
    <row r="13373" spans="4:4">
      <c r="D13373" s="16"/>
    </row>
    <row r="13374" spans="4:4">
      <c r="D13374" s="16"/>
    </row>
    <row r="13375" spans="4:4">
      <c r="D13375" s="16"/>
    </row>
    <row r="13376" spans="4:4">
      <c r="D13376" s="16"/>
    </row>
    <row r="13377" spans="4:4">
      <c r="D13377" s="16"/>
    </row>
    <row r="13378" spans="4:4">
      <c r="D13378" s="16"/>
    </row>
    <row r="13379" spans="4:4">
      <c r="D13379" s="16"/>
    </row>
    <row r="13380" spans="4:4">
      <c r="D13380" s="16"/>
    </row>
    <row r="13381" spans="4:4">
      <c r="D13381" s="16"/>
    </row>
    <row r="13382" spans="4:4">
      <c r="D13382" s="16"/>
    </row>
    <row r="13383" spans="4:4">
      <c r="D13383" s="16"/>
    </row>
    <row r="13384" spans="4:4">
      <c r="D13384" s="16"/>
    </row>
    <row r="13385" spans="4:4">
      <c r="D13385" s="16"/>
    </row>
    <row r="13386" spans="4:4">
      <c r="D13386" s="16"/>
    </row>
    <row r="13387" spans="4:4">
      <c r="D13387" s="16"/>
    </row>
    <row r="13388" spans="4:4">
      <c r="D13388" s="16"/>
    </row>
    <row r="13389" spans="4:4">
      <c r="D13389" s="16"/>
    </row>
    <row r="13390" spans="4:4">
      <c r="D13390" s="16"/>
    </row>
    <row r="13391" spans="4:4">
      <c r="D13391" s="16"/>
    </row>
    <row r="13392" spans="4:4">
      <c r="D13392" s="16"/>
    </row>
    <row r="13393" spans="4:4">
      <c r="D13393" s="16"/>
    </row>
    <row r="13394" spans="4:4">
      <c r="D13394" s="16"/>
    </row>
    <row r="13395" spans="4:4">
      <c r="D13395" s="16"/>
    </row>
    <row r="13396" spans="4:4">
      <c r="D13396" s="16"/>
    </row>
    <row r="13397" spans="4:4">
      <c r="D13397" s="16"/>
    </row>
    <row r="13398" spans="4:4">
      <c r="D13398" s="16"/>
    </row>
    <row r="13399" spans="4:4">
      <c r="D13399" s="16"/>
    </row>
    <row r="13400" spans="4:4">
      <c r="D13400" s="16"/>
    </row>
    <row r="13401" spans="4:4">
      <c r="D13401" s="16"/>
    </row>
    <row r="13402" spans="4:4">
      <c r="D13402" s="16"/>
    </row>
    <row r="13403" spans="4:4">
      <c r="D13403" s="16"/>
    </row>
    <row r="13404" spans="4:4">
      <c r="D13404" s="16"/>
    </row>
    <row r="13405" spans="4:4">
      <c r="D13405" s="16"/>
    </row>
    <row r="13406" spans="4:4">
      <c r="D13406" s="16"/>
    </row>
    <row r="13407" spans="4:4">
      <c r="D13407" s="16"/>
    </row>
    <row r="13408" spans="4:4">
      <c r="D13408" s="16"/>
    </row>
    <row r="13409" spans="4:4">
      <c r="D13409" s="16"/>
    </row>
    <row r="13410" spans="4:4">
      <c r="D13410" s="16"/>
    </row>
    <row r="13411" spans="4:4">
      <c r="D13411" s="16"/>
    </row>
    <row r="13412" spans="4:4">
      <c r="D13412" s="16"/>
    </row>
    <row r="13413" spans="4:4">
      <c r="D13413" s="16"/>
    </row>
    <row r="13414" spans="4:4">
      <c r="D13414" s="16"/>
    </row>
    <row r="13415" spans="4:4">
      <c r="D13415" s="16"/>
    </row>
    <row r="13416" spans="4:4">
      <c r="D13416" s="16"/>
    </row>
    <row r="13417" spans="4:4">
      <c r="D13417" s="16"/>
    </row>
    <row r="13418" spans="4:4">
      <c r="D13418" s="16"/>
    </row>
    <row r="13419" spans="4:4">
      <c r="D13419" s="16"/>
    </row>
    <row r="13420" spans="4:4">
      <c r="D13420" s="16"/>
    </row>
    <row r="13421" spans="4:4">
      <c r="D13421" s="16"/>
    </row>
    <row r="13422" spans="4:4">
      <c r="D13422" s="16"/>
    </row>
    <row r="13423" spans="4:4">
      <c r="D13423" s="16"/>
    </row>
    <row r="13424" spans="4:4">
      <c r="D13424" s="16"/>
    </row>
    <row r="13425" spans="4:4">
      <c r="D13425" s="16"/>
    </row>
    <row r="13426" spans="4:4">
      <c r="D13426" s="16"/>
    </row>
    <row r="13427" spans="4:4">
      <c r="D13427" s="16"/>
    </row>
    <row r="13428" spans="4:4">
      <c r="D13428" s="16"/>
    </row>
    <row r="13429" spans="4:4">
      <c r="D13429" s="16"/>
    </row>
    <row r="13430" spans="4:4">
      <c r="D13430" s="16"/>
    </row>
    <row r="13431" spans="4:4">
      <c r="D13431" s="16"/>
    </row>
    <row r="13432" spans="4:4">
      <c r="D13432" s="16"/>
    </row>
    <row r="13433" spans="4:4">
      <c r="D13433" s="16"/>
    </row>
    <row r="13434" spans="4:4">
      <c r="D13434" s="16"/>
    </row>
    <row r="13435" spans="4:4">
      <c r="D13435" s="16"/>
    </row>
    <row r="13436" spans="4:4">
      <c r="D13436" s="16"/>
    </row>
    <row r="13437" spans="4:4">
      <c r="D13437" s="16"/>
    </row>
    <row r="13438" spans="4:4">
      <c r="D13438" s="16"/>
    </row>
    <row r="13439" spans="4:4">
      <c r="D13439" s="16"/>
    </row>
    <row r="13440" spans="4:4">
      <c r="D13440" s="16"/>
    </row>
    <row r="13441" spans="4:4">
      <c r="D13441" s="16"/>
    </row>
    <row r="13442" spans="4:4">
      <c r="D13442" s="16"/>
    </row>
    <row r="13443" spans="4:4">
      <c r="D13443" s="16"/>
    </row>
    <row r="13444" spans="4:4">
      <c r="D13444" s="16"/>
    </row>
    <row r="13445" spans="4:4">
      <c r="D13445" s="16"/>
    </row>
    <row r="13446" spans="4:4">
      <c r="D13446" s="16"/>
    </row>
    <row r="13447" spans="4:4">
      <c r="D13447" s="16"/>
    </row>
    <row r="13448" spans="4:4">
      <c r="D13448" s="16"/>
    </row>
    <row r="13449" spans="4:4">
      <c r="D13449" s="16"/>
    </row>
    <row r="13450" spans="4:4">
      <c r="D13450" s="16"/>
    </row>
    <row r="13451" spans="4:4">
      <c r="D13451" s="16"/>
    </row>
    <row r="13452" spans="4:4">
      <c r="D13452" s="16"/>
    </row>
    <row r="13453" spans="4:4">
      <c r="D13453" s="16"/>
    </row>
    <row r="13454" spans="4:4">
      <c r="D13454" s="16"/>
    </row>
    <row r="13455" spans="4:4">
      <c r="D13455" s="16"/>
    </row>
    <row r="13456" spans="4:4">
      <c r="D13456" s="16"/>
    </row>
    <row r="13457" spans="4:4">
      <c r="D13457" s="16"/>
    </row>
    <row r="13458" spans="4:4">
      <c r="D13458" s="16"/>
    </row>
    <row r="13459" spans="4:4">
      <c r="D13459" s="16"/>
    </row>
    <row r="13460" spans="4:4">
      <c r="D13460" s="16"/>
    </row>
    <row r="13461" spans="4:4">
      <c r="D13461" s="16"/>
    </row>
    <row r="13462" spans="4:4">
      <c r="D13462" s="16"/>
    </row>
    <row r="13463" spans="4:4">
      <c r="D13463" s="16"/>
    </row>
    <row r="13464" spans="4:4">
      <c r="D13464" s="16"/>
    </row>
    <row r="13465" spans="4:4">
      <c r="D13465" s="16"/>
    </row>
    <row r="13466" spans="4:4">
      <c r="D13466" s="16"/>
    </row>
    <row r="13467" spans="4:4">
      <c r="D13467" s="16"/>
    </row>
    <row r="13468" spans="4:4">
      <c r="D13468" s="16"/>
    </row>
    <row r="13469" spans="4:4">
      <c r="D13469" s="16"/>
    </row>
    <row r="13470" spans="4:4">
      <c r="D13470" s="16"/>
    </row>
    <row r="13471" spans="4:4">
      <c r="D13471" s="16"/>
    </row>
    <row r="13472" spans="4:4">
      <c r="D13472" s="16"/>
    </row>
    <row r="13473" spans="4:4">
      <c r="D13473" s="16"/>
    </row>
    <row r="13474" spans="4:4">
      <c r="D13474" s="16"/>
    </row>
    <row r="13475" spans="4:4">
      <c r="D13475" s="16"/>
    </row>
    <row r="13476" spans="4:4">
      <c r="D13476" s="16"/>
    </row>
    <row r="13477" spans="4:4">
      <c r="D13477" s="16"/>
    </row>
    <row r="13478" spans="4:4">
      <c r="D13478" s="16"/>
    </row>
    <row r="13479" spans="4:4">
      <c r="D13479" s="16"/>
    </row>
    <row r="13480" spans="4:4">
      <c r="D13480" s="16"/>
    </row>
    <row r="13481" spans="4:4">
      <c r="D13481" s="16"/>
    </row>
    <row r="13482" spans="4:4">
      <c r="D13482" s="16"/>
    </row>
    <row r="13483" spans="4:4">
      <c r="D13483" s="16"/>
    </row>
    <row r="13484" spans="4:4">
      <c r="D13484" s="16"/>
    </row>
    <row r="13485" spans="4:4">
      <c r="D13485" s="16"/>
    </row>
    <row r="13486" spans="4:4">
      <c r="D13486" s="16"/>
    </row>
    <row r="13487" spans="4:4">
      <c r="D13487" s="16"/>
    </row>
    <row r="13488" spans="4:4">
      <c r="D13488" s="16"/>
    </row>
    <row r="13489" spans="4:4">
      <c r="D13489" s="16"/>
    </row>
    <row r="13490" spans="4:4">
      <c r="D13490" s="16"/>
    </row>
    <row r="13491" spans="4:4">
      <c r="D13491" s="16"/>
    </row>
    <row r="13492" spans="4:4">
      <c r="D13492" s="16"/>
    </row>
    <row r="13493" spans="4:4">
      <c r="D13493" s="16"/>
    </row>
    <row r="13494" spans="4:4">
      <c r="D13494" s="16"/>
    </row>
    <row r="13495" spans="4:4">
      <c r="D13495" s="16"/>
    </row>
    <row r="13496" spans="4:4">
      <c r="D13496" s="16"/>
    </row>
    <row r="13497" spans="4:4">
      <c r="D13497" s="16"/>
    </row>
    <row r="13498" spans="4:4">
      <c r="D13498" s="16"/>
    </row>
    <row r="13499" spans="4:4">
      <c r="D13499" s="16"/>
    </row>
    <row r="13500" spans="4:4">
      <c r="D13500" s="16"/>
    </row>
    <row r="13501" spans="4:4">
      <c r="D13501" s="16"/>
    </row>
    <row r="13502" spans="4:4">
      <c r="D13502" s="16"/>
    </row>
    <row r="13503" spans="4:4">
      <c r="D13503" s="16"/>
    </row>
    <row r="13504" spans="4:4">
      <c r="D13504" s="16"/>
    </row>
    <row r="13505" spans="4:4">
      <c r="D13505" s="16"/>
    </row>
    <row r="13506" spans="4:4">
      <c r="D13506" s="16"/>
    </row>
    <row r="13507" spans="4:4">
      <c r="D13507" s="16"/>
    </row>
    <row r="13508" spans="4:4">
      <c r="D13508" s="16"/>
    </row>
    <row r="13509" spans="4:4">
      <c r="D13509" s="16"/>
    </row>
    <row r="13510" spans="4:4">
      <c r="D13510" s="16"/>
    </row>
    <row r="13511" spans="4:4">
      <c r="D13511" s="16"/>
    </row>
    <row r="13512" spans="4:4">
      <c r="D13512" s="16"/>
    </row>
    <row r="13513" spans="4:4">
      <c r="D13513" s="16"/>
    </row>
    <row r="13514" spans="4:4">
      <c r="D13514" s="16"/>
    </row>
    <row r="13515" spans="4:4">
      <c r="D13515" s="16"/>
    </row>
    <row r="13516" spans="4:4">
      <c r="D13516" s="16"/>
    </row>
    <row r="13517" spans="4:4">
      <c r="D13517" s="16"/>
    </row>
    <row r="13518" spans="4:4">
      <c r="D13518" s="16"/>
    </row>
    <row r="13519" spans="4:4">
      <c r="D13519" s="16"/>
    </row>
    <row r="13520" spans="4:4">
      <c r="D13520" s="16"/>
    </row>
    <row r="13521" spans="4:4">
      <c r="D13521" s="16"/>
    </row>
    <row r="13522" spans="4:4">
      <c r="D13522" s="16"/>
    </row>
    <row r="13523" spans="4:4">
      <c r="D13523" s="16"/>
    </row>
    <row r="13524" spans="4:4">
      <c r="D13524" s="16"/>
    </row>
    <row r="13525" spans="4:4">
      <c r="D13525" s="16"/>
    </row>
    <row r="13526" spans="4:4">
      <c r="D13526" s="16"/>
    </row>
    <row r="13527" spans="4:4">
      <c r="D13527" s="16"/>
    </row>
    <row r="13528" spans="4:4">
      <c r="D13528" s="16"/>
    </row>
    <row r="13529" spans="4:4">
      <c r="D13529" s="16"/>
    </row>
    <row r="13530" spans="4:4">
      <c r="D13530" s="16"/>
    </row>
    <row r="13531" spans="4:4">
      <c r="D13531" s="16"/>
    </row>
    <row r="13532" spans="4:4">
      <c r="D13532" s="16"/>
    </row>
    <row r="13533" spans="4:4">
      <c r="D13533" s="16"/>
    </row>
    <row r="13534" spans="4:4">
      <c r="D13534" s="16"/>
    </row>
    <row r="13535" spans="4:4">
      <c r="D13535" s="16"/>
    </row>
    <row r="13536" spans="4:4">
      <c r="D13536" s="16"/>
    </row>
    <row r="13537" spans="4:4">
      <c r="D13537" s="16"/>
    </row>
    <row r="13538" spans="4:4">
      <c r="D13538" s="16"/>
    </row>
    <row r="13539" spans="4:4">
      <c r="D13539" s="16"/>
    </row>
    <row r="13540" spans="4:4">
      <c r="D13540" s="16"/>
    </row>
    <row r="13541" spans="4:4">
      <c r="D13541" s="16"/>
    </row>
    <row r="13542" spans="4:4">
      <c r="D13542" s="16"/>
    </row>
    <row r="13543" spans="4:4">
      <c r="D13543" s="16"/>
    </row>
    <row r="13544" spans="4:4">
      <c r="D13544" s="16"/>
    </row>
    <row r="13545" spans="4:4">
      <c r="D13545" s="16"/>
    </row>
    <row r="13546" spans="4:4">
      <c r="D13546" s="16"/>
    </row>
    <row r="13547" spans="4:4">
      <c r="D13547" s="16"/>
    </row>
    <row r="13548" spans="4:4">
      <c r="D13548" s="16"/>
    </row>
    <row r="13549" spans="4:4">
      <c r="D13549" s="16"/>
    </row>
    <row r="13550" spans="4:4">
      <c r="D13550" s="16"/>
    </row>
    <row r="13551" spans="4:4">
      <c r="D13551" s="16"/>
    </row>
    <row r="13552" spans="4:4">
      <c r="D13552" s="16"/>
    </row>
    <row r="13553" spans="4:4">
      <c r="D13553" s="16"/>
    </row>
    <row r="13554" spans="4:4">
      <c r="D13554" s="16"/>
    </row>
    <row r="13555" spans="4:4">
      <c r="D13555" s="16"/>
    </row>
    <row r="13556" spans="4:4">
      <c r="D13556" s="16"/>
    </row>
    <row r="13557" spans="4:4">
      <c r="D13557" s="16"/>
    </row>
    <row r="13558" spans="4:4">
      <c r="D13558" s="16"/>
    </row>
    <row r="13559" spans="4:4">
      <c r="D13559" s="16"/>
    </row>
    <row r="13560" spans="4:4">
      <c r="D13560" s="16"/>
    </row>
    <row r="13561" spans="4:4">
      <c r="D13561" s="16"/>
    </row>
    <row r="13562" spans="4:4">
      <c r="D13562" s="16"/>
    </row>
    <row r="13563" spans="4:4">
      <c r="D13563" s="16"/>
    </row>
    <row r="13564" spans="4:4">
      <c r="D13564" s="16"/>
    </row>
    <row r="13565" spans="4:4">
      <c r="D13565" s="16"/>
    </row>
    <row r="13566" spans="4:4">
      <c r="D13566" s="16"/>
    </row>
    <row r="13567" spans="4:4">
      <c r="D13567" s="16"/>
    </row>
    <row r="13568" spans="4:4">
      <c r="D13568" s="16"/>
    </row>
    <row r="13569" spans="4:4">
      <c r="D13569" s="16"/>
    </row>
    <row r="13570" spans="4:4">
      <c r="D13570" s="16"/>
    </row>
    <row r="13571" spans="4:4">
      <c r="D13571" s="16"/>
    </row>
    <row r="13572" spans="4:4">
      <c r="D13572" s="16"/>
    </row>
    <row r="13573" spans="4:4">
      <c r="D13573" s="16"/>
    </row>
    <row r="13574" spans="4:4">
      <c r="D13574" s="16"/>
    </row>
    <row r="13575" spans="4:4">
      <c r="D13575" s="16"/>
    </row>
    <row r="13576" spans="4:4">
      <c r="D13576" s="16"/>
    </row>
    <row r="13577" spans="4:4">
      <c r="D13577" s="16"/>
    </row>
    <row r="13578" spans="4:4">
      <c r="D13578" s="16"/>
    </row>
    <row r="13579" spans="4:4">
      <c r="D13579" s="16"/>
    </row>
    <row r="13580" spans="4:4">
      <c r="D13580" s="16"/>
    </row>
    <row r="13581" spans="4:4">
      <c r="D13581" s="16"/>
    </row>
    <row r="13582" spans="4:4">
      <c r="D13582" s="16"/>
    </row>
    <row r="13583" spans="4:4">
      <c r="D13583" s="16"/>
    </row>
    <row r="13584" spans="4:4">
      <c r="D13584" s="16"/>
    </row>
    <row r="13585" spans="4:4">
      <c r="D13585" s="16"/>
    </row>
    <row r="13586" spans="4:4">
      <c r="D13586" s="16"/>
    </row>
    <row r="13587" spans="4:4">
      <c r="D13587" s="16"/>
    </row>
    <row r="13588" spans="4:4">
      <c r="D13588" s="16"/>
    </row>
    <row r="13589" spans="4:4">
      <c r="D13589" s="16"/>
    </row>
    <row r="13590" spans="4:4">
      <c r="D13590" s="16"/>
    </row>
    <row r="13591" spans="4:4">
      <c r="D13591" s="16"/>
    </row>
    <row r="13592" spans="4:4">
      <c r="D13592" s="16"/>
    </row>
    <row r="13593" spans="4:4">
      <c r="D13593" s="16"/>
    </row>
    <row r="13594" spans="4:4">
      <c r="D13594" s="16"/>
    </row>
    <row r="13595" spans="4:4">
      <c r="D13595" s="16"/>
    </row>
    <row r="13596" spans="4:4">
      <c r="D13596" s="16"/>
    </row>
    <row r="13597" spans="4:4">
      <c r="D13597" s="16"/>
    </row>
    <row r="13598" spans="4:4">
      <c r="D13598" s="16"/>
    </row>
    <row r="13599" spans="4:4">
      <c r="D13599" s="16"/>
    </row>
    <row r="13600" spans="4:4">
      <c r="D13600" s="16"/>
    </row>
    <row r="13601" spans="4:4">
      <c r="D13601" s="16"/>
    </row>
    <row r="13602" spans="4:4">
      <c r="D13602" s="16"/>
    </row>
    <row r="13603" spans="4:4">
      <c r="D13603" s="16"/>
    </row>
    <row r="13604" spans="4:4">
      <c r="D13604" s="16"/>
    </row>
    <row r="13605" spans="4:4">
      <c r="D13605" s="16"/>
    </row>
    <row r="13606" spans="4:4">
      <c r="D13606" s="16"/>
    </row>
    <row r="13607" spans="4:4">
      <c r="D13607" s="16"/>
    </row>
    <row r="13608" spans="4:4">
      <c r="D13608" s="16"/>
    </row>
    <row r="13609" spans="4:4">
      <c r="D13609" s="16"/>
    </row>
    <row r="13610" spans="4:4">
      <c r="D13610" s="16"/>
    </row>
    <row r="13611" spans="4:4">
      <c r="D13611" s="16"/>
    </row>
    <row r="13612" spans="4:4">
      <c r="D13612" s="16"/>
    </row>
    <row r="13613" spans="4:4">
      <c r="D13613" s="16"/>
    </row>
    <row r="13614" spans="4:4">
      <c r="D13614" s="16"/>
    </row>
    <row r="13615" spans="4:4">
      <c r="D13615" s="16"/>
    </row>
    <row r="13616" spans="4:4">
      <c r="D13616" s="16"/>
    </row>
    <row r="13617" spans="4:4">
      <c r="D13617" s="16"/>
    </row>
    <row r="13618" spans="4:4">
      <c r="D13618" s="16"/>
    </row>
    <row r="13619" spans="4:4">
      <c r="D13619" s="16"/>
    </row>
    <row r="13620" spans="4:4">
      <c r="D13620" s="16"/>
    </row>
    <row r="13621" spans="4:4">
      <c r="D13621" s="16"/>
    </row>
    <row r="13622" spans="4:4">
      <c r="D13622" s="16"/>
    </row>
    <row r="13623" spans="4:4">
      <c r="D13623" s="16"/>
    </row>
    <row r="13624" spans="4:4">
      <c r="D13624" s="16"/>
    </row>
    <row r="13625" spans="4:4">
      <c r="D13625" s="16"/>
    </row>
    <row r="13626" spans="4:4">
      <c r="D13626" s="16"/>
    </row>
    <row r="13627" spans="4:4">
      <c r="D13627" s="16"/>
    </row>
    <row r="13628" spans="4:4">
      <c r="D13628" s="16"/>
    </row>
    <row r="13629" spans="4:4">
      <c r="D13629" s="16"/>
    </row>
    <row r="13630" spans="4:4">
      <c r="D13630" s="16"/>
    </row>
    <row r="13631" spans="4:4">
      <c r="D13631" s="16"/>
    </row>
    <row r="13632" spans="4:4">
      <c r="D13632" s="16"/>
    </row>
    <row r="13633" spans="4:4">
      <c r="D13633" s="16"/>
    </row>
    <row r="13634" spans="4:4">
      <c r="D13634" s="16"/>
    </row>
    <row r="13635" spans="4:4">
      <c r="D13635" s="16"/>
    </row>
    <row r="13636" spans="4:4">
      <c r="D13636" s="16"/>
    </row>
    <row r="13637" spans="4:4">
      <c r="D13637" s="16"/>
    </row>
    <row r="13638" spans="4:4">
      <c r="D13638" s="16"/>
    </row>
    <row r="13639" spans="4:4">
      <c r="D13639" s="16"/>
    </row>
    <row r="13640" spans="4:4">
      <c r="D13640" s="16"/>
    </row>
    <row r="13641" spans="4:4">
      <c r="D13641" s="16"/>
    </row>
    <row r="13642" spans="4:4">
      <c r="D13642" s="16"/>
    </row>
    <row r="13643" spans="4:4">
      <c r="D13643" s="16"/>
    </row>
    <row r="13644" spans="4:4">
      <c r="D13644" s="16"/>
    </row>
    <row r="13645" spans="4:4">
      <c r="D13645" s="16"/>
    </row>
    <row r="13646" spans="4:4">
      <c r="D13646" s="16"/>
    </row>
    <row r="13647" spans="4:4">
      <c r="D13647" s="16"/>
    </row>
    <row r="13648" spans="4:4">
      <c r="D13648" s="16"/>
    </row>
    <row r="13649" spans="4:4">
      <c r="D13649" s="16"/>
    </row>
    <row r="13650" spans="4:4">
      <c r="D13650" s="16"/>
    </row>
    <row r="13651" spans="4:4">
      <c r="D13651" s="16"/>
    </row>
    <row r="13652" spans="4:4">
      <c r="D13652" s="16"/>
    </row>
    <row r="13653" spans="4:4">
      <c r="D13653" s="16"/>
    </row>
    <row r="13654" spans="4:4">
      <c r="D13654" s="16"/>
    </row>
    <row r="13655" spans="4:4">
      <c r="D13655" s="16"/>
    </row>
    <row r="13656" spans="4:4">
      <c r="D13656" s="16"/>
    </row>
    <row r="13657" spans="4:4">
      <c r="D13657" s="16"/>
    </row>
    <row r="13658" spans="4:4">
      <c r="D13658" s="16"/>
    </row>
    <row r="13659" spans="4:4">
      <c r="D13659" s="16"/>
    </row>
    <row r="13660" spans="4:4">
      <c r="D13660" s="16"/>
    </row>
    <row r="13661" spans="4:4">
      <c r="D13661" s="16"/>
    </row>
    <row r="13662" spans="4:4">
      <c r="D13662" s="16"/>
    </row>
    <row r="13663" spans="4:4">
      <c r="D13663" s="16"/>
    </row>
    <row r="13664" spans="4:4">
      <c r="D13664" s="16"/>
    </row>
    <row r="13665" spans="4:4">
      <c r="D13665" s="16"/>
    </row>
    <row r="13666" spans="4:4">
      <c r="D13666" s="16"/>
    </row>
    <row r="13667" spans="4:4">
      <c r="D13667" s="16"/>
    </row>
    <row r="13668" spans="4:4">
      <c r="D13668" s="16"/>
    </row>
    <row r="13669" spans="4:4">
      <c r="D13669" s="16"/>
    </row>
    <row r="13670" spans="4:4">
      <c r="D13670" s="16"/>
    </row>
    <row r="13671" spans="4:4">
      <c r="D13671" s="16"/>
    </row>
    <row r="13672" spans="4:4">
      <c r="D13672" s="16"/>
    </row>
    <row r="13673" spans="4:4">
      <c r="D13673" s="16"/>
    </row>
    <row r="13674" spans="4:4">
      <c r="D13674" s="16"/>
    </row>
    <row r="13675" spans="4:4">
      <c r="D13675" s="16"/>
    </row>
    <row r="13676" spans="4:4">
      <c r="D13676" s="16"/>
    </row>
    <row r="13677" spans="4:4">
      <c r="D13677" s="16"/>
    </row>
    <row r="13678" spans="4:4">
      <c r="D13678" s="16"/>
    </row>
    <row r="13679" spans="4:4">
      <c r="D13679" s="16"/>
    </row>
    <row r="13680" spans="4:4">
      <c r="D13680" s="16"/>
    </row>
    <row r="13681" spans="4:4">
      <c r="D13681" s="16"/>
    </row>
    <row r="13682" spans="4:4">
      <c r="D13682" s="16"/>
    </row>
    <row r="13683" spans="4:4">
      <c r="D13683" s="16"/>
    </row>
    <row r="13684" spans="4:4">
      <c r="D13684" s="16"/>
    </row>
    <row r="13685" spans="4:4">
      <c r="D13685" s="16"/>
    </row>
    <row r="13686" spans="4:4">
      <c r="D13686" s="16"/>
    </row>
    <row r="13687" spans="4:4">
      <c r="D13687" s="16"/>
    </row>
    <row r="13688" spans="4:4">
      <c r="D13688" s="16"/>
    </row>
    <row r="13689" spans="4:4">
      <c r="D13689" s="16"/>
    </row>
    <row r="13690" spans="4:4">
      <c r="D13690" s="16"/>
    </row>
    <row r="13691" spans="4:4">
      <c r="D13691" s="16"/>
    </row>
    <row r="13692" spans="4:4">
      <c r="D13692" s="16"/>
    </row>
    <row r="13693" spans="4:4">
      <c r="D13693" s="16"/>
    </row>
    <row r="13694" spans="4:4">
      <c r="D13694" s="16"/>
    </row>
    <row r="13695" spans="4:4">
      <c r="D13695" s="16"/>
    </row>
    <row r="13696" spans="4:4">
      <c r="D13696" s="16"/>
    </row>
    <row r="13697" spans="4:4">
      <c r="D13697" s="16"/>
    </row>
    <row r="13698" spans="4:4">
      <c r="D13698" s="16"/>
    </row>
    <row r="13699" spans="4:4">
      <c r="D13699" s="16"/>
    </row>
    <row r="13700" spans="4:4">
      <c r="D13700" s="16"/>
    </row>
    <row r="13701" spans="4:4">
      <c r="D13701" s="16"/>
    </row>
    <row r="13702" spans="4:4">
      <c r="D13702" s="16"/>
    </row>
    <row r="13703" spans="4:4">
      <c r="D13703" s="16"/>
    </row>
    <row r="13704" spans="4:4">
      <c r="D13704" s="16"/>
    </row>
    <row r="13705" spans="4:4">
      <c r="D13705" s="16"/>
    </row>
    <row r="13706" spans="4:4">
      <c r="D13706" s="16"/>
    </row>
    <row r="13707" spans="4:4">
      <c r="D13707" s="16"/>
    </row>
    <row r="13708" spans="4:4">
      <c r="D13708" s="16"/>
    </row>
    <row r="13709" spans="4:4">
      <c r="D13709" s="16"/>
    </row>
    <row r="13710" spans="4:4">
      <c r="D13710" s="16"/>
    </row>
    <row r="13711" spans="4:4">
      <c r="D13711" s="16"/>
    </row>
    <row r="13712" spans="4:4">
      <c r="D13712" s="16"/>
    </row>
    <row r="13713" spans="4:4">
      <c r="D13713" s="16"/>
    </row>
    <row r="13714" spans="4:4">
      <c r="D13714" s="16"/>
    </row>
    <row r="13715" spans="4:4">
      <c r="D13715" s="16"/>
    </row>
    <row r="13716" spans="4:4">
      <c r="D13716" s="16"/>
    </row>
    <row r="13717" spans="4:4">
      <c r="D13717" s="16"/>
    </row>
    <row r="13718" spans="4:4">
      <c r="D13718" s="16"/>
    </row>
    <row r="13719" spans="4:4">
      <c r="D13719" s="16"/>
    </row>
    <row r="13720" spans="4:4">
      <c r="D13720" s="16"/>
    </row>
    <row r="13721" spans="4:4">
      <c r="D13721" s="16"/>
    </row>
    <row r="13722" spans="4:4">
      <c r="D13722" s="16"/>
    </row>
    <row r="13723" spans="4:4">
      <c r="D13723" s="16"/>
    </row>
    <row r="13724" spans="4:4">
      <c r="D13724" s="16"/>
    </row>
    <row r="13725" spans="4:4">
      <c r="D13725" s="16"/>
    </row>
    <row r="13726" spans="4:4">
      <c r="D13726" s="16"/>
    </row>
    <row r="13727" spans="4:4">
      <c r="D13727" s="16"/>
    </row>
    <row r="13728" spans="4:4">
      <c r="D13728" s="16"/>
    </row>
    <row r="13729" spans="4:4">
      <c r="D13729" s="16"/>
    </row>
    <row r="13730" spans="4:4">
      <c r="D13730" s="16"/>
    </row>
    <row r="13731" spans="4:4">
      <c r="D13731" s="16"/>
    </row>
    <row r="13732" spans="4:4">
      <c r="D13732" s="16"/>
    </row>
    <row r="13733" spans="4:4">
      <c r="D13733" s="16"/>
    </row>
    <row r="13734" spans="4:4">
      <c r="D13734" s="16"/>
    </row>
    <row r="13735" spans="4:4">
      <c r="D13735" s="16"/>
    </row>
    <row r="13736" spans="4:4">
      <c r="D13736" s="16"/>
    </row>
    <row r="13737" spans="4:4">
      <c r="D13737" s="16"/>
    </row>
    <row r="13738" spans="4:4">
      <c r="D13738" s="16"/>
    </row>
    <row r="13739" spans="4:4">
      <c r="D13739" s="16"/>
    </row>
    <row r="13740" spans="4:4">
      <c r="D13740" s="16"/>
    </row>
    <row r="13741" spans="4:4">
      <c r="D13741" s="16"/>
    </row>
    <row r="13742" spans="4:4">
      <c r="D13742" s="16"/>
    </row>
    <row r="13743" spans="4:4">
      <c r="D13743" s="16"/>
    </row>
    <row r="13744" spans="4:4">
      <c r="D13744" s="16"/>
    </row>
    <row r="13745" spans="4:4">
      <c r="D13745" s="16"/>
    </row>
    <row r="13746" spans="4:4">
      <c r="D13746" s="16"/>
    </row>
    <row r="13747" spans="4:4">
      <c r="D13747" s="16"/>
    </row>
    <row r="13748" spans="4:4">
      <c r="D13748" s="16"/>
    </row>
    <row r="13749" spans="4:4">
      <c r="D13749" s="16"/>
    </row>
    <row r="13750" spans="4:4">
      <c r="D13750" s="16"/>
    </row>
    <row r="13751" spans="4:4">
      <c r="D13751" s="16"/>
    </row>
    <row r="13752" spans="4:4">
      <c r="D13752" s="16"/>
    </row>
    <row r="13753" spans="4:4">
      <c r="D13753" s="16"/>
    </row>
    <row r="13754" spans="4:4">
      <c r="D13754" s="16"/>
    </row>
    <row r="13755" spans="4:4">
      <c r="D13755" s="16"/>
    </row>
    <row r="13756" spans="4:4">
      <c r="D13756" s="16"/>
    </row>
    <row r="13757" spans="4:4">
      <c r="D13757" s="16"/>
    </row>
    <row r="13758" spans="4:4">
      <c r="D13758" s="16"/>
    </row>
    <row r="13759" spans="4:4">
      <c r="D13759" s="16"/>
    </row>
    <row r="13760" spans="4:4">
      <c r="D13760" s="16"/>
    </row>
    <row r="13761" spans="4:4">
      <c r="D13761" s="16"/>
    </row>
    <row r="13762" spans="4:4">
      <c r="D13762" s="16"/>
    </row>
    <row r="13763" spans="4:4">
      <c r="D13763" s="16"/>
    </row>
    <row r="13764" spans="4:4">
      <c r="D13764" s="16"/>
    </row>
    <row r="13765" spans="4:4">
      <c r="D13765" s="16"/>
    </row>
    <row r="13766" spans="4:4">
      <c r="D13766" s="16"/>
    </row>
    <row r="13767" spans="4:4">
      <c r="D13767" s="16"/>
    </row>
    <row r="13768" spans="4:4">
      <c r="D13768" s="16"/>
    </row>
    <row r="13769" spans="4:4">
      <c r="D13769" s="16"/>
    </row>
    <row r="13770" spans="4:4">
      <c r="D13770" s="16"/>
    </row>
    <row r="13771" spans="4:4">
      <c r="D13771" s="16"/>
    </row>
    <row r="13772" spans="4:4">
      <c r="D13772" s="16"/>
    </row>
    <row r="13773" spans="4:4">
      <c r="D13773" s="16"/>
    </row>
    <row r="13774" spans="4:4">
      <c r="D13774" s="16"/>
    </row>
    <row r="13775" spans="4:4">
      <c r="D13775" s="16"/>
    </row>
    <row r="13776" spans="4:4">
      <c r="D13776" s="16"/>
    </row>
    <row r="13777" spans="4:4">
      <c r="D13777" s="16"/>
    </row>
    <row r="13778" spans="4:4">
      <c r="D13778" s="16"/>
    </row>
    <row r="13779" spans="4:4">
      <c r="D13779" s="16"/>
    </row>
    <row r="13780" spans="4:4">
      <c r="D13780" s="16"/>
    </row>
    <row r="13781" spans="4:4">
      <c r="D13781" s="16"/>
    </row>
    <row r="13782" spans="4:4">
      <c r="D13782" s="16"/>
    </row>
    <row r="13783" spans="4:4">
      <c r="D13783" s="16"/>
    </row>
    <row r="13784" spans="4:4">
      <c r="D13784" s="16"/>
    </row>
    <row r="13785" spans="4:4">
      <c r="D13785" s="16"/>
    </row>
    <row r="13786" spans="4:4">
      <c r="D13786" s="16"/>
    </row>
    <row r="13787" spans="4:4">
      <c r="D13787" s="16"/>
    </row>
    <row r="13788" spans="4:4">
      <c r="D13788" s="16"/>
    </row>
    <row r="13789" spans="4:4">
      <c r="D13789" s="16"/>
    </row>
    <row r="13790" spans="4:4">
      <c r="D13790" s="16"/>
    </row>
    <row r="13791" spans="4:4">
      <c r="D13791" s="16"/>
    </row>
    <row r="13792" spans="4:4">
      <c r="D13792" s="16"/>
    </row>
    <row r="13793" spans="4:4">
      <c r="D13793" s="16"/>
    </row>
    <row r="13794" spans="4:4">
      <c r="D13794" s="16"/>
    </row>
    <row r="13795" spans="4:4">
      <c r="D13795" s="16"/>
    </row>
    <row r="13796" spans="4:4">
      <c r="D13796" s="16"/>
    </row>
    <row r="13797" spans="4:4">
      <c r="D13797" s="16"/>
    </row>
    <row r="13798" spans="4:4">
      <c r="D13798" s="16"/>
    </row>
    <row r="13799" spans="4:4">
      <c r="D13799" s="16"/>
    </row>
    <row r="13800" spans="4:4">
      <c r="D13800" s="16"/>
    </row>
    <row r="13801" spans="4:4">
      <c r="D13801" s="16"/>
    </row>
    <row r="13802" spans="4:4">
      <c r="D13802" s="16"/>
    </row>
    <row r="13803" spans="4:4">
      <c r="D13803" s="16"/>
    </row>
    <row r="13804" spans="4:4">
      <c r="D13804" s="16"/>
    </row>
    <row r="13805" spans="4:4">
      <c r="D13805" s="16"/>
    </row>
    <row r="13806" spans="4:4">
      <c r="D13806" s="16"/>
    </row>
    <row r="13807" spans="4:4">
      <c r="D13807" s="16"/>
    </row>
    <row r="13808" spans="4:4">
      <c r="D13808" s="16"/>
    </row>
    <row r="13809" spans="4:4">
      <c r="D13809" s="16"/>
    </row>
    <row r="13810" spans="4:4">
      <c r="D13810" s="16"/>
    </row>
    <row r="13811" spans="4:4">
      <c r="D13811" s="16"/>
    </row>
    <row r="13812" spans="4:4">
      <c r="D13812" s="16"/>
    </row>
    <row r="13813" spans="4:4">
      <c r="D13813" s="16"/>
    </row>
    <row r="13814" spans="4:4">
      <c r="D13814" s="16"/>
    </row>
    <row r="13815" spans="4:4">
      <c r="D13815" s="16"/>
    </row>
    <row r="13816" spans="4:4">
      <c r="D13816" s="16"/>
    </row>
    <row r="13817" spans="4:4">
      <c r="D13817" s="16"/>
    </row>
    <row r="13818" spans="4:4">
      <c r="D13818" s="16"/>
    </row>
    <row r="13819" spans="4:4">
      <c r="D13819" s="16"/>
    </row>
    <row r="13820" spans="4:4">
      <c r="D13820" s="16"/>
    </row>
    <row r="13821" spans="4:4">
      <c r="D13821" s="16"/>
    </row>
    <row r="13822" spans="4:4">
      <c r="D13822" s="16"/>
    </row>
    <row r="13823" spans="4:4">
      <c r="D13823" s="16"/>
    </row>
    <row r="13824" spans="4:4">
      <c r="D13824" s="16"/>
    </row>
    <row r="13825" spans="4:4">
      <c r="D13825" s="16"/>
    </row>
    <row r="13826" spans="4:4">
      <c r="D13826" s="16"/>
    </row>
    <row r="13827" spans="4:4">
      <c r="D13827" s="16"/>
    </row>
    <row r="13828" spans="4:4">
      <c r="D13828" s="16"/>
    </row>
    <row r="13829" spans="4:4">
      <c r="D13829" s="16"/>
    </row>
    <row r="13830" spans="4:4">
      <c r="D13830" s="16"/>
    </row>
    <row r="13831" spans="4:4">
      <c r="D13831" s="16"/>
    </row>
    <row r="13832" spans="4:4">
      <c r="D13832" s="16"/>
    </row>
    <row r="13833" spans="4:4">
      <c r="D13833" s="16"/>
    </row>
    <row r="13834" spans="4:4">
      <c r="D13834" s="16"/>
    </row>
    <row r="13835" spans="4:4">
      <c r="D13835" s="16"/>
    </row>
    <row r="13836" spans="4:4">
      <c r="D13836" s="16"/>
    </row>
    <row r="13837" spans="4:4">
      <c r="D13837" s="16"/>
    </row>
    <row r="13838" spans="4:4">
      <c r="D13838" s="16"/>
    </row>
    <row r="13839" spans="4:4">
      <c r="D13839" s="16"/>
    </row>
    <row r="13840" spans="4:4">
      <c r="D13840" s="16"/>
    </row>
    <row r="13841" spans="4:4">
      <c r="D13841" s="16"/>
    </row>
    <row r="13842" spans="4:4">
      <c r="D13842" s="16"/>
    </row>
    <row r="13843" spans="4:4">
      <c r="D13843" s="16"/>
    </row>
    <row r="13844" spans="4:4">
      <c r="D13844" s="16"/>
    </row>
    <row r="13845" spans="4:4">
      <c r="D13845" s="16"/>
    </row>
    <row r="13846" spans="4:4">
      <c r="D13846" s="16"/>
    </row>
    <row r="13847" spans="4:4">
      <c r="D13847" s="16"/>
    </row>
    <row r="13848" spans="4:4">
      <c r="D13848" s="16"/>
    </row>
    <row r="13849" spans="4:4">
      <c r="D13849" s="16"/>
    </row>
    <row r="13850" spans="4:4">
      <c r="D13850" s="16"/>
    </row>
    <row r="13851" spans="4:4">
      <c r="D13851" s="16"/>
    </row>
    <row r="13852" spans="4:4">
      <c r="D13852" s="16"/>
    </row>
    <row r="13853" spans="4:4">
      <c r="D13853" s="16"/>
    </row>
    <row r="13854" spans="4:4">
      <c r="D13854" s="16"/>
    </row>
    <row r="13855" spans="4:4">
      <c r="D13855" s="16"/>
    </row>
    <row r="13856" spans="4:4">
      <c r="D13856" s="16"/>
    </row>
    <row r="13857" spans="4:4">
      <c r="D13857" s="16"/>
    </row>
    <row r="13858" spans="4:4">
      <c r="D13858" s="16"/>
    </row>
    <row r="13859" spans="4:4">
      <c r="D13859" s="16"/>
    </row>
    <row r="13860" spans="4:4">
      <c r="D13860" s="16"/>
    </row>
    <row r="13861" spans="4:4">
      <c r="D13861" s="16"/>
    </row>
    <row r="13862" spans="4:4">
      <c r="D13862" s="16"/>
    </row>
    <row r="13863" spans="4:4">
      <c r="D13863" s="16"/>
    </row>
    <row r="13864" spans="4:4">
      <c r="D13864" s="16"/>
    </row>
    <row r="13865" spans="4:4">
      <c r="D13865" s="16"/>
    </row>
    <row r="13866" spans="4:4">
      <c r="D13866" s="16"/>
    </row>
    <row r="13867" spans="4:4">
      <c r="D13867" s="16"/>
    </row>
    <row r="13868" spans="4:4">
      <c r="D13868" s="16"/>
    </row>
    <row r="13869" spans="4:4">
      <c r="D13869" s="16"/>
    </row>
    <row r="13870" spans="4:4">
      <c r="D13870" s="16"/>
    </row>
    <row r="13871" spans="4:4">
      <c r="D13871" s="16"/>
    </row>
    <row r="13872" spans="4:4">
      <c r="D13872" s="16"/>
    </row>
    <row r="13873" spans="4:4">
      <c r="D13873" s="16"/>
    </row>
    <row r="13874" spans="4:4">
      <c r="D13874" s="16"/>
    </row>
    <row r="13875" spans="4:4">
      <c r="D13875" s="16"/>
    </row>
    <row r="13876" spans="4:4">
      <c r="D13876" s="16"/>
    </row>
    <row r="13877" spans="4:4">
      <c r="D13877" s="16"/>
    </row>
    <row r="13878" spans="4:4">
      <c r="D13878" s="16"/>
    </row>
    <row r="13879" spans="4:4">
      <c r="D13879" s="16"/>
    </row>
    <row r="13880" spans="4:4">
      <c r="D13880" s="16"/>
    </row>
    <row r="13881" spans="4:4">
      <c r="D13881" s="16"/>
    </row>
    <row r="13882" spans="4:4">
      <c r="D13882" s="16"/>
    </row>
    <row r="13883" spans="4:4">
      <c r="D13883" s="16"/>
    </row>
    <row r="13884" spans="4:4">
      <c r="D13884" s="16"/>
    </row>
    <row r="13885" spans="4:4">
      <c r="D13885" s="16"/>
    </row>
    <row r="13886" spans="4:4">
      <c r="D13886" s="16"/>
    </row>
    <row r="13887" spans="4:4">
      <c r="D13887" s="16"/>
    </row>
    <row r="13888" spans="4:4">
      <c r="D13888" s="16"/>
    </row>
    <row r="13889" spans="4:4">
      <c r="D13889" s="16"/>
    </row>
    <row r="13890" spans="4:4">
      <c r="D13890" s="16"/>
    </row>
    <row r="13891" spans="4:4">
      <c r="D13891" s="16"/>
    </row>
    <row r="13892" spans="4:4">
      <c r="D13892" s="16"/>
    </row>
    <row r="13893" spans="4:4">
      <c r="D13893" s="16"/>
    </row>
    <row r="13894" spans="4:4">
      <c r="D13894" s="16"/>
    </row>
    <row r="13895" spans="4:4">
      <c r="D13895" s="16"/>
    </row>
    <row r="13896" spans="4:4">
      <c r="D13896" s="16"/>
    </row>
    <row r="13897" spans="4:4">
      <c r="D13897" s="16"/>
    </row>
    <row r="13898" spans="4:4">
      <c r="D13898" s="16"/>
    </row>
    <row r="13899" spans="4:4">
      <c r="D13899" s="16"/>
    </row>
    <row r="13900" spans="4:4">
      <c r="D13900" s="16"/>
    </row>
    <row r="13901" spans="4:4">
      <c r="D13901" s="16"/>
    </row>
    <row r="13902" spans="4:4">
      <c r="D13902" s="16"/>
    </row>
    <row r="13903" spans="4:4">
      <c r="D13903" s="16"/>
    </row>
    <row r="13904" spans="4:4">
      <c r="D13904" s="16"/>
    </row>
    <row r="13905" spans="4:4">
      <c r="D13905" s="16"/>
    </row>
    <row r="13906" spans="4:4">
      <c r="D13906" s="16"/>
    </row>
    <row r="13907" spans="4:4">
      <c r="D13907" s="16"/>
    </row>
    <row r="13908" spans="4:4">
      <c r="D13908" s="16"/>
    </row>
    <row r="13909" spans="4:4">
      <c r="D13909" s="16"/>
    </row>
    <row r="13910" spans="4:4">
      <c r="D13910" s="16"/>
    </row>
    <row r="13911" spans="4:4">
      <c r="D13911" s="16"/>
    </row>
    <row r="13912" spans="4:4">
      <c r="D13912" s="16"/>
    </row>
    <row r="13913" spans="4:4">
      <c r="D13913" s="16"/>
    </row>
    <row r="13914" spans="4:4">
      <c r="D13914" s="16"/>
    </row>
    <row r="13915" spans="4:4">
      <c r="D13915" s="16"/>
    </row>
    <row r="13916" spans="4:4">
      <c r="D13916" s="16"/>
    </row>
    <row r="13917" spans="4:4">
      <c r="D13917" s="16"/>
    </row>
    <row r="13918" spans="4:4">
      <c r="D13918" s="16"/>
    </row>
    <row r="13919" spans="4:4">
      <c r="D13919" s="16"/>
    </row>
    <row r="13920" spans="4:4">
      <c r="D13920" s="16"/>
    </row>
    <row r="13921" spans="4:4">
      <c r="D13921" s="16"/>
    </row>
    <row r="13922" spans="4:4">
      <c r="D13922" s="16"/>
    </row>
    <row r="13923" spans="4:4">
      <c r="D13923" s="16"/>
    </row>
    <row r="13924" spans="4:4">
      <c r="D13924" s="16"/>
    </row>
    <row r="13925" spans="4:4">
      <c r="D13925" s="16"/>
    </row>
    <row r="13926" spans="4:4">
      <c r="D13926" s="16"/>
    </row>
    <row r="13927" spans="4:4">
      <c r="D13927" s="16"/>
    </row>
    <row r="13928" spans="4:4">
      <c r="D13928" s="16"/>
    </row>
    <row r="13929" spans="4:4">
      <c r="D13929" s="16"/>
    </row>
    <row r="13930" spans="4:4">
      <c r="D13930" s="16"/>
    </row>
    <row r="13931" spans="4:4">
      <c r="D13931" s="16"/>
    </row>
    <row r="13932" spans="4:4">
      <c r="D13932" s="16"/>
    </row>
    <row r="13933" spans="4:4">
      <c r="D13933" s="16"/>
    </row>
    <row r="13934" spans="4:4">
      <c r="D13934" s="16"/>
    </row>
    <row r="13935" spans="4:4">
      <c r="D13935" s="16"/>
    </row>
    <row r="13936" spans="4:4">
      <c r="D13936" s="16"/>
    </row>
    <row r="13937" spans="4:4">
      <c r="D13937" s="16"/>
    </row>
    <row r="13938" spans="4:4">
      <c r="D13938" s="16"/>
    </row>
    <row r="13939" spans="4:4">
      <c r="D13939" s="16"/>
    </row>
    <row r="13940" spans="4:4">
      <c r="D13940" s="16"/>
    </row>
    <row r="13941" spans="4:4">
      <c r="D13941" s="16"/>
    </row>
    <row r="13942" spans="4:4">
      <c r="D13942" s="16"/>
    </row>
    <row r="13943" spans="4:4">
      <c r="D13943" s="16"/>
    </row>
    <row r="13944" spans="4:4">
      <c r="D13944" s="16"/>
    </row>
    <row r="13945" spans="4:4">
      <c r="D13945" s="16"/>
    </row>
    <row r="13946" spans="4:4">
      <c r="D13946" s="16"/>
    </row>
    <row r="13947" spans="4:4">
      <c r="D13947" s="16"/>
    </row>
    <row r="13948" spans="4:4">
      <c r="D13948" s="16"/>
    </row>
    <row r="13949" spans="4:4">
      <c r="D13949" s="16"/>
    </row>
    <row r="13950" spans="4:4">
      <c r="D13950" s="16"/>
    </row>
    <row r="13951" spans="4:4">
      <c r="D13951" s="16"/>
    </row>
    <row r="13952" spans="4:4">
      <c r="D13952" s="16"/>
    </row>
    <row r="13953" spans="4:4">
      <c r="D13953" s="16"/>
    </row>
    <row r="13954" spans="4:4">
      <c r="D13954" s="16"/>
    </row>
    <row r="13955" spans="4:4">
      <c r="D13955" s="16"/>
    </row>
    <row r="13956" spans="4:4">
      <c r="D13956" s="16"/>
    </row>
    <row r="13957" spans="4:4">
      <c r="D13957" s="16"/>
    </row>
    <row r="13958" spans="4:4">
      <c r="D13958" s="16"/>
    </row>
    <row r="13959" spans="4:4">
      <c r="D13959" s="16"/>
    </row>
    <row r="13960" spans="4:4">
      <c r="D13960" s="16"/>
    </row>
    <row r="13961" spans="4:4">
      <c r="D13961" s="16"/>
    </row>
    <row r="13962" spans="4:4">
      <c r="D13962" s="16"/>
    </row>
    <row r="13963" spans="4:4">
      <c r="D13963" s="16"/>
    </row>
    <row r="13964" spans="4:4">
      <c r="D13964" s="16"/>
    </row>
    <row r="13965" spans="4:4">
      <c r="D13965" s="16"/>
    </row>
    <row r="13966" spans="4:4">
      <c r="D13966" s="16"/>
    </row>
    <row r="13967" spans="4:4">
      <c r="D13967" s="16"/>
    </row>
    <row r="13968" spans="4:4">
      <c r="D13968" s="16"/>
    </row>
    <row r="13969" spans="4:4">
      <c r="D13969" s="16"/>
    </row>
    <row r="13970" spans="4:4">
      <c r="D13970" s="16"/>
    </row>
    <row r="13971" spans="4:4">
      <c r="D13971" s="16"/>
    </row>
    <row r="13972" spans="4:4">
      <c r="D13972" s="16"/>
    </row>
    <row r="13973" spans="4:4">
      <c r="D13973" s="16"/>
    </row>
    <row r="13974" spans="4:4">
      <c r="D13974" s="16"/>
    </row>
    <row r="13975" spans="4:4">
      <c r="D13975" s="16"/>
    </row>
    <row r="13976" spans="4:4">
      <c r="D13976" s="16"/>
    </row>
    <row r="13977" spans="4:4">
      <c r="D13977" s="16"/>
    </row>
    <row r="13978" spans="4:4">
      <c r="D13978" s="16"/>
    </row>
    <row r="13979" spans="4:4">
      <c r="D13979" s="16"/>
    </row>
    <row r="13980" spans="4:4">
      <c r="D13980" s="16"/>
    </row>
    <row r="13981" spans="4:4">
      <c r="D13981" s="16"/>
    </row>
    <row r="13982" spans="4:4">
      <c r="D13982" s="16"/>
    </row>
    <row r="13983" spans="4:4">
      <c r="D13983" s="16"/>
    </row>
    <row r="13984" spans="4:4">
      <c r="D13984" s="16"/>
    </row>
    <row r="13985" spans="4:4">
      <c r="D13985" s="16"/>
    </row>
    <row r="13986" spans="4:4">
      <c r="D13986" s="16"/>
    </row>
    <row r="13987" spans="4:4">
      <c r="D13987" s="16"/>
    </row>
    <row r="13988" spans="4:4">
      <c r="D13988" s="16"/>
    </row>
    <row r="13989" spans="4:4">
      <c r="D13989" s="16"/>
    </row>
    <row r="13990" spans="4:4">
      <c r="D13990" s="16"/>
    </row>
    <row r="13991" spans="4:4">
      <c r="D13991" s="16"/>
    </row>
    <row r="13992" spans="4:4">
      <c r="D13992" s="16"/>
    </row>
    <row r="13993" spans="4:4">
      <c r="D13993" s="16"/>
    </row>
    <row r="13994" spans="4:4">
      <c r="D13994" s="16"/>
    </row>
    <row r="13995" spans="4:4">
      <c r="D13995" s="16"/>
    </row>
    <row r="13996" spans="4:4">
      <c r="D13996" s="16"/>
    </row>
    <row r="13997" spans="4:4">
      <c r="D13997" s="16"/>
    </row>
    <row r="13998" spans="4:4">
      <c r="D13998" s="16"/>
    </row>
    <row r="13999" spans="4:4">
      <c r="D13999" s="16"/>
    </row>
    <row r="14000" spans="4:4">
      <c r="D14000" s="16"/>
    </row>
    <row r="14001" spans="4:4">
      <c r="D14001" s="16"/>
    </row>
    <row r="14002" spans="4:4">
      <c r="D14002" s="16"/>
    </row>
    <row r="14003" spans="4:4">
      <c r="D14003" s="16"/>
    </row>
    <row r="14004" spans="4:4">
      <c r="D14004" s="16"/>
    </row>
    <row r="14005" spans="4:4">
      <c r="D14005" s="16"/>
    </row>
    <row r="14006" spans="4:4">
      <c r="D14006" s="16"/>
    </row>
    <row r="14007" spans="4:4">
      <c r="D14007" s="16"/>
    </row>
    <row r="14008" spans="4:4">
      <c r="D14008" s="16"/>
    </row>
    <row r="14009" spans="4:4">
      <c r="D14009" s="16"/>
    </row>
    <row r="14010" spans="4:4">
      <c r="D14010" s="16"/>
    </row>
    <row r="14011" spans="4:4">
      <c r="D14011" s="16"/>
    </row>
    <row r="14012" spans="4:4">
      <c r="D14012" s="16"/>
    </row>
    <row r="14013" spans="4:4">
      <c r="D14013" s="16"/>
    </row>
    <row r="14014" spans="4:4">
      <c r="D14014" s="16"/>
    </row>
    <row r="14015" spans="4:4">
      <c r="D14015" s="16"/>
    </row>
    <row r="14016" spans="4:4">
      <c r="D14016" s="16"/>
    </row>
    <row r="14017" spans="4:4">
      <c r="D14017" s="16"/>
    </row>
    <row r="14018" spans="4:4">
      <c r="D14018" s="16"/>
    </row>
    <row r="14019" spans="4:4">
      <c r="D14019" s="16"/>
    </row>
    <row r="14020" spans="4:4">
      <c r="D14020" s="16"/>
    </row>
    <row r="14021" spans="4:4">
      <c r="D14021" s="16"/>
    </row>
    <row r="14022" spans="4:4">
      <c r="D14022" s="16"/>
    </row>
    <row r="14023" spans="4:4">
      <c r="D14023" s="16"/>
    </row>
    <row r="14024" spans="4:4">
      <c r="D14024" s="16"/>
    </row>
    <row r="14025" spans="4:4">
      <c r="D14025" s="16"/>
    </row>
    <row r="14026" spans="4:4">
      <c r="D14026" s="16"/>
    </row>
    <row r="14027" spans="4:4">
      <c r="D14027" s="16"/>
    </row>
    <row r="14028" spans="4:4">
      <c r="D14028" s="16"/>
    </row>
    <row r="14029" spans="4:4">
      <c r="D14029" s="16"/>
    </row>
    <row r="14030" spans="4:4">
      <c r="D14030" s="16"/>
    </row>
    <row r="14031" spans="4:4">
      <c r="D14031" s="16"/>
    </row>
    <row r="14032" spans="4:4">
      <c r="D14032" s="16"/>
    </row>
    <row r="14033" spans="4:4">
      <c r="D14033" s="16"/>
    </row>
    <row r="14034" spans="4:4">
      <c r="D14034" s="16"/>
    </row>
    <row r="14035" spans="4:4">
      <c r="D14035" s="16"/>
    </row>
    <row r="14036" spans="4:4">
      <c r="D14036" s="16"/>
    </row>
    <row r="14037" spans="4:4">
      <c r="D14037" s="16"/>
    </row>
    <row r="14038" spans="4:4">
      <c r="D14038" s="16"/>
    </row>
    <row r="14039" spans="4:4">
      <c r="D14039" s="16"/>
    </row>
    <row r="14040" spans="4:4">
      <c r="D14040" s="16"/>
    </row>
    <row r="14041" spans="4:4">
      <c r="D14041" s="16"/>
    </row>
    <row r="14042" spans="4:4">
      <c r="D14042" s="16"/>
    </row>
    <row r="14043" spans="4:4">
      <c r="D14043" s="16"/>
    </row>
    <row r="14044" spans="4:4">
      <c r="D14044" s="16"/>
    </row>
    <row r="14045" spans="4:4">
      <c r="D14045" s="16"/>
    </row>
    <row r="14046" spans="4:4">
      <c r="D14046" s="16"/>
    </row>
    <row r="14047" spans="4:4">
      <c r="D14047" s="16"/>
    </row>
    <row r="14048" spans="4:4">
      <c r="D14048" s="16"/>
    </row>
    <row r="14049" spans="4:4">
      <c r="D14049" s="16"/>
    </row>
    <row r="14050" spans="4:4">
      <c r="D14050" s="16"/>
    </row>
    <row r="14051" spans="4:4">
      <c r="D14051" s="16"/>
    </row>
    <row r="14052" spans="4:4">
      <c r="D14052" s="16"/>
    </row>
    <row r="14053" spans="4:4">
      <c r="D14053" s="16"/>
    </row>
    <row r="14054" spans="4:4">
      <c r="D14054" s="16"/>
    </row>
    <row r="14055" spans="4:4">
      <c r="D14055" s="16"/>
    </row>
    <row r="14056" spans="4:4">
      <c r="D14056" s="16"/>
    </row>
    <row r="14057" spans="4:4">
      <c r="D14057" s="16"/>
    </row>
    <row r="14058" spans="4:4">
      <c r="D14058" s="16"/>
    </row>
    <row r="14059" spans="4:4">
      <c r="D14059" s="16"/>
    </row>
    <row r="14060" spans="4:4">
      <c r="D14060" s="16"/>
    </row>
    <row r="14061" spans="4:4">
      <c r="D14061" s="16"/>
    </row>
    <row r="14062" spans="4:4">
      <c r="D14062" s="16"/>
    </row>
    <row r="14063" spans="4:4">
      <c r="D14063" s="16"/>
    </row>
    <row r="14064" spans="4:4">
      <c r="D14064" s="16"/>
    </row>
    <row r="14065" spans="4:4">
      <c r="D14065" s="16"/>
    </row>
    <row r="14066" spans="4:4">
      <c r="D14066" s="16"/>
    </row>
    <row r="14067" spans="4:4">
      <c r="D14067" s="16"/>
    </row>
    <row r="14068" spans="4:4">
      <c r="D14068" s="16"/>
    </row>
    <row r="14069" spans="4:4">
      <c r="D14069" s="16"/>
    </row>
    <row r="14070" spans="4:4">
      <c r="D14070" s="16"/>
    </row>
    <row r="14071" spans="4:4">
      <c r="D14071" s="16"/>
    </row>
    <row r="14072" spans="4:4">
      <c r="D14072" s="16"/>
    </row>
    <row r="14073" spans="4:4">
      <c r="D14073" s="16"/>
    </row>
    <row r="14074" spans="4:4">
      <c r="D14074" s="16"/>
    </row>
    <row r="14075" spans="4:4">
      <c r="D14075" s="16"/>
    </row>
    <row r="14076" spans="4:4">
      <c r="D14076" s="16"/>
    </row>
    <row r="14077" spans="4:4">
      <c r="D14077" s="16"/>
    </row>
    <row r="14078" spans="4:4">
      <c r="D14078" s="16"/>
    </row>
    <row r="14079" spans="4:4">
      <c r="D14079" s="16"/>
    </row>
    <row r="14080" spans="4:4">
      <c r="D14080" s="16"/>
    </row>
    <row r="14081" spans="4:4">
      <c r="D14081" s="16"/>
    </row>
    <row r="14082" spans="4:4">
      <c r="D14082" s="16"/>
    </row>
    <row r="14083" spans="4:4">
      <c r="D14083" s="16"/>
    </row>
    <row r="14084" spans="4:4">
      <c r="D14084" s="16"/>
    </row>
    <row r="14085" spans="4:4">
      <c r="D14085" s="16"/>
    </row>
    <row r="14086" spans="4:4">
      <c r="D14086" s="16"/>
    </row>
    <row r="14087" spans="4:4">
      <c r="D14087" s="16"/>
    </row>
    <row r="14088" spans="4:4">
      <c r="D14088" s="16"/>
    </row>
    <row r="14089" spans="4:4">
      <c r="D14089" s="16"/>
    </row>
    <row r="14090" spans="4:4">
      <c r="D14090" s="16"/>
    </row>
    <row r="14091" spans="4:4">
      <c r="D14091" s="16"/>
    </row>
    <row r="14092" spans="4:4">
      <c r="D14092" s="16"/>
    </row>
    <row r="14093" spans="4:4">
      <c r="D14093" s="16"/>
    </row>
    <row r="14094" spans="4:4">
      <c r="D14094" s="16"/>
    </row>
    <row r="14095" spans="4:4">
      <c r="D14095" s="16"/>
    </row>
    <row r="14096" spans="4:4">
      <c r="D14096" s="16"/>
    </row>
    <row r="14097" spans="4:4">
      <c r="D14097" s="16"/>
    </row>
    <row r="14098" spans="4:4">
      <c r="D14098" s="16"/>
    </row>
    <row r="14099" spans="4:4">
      <c r="D14099" s="16"/>
    </row>
    <row r="14100" spans="4:4">
      <c r="D14100" s="16"/>
    </row>
    <row r="14101" spans="4:4">
      <c r="D14101" s="16"/>
    </row>
    <row r="14102" spans="4:4">
      <c r="D14102" s="16"/>
    </row>
    <row r="14103" spans="4:4">
      <c r="D14103" s="16"/>
    </row>
    <row r="14104" spans="4:4">
      <c r="D14104" s="16"/>
    </row>
    <row r="14105" spans="4:4">
      <c r="D14105" s="16"/>
    </row>
    <row r="14106" spans="4:4">
      <c r="D14106" s="16"/>
    </row>
    <row r="14107" spans="4:4">
      <c r="D14107" s="16"/>
    </row>
    <row r="14108" spans="4:4">
      <c r="D14108" s="16"/>
    </row>
    <row r="14109" spans="4:4">
      <c r="D14109" s="16"/>
    </row>
    <row r="14110" spans="4:4">
      <c r="D14110" s="16"/>
    </row>
    <row r="14111" spans="4:4">
      <c r="D14111" s="16"/>
    </row>
    <row r="14112" spans="4:4">
      <c r="D14112" s="16"/>
    </row>
    <row r="14113" spans="4:4">
      <c r="D14113" s="16"/>
    </row>
    <row r="14114" spans="4:4">
      <c r="D14114" s="16"/>
    </row>
    <row r="14115" spans="4:4">
      <c r="D14115" s="16"/>
    </row>
    <row r="14116" spans="4:4">
      <c r="D14116" s="16"/>
    </row>
    <row r="14117" spans="4:4">
      <c r="D14117" s="16"/>
    </row>
    <row r="14118" spans="4:4">
      <c r="D14118" s="16"/>
    </row>
    <row r="14119" spans="4:4">
      <c r="D14119" s="16"/>
    </row>
    <row r="14120" spans="4:4">
      <c r="D14120" s="16"/>
    </row>
    <row r="14121" spans="4:4">
      <c r="D14121" s="16"/>
    </row>
    <row r="14122" spans="4:4">
      <c r="D14122" s="16"/>
    </row>
    <row r="14123" spans="4:4">
      <c r="D14123" s="16"/>
    </row>
    <row r="14124" spans="4:4">
      <c r="D14124" s="16"/>
    </row>
    <row r="14125" spans="4:4">
      <c r="D14125" s="16"/>
    </row>
    <row r="14126" spans="4:4">
      <c r="D14126" s="16"/>
    </row>
    <row r="14127" spans="4:4">
      <c r="D14127" s="16"/>
    </row>
    <row r="14128" spans="4:4">
      <c r="D14128" s="16"/>
    </row>
    <row r="14129" spans="4:4">
      <c r="D14129" s="16"/>
    </row>
    <row r="14130" spans="4:4">
      <c r="D14130" s="16"/>
    </row>
    <row r="14131" spans="4:4">
      <c r="D14131" s="16"/>
    </row>
    <row r="14132" spans="4:4">
      <c r="D14132" s="16"/>
    </row>
    <row r="14133" spans="4:4">
      <c r="D14133" s="16"/>
    </row>
    <row r="14134" spans="4:4">
      <c r="D14134" s="16"/>
    </row>
    <row r="14135" spans="4:4">
      <c r="D14135" s="16"/>
    </row>
    <row r="14136" spans="4:4">
      <c r="D14136" s="16"/>
    </row>
    <row r="14137" spans="4:4">
      <c r="D14137" s="16"/>
    </row>
    <row r="14138" spans="4:4">
      <c r="D14138" s="16"/>
    </row>
    <row r="14139" spans="4:4">
      <c r="D14139" s="16"/>
    </row>
    <row r="14140" spans="4:4">
      <c r="D14140" s="16"/>
    </row>
    <row r="14141" spans="4:4">
      <c r="D14141" s="16"/>
    </row>
    <row r="14142" spans="4:4">
      <c r="D14142" s="16"/>
    </row>
    <row r="14143" spans="4:4">
      <c r="D14143" s="16"/>
    </row>
    <row r="14144" spans="4:4">
      <c r="D14144" s="16"/>
    </row>
    <row r="14145" spans="4:4">
      <c r="D14145" s="16"/>
    </row>
    <row r="14146" spans="4:4">
      <c r="D14146" s="16"/>
    </row>
    <row r="14147" spans="4:4">
      <c r="D14147" s="16"/>
    </row>
    <row r="14148" spans="4:4">
      <c r="D14148" s="16"/>
    </row>
    <row r="14149" spans="4:4">
      <c r="D14149" s="16"/>
    </row>
    <row r="14150" spans="4:4">
      <c r="D14150" s="16"/>
    </row>
    <row r="14151" spans="4:4">
      <c r="D14151" s="16"/>
    </row>
    <row r="14152" spans="4:4">
      <c r="D14152" s="16"/>
    </row>
    <row r="14153" spans="4:4">
      <c r="D14153" s="16"/>
    </row>
    <row r="14154" spans="4:4">
      <c r="D14154" s="16"/>
    </row>
    <row r="14155" spans="4:4">
      <c r="D14155" s="16"/>
    </row>
    <row r="14156" spans="4:4">
      <c r="D14156" s="16"/>
    </row>
    <row r="14157" spans="4:4">
      <c r="D14157" s="16"/>
    </row>
    <row r="14158" spans="4:4">
      <c r="D14158" s="16"/>
    </row>
    <row r="14159" spans="4:4">
      <c r="D14159" s="16"/>
    </row>
    <row r="14160" spans="4:4">
      <c r="D14160" s="16"/>
    </row>
    <row r="14161" spans="4:4">
      <c r="D14161" s="16"/>
    </row>
    <row r="14162" spans="4:4">
      <c r="D14162" s="16"/>
    </row>
    <row r="14163" spans="4:4">
      <c r="D14163" s="16"/>
    </row>
    <row r="14164" spans="4:4">
      <c r="D14164" s="16"/>
    </row>
    <row r="14165" spans="4:4">
      <c r="D14165" s="16"/>
    </row>
    <row r="14166" spans="4:4">
      <c r="D14166" s="16"/>
    </row>
    <row r="14167" spans="4:4">
      <c r="D14167" s="16"/>
    </row>
    <row r="14168" spans="4:4">
      <c r="D14168" s="16"/>
    </row>
    <row r="14169" spans="4:4">
      <c r="D14169" s="16"/>
    </row>
    <row r="14170" spans="4:4">
      <c r="D14170" s="16"/>
    </row>
    <row r="14171" spans="4:4">
      <c r="D14171" s="16"/>
    </row>
    <row r="14172" spans="4:4">
      <c r="D14172" s="16"/>
    </row>
    <row r="14173" spans="4:4">
      <c r="D14173" s="16"/>
    </row>
    <row r="14174" spans="4:4">
      <c r="D14174" s="16"/>
    </row>
    <row r="14175" spans="4:4">
      <c r="D14175" s="16"/>
    </row>
    <row r="14176" spans="4:4">
      <c r="D14176" s="16"/>
    </row>
    <row r="14177" spans="4:4">
      <c r="D14177" s="16"/>
    </row>
    <row r="14178" spans="4:4">
      <c r="D14178" s="16"/>
    </row>
    <row r="14179" spans="4:4">
      <c r="D14179" s="16"/>
    </row>
    <row r="14180" spans="4:4">
      <c r="D14180" s="16"/>
    </row>
    <row r="14181" spans="4:4">
      <c r="D14181" s="16"/>
    </row>
    <row r="14182" spans="4:4">
      <c r="D14182" s="16"/>
    </row>
    <row r="14183" spans="4:4">
      <c r="D14183" s="16"/>
    </row>
    <row r="14184" spans="4:4">
      <c r="D14184" s="16"/>
    </row>
    <row r="14185" spans="4:4">
      <c r="D14185" s="16"/>
    </row>
    <row r="14186" spans="4:4">
      <c r="D14186" s="16"/>
    </row>
    <row r="14187" spans="4:4">
      <c r="D14187" s="16"/>
    </row>
    <row r="14188" spans="4:4">
      <c r="D14188" s="16"/>
    </row>
    <row r="14189" spans="4:4">
      <c r="D14189" s="16"/>
    </row>
    <row r="14190" spans="4:4">
      <c r="D14190" s="16"/>
    </row>
    <row r="14191" spans="4:4">
      <c r="D14191" s="16"/>
    </row>
    <row r="14192" spans="4:4">
      <c r="D14192" s="16"/>
    </row>
    <row r="14193" spans="4:4">
      <c r="D14193" s="16"/>
    </row>
    <row r="14194" spans="4:4">
      <c r="D14194" s="16"/>
    </row>
    <row r="14195" spans="4:4">
      <c r="D14195" s="16"/>
    </row>
    <row r="14196" spans="4:4">
      <c r="D14196" s="16"/>
    </row>
    <row r="14197" spans="4:4">
      <c r="D14197" s="16"/>
    </row>
    <row r="14198" spans="4:4">
      <c r="D14198" s="16"/>
    </row>
    <row r="14199" spans="4:4">
      <c r="D14199" s="16"/>
    </row>
    <row r="14200" spans="4:4">
      <c r="D14200" s="16"/>
    </row>
    <row r="14201" spans="4:4">
      <c r="D14201" s="16"/>
    </row>
    <row r="14202" spans="4:4">
      <c r="D14202" s="16"/>
    </row>
    <row r="14203" spans="4:4">
      <c r="D14203" s="16"/>
    </row>
    <row r="14204" spans="4:4">
      <c r="D14204" s="16"/>
    </row>
    <row r="14205" spans="4:4">
      <c r="D14205" s="16"/>
    </row>
    <row r="14206" spans="4:4">
      <c r="D14206" s="16"/>
    </row>
    <row r="14207" spans="4:4">
      <c r="D14207" s="16"/>
    </row>
    <row r="14208" spans="4:4">
      <c r="D14208" s="16"/>
    </row>
    <row r="14209" spans="4:4">
      <c r="D14209" s="16"/>
    </row>
    <row r="14210" spans="4:4">
      <c r="D14210" s="16"/>
    </row>
    <row r="14211" spans="4:4">
      <c r="D14211" s="16"/>
    </row>
    <row r="14212" spans="4:4">
      <c r="D14212" s="16"/>
    </row>
    <row r="14213" spans="4:4">
      <c r="D14213" s="16"/>
    </row>
    <row r="14214" spans="4:4">
      <c r="D14214" s="16"/>
    </row>
    <row r="14215" spans="4:4">
      <c r="D14215" s="16"/>
    </row>
    <row r="14216" spans="4:4">
      <c r="D14216" s="16"/>
    </row>
    <row r="14217" spans="4:4">
      <c r="D14217" s="16"/>
    </row>
    <row r="14218" spans="4:4">
      <c r="D14218" s="16"/>
    </row>
    <row r="14219" spans="4:4">
      <c r="D14219" s="16"/>
    </row>
    <row r="14220" spans="4:4">
      <c r="D14220" s="16"/>
    </row>
    <row r="14221" spans="4:4">
      <c r="D14221" s="16"/>
    </row>
    <row r="14222" spans="4:4">
      <c r="D14222" s="16"/>
    </row>
    <row r="14223" spans="4:4">
      <c r="D14223" s="16"/>
    </row>
    <row r="14224" spans="4:4">
      <c r="D14224" s="16"/>
    </row>
    <row r="14225" spans="4:4">
      <c r="D14225" s="16"/>
    </row>
    <row r="14226" spans="4:4">
      <c r="D14226" s="16"/>
    </row>
    <row r="14227" spans="4:4">
      <c r="D14227" s="16"/>
    </row>
    <row r="14228" spans="4:4">
      <c r="D14228" s="16"/>
    </row>
    <row r="14229" spans="4:4">
      <c r="D14229" s="16"/>
    </row>
    <row r="14230" spans="4:4">
      <c r="D14230" s="16"/>
    </row>
    <row r="14231" spans="4:4">
      <c r="D14231" s="16"/>
    </row>
    <row r="14232" spans="4:4">
      <c r="D14232" s="16"/>
    </row>
    <row r="14233" spans="4:4">
      <c r="D14233" s="16"/>
    </row>
    <row r="14234" spans="4:4">
      <c r="D14234" s="16"/>
    </row>
    <row r="14235" spans="4:4">
      <c r="D14235" s="16"/>
    </row>
    <row r="14236" spans="4:4">
      <c r="D14236" s="16"/>
    </row>
    <row r="14237" spans="4:4">
      <c r="D14237" s="16"/>
    </row>
    <row r="14238" spans="4:4">
      <c r="D14238" s="16"/>
    </row>
    <row r="14239" spans="4:4">
      <c r="D14239" s="16"/>
    </row>
    <row r="14240" spans="4:4">
      <c r="D14240" s="16"/>
    </row>
    <row r="14241" spans="4:4">
      <c r="D14241" s="16"/>
    </row>
    <row r="14242" spans="4:4">
      <c r="D14242" s="16"/>
    </row>
    <row r="14243" spans="4:4">
      <c r="D14243" s="16"/>
    </row>
    <row r="14244" spans="4:4">
      <c r="D14244" s="16"/>
    </row>
    <row r="14245" spans="4:4">
      <c r="D14245" s="16"/>
    </row>
    <row r="14246" spans="4:4">
      <c r="D14246" s="16"/>
    </row>
    <row r="14247" spans="4:4">
      <c r="D14247" s="16"/>
    </row>
    <row r="14248" spans="4:4">
      <c r="D14248" s="16"/>
    </row>
    <row r="14249" spans="4:4">
      <c r="D14249" s="16"/>
    </row>
    <row r="14250" spans="4:4">
      <c r="D14250" s="16"/>
    </row>
    <row r="14251" spans="4:4">
      <c r="D14251" s="16"/>
    </row>
    <row r="14252" spans="4:4">
      <c r="D14252" s="16"/>
    </row>
    <row r="14253" spans="4:4">
      <c r="D14253" s="16"/>
    </row>
    <row r="14254" spans="4:4">
      <c r="D14254" s="16"/>
    </row>
    <row r="14255" spans="4:4">
      <c r="D14255" s="16"/>
    </row>
    <row r="14256" spans="4:4">
      <c r="D14256" s="16"/>
    </row>
    <row r="14257" spans="4:4">
      <c r="D14257" s="16"/>
    </row>
    <row r="14258" spans="4:4">
      <c r="D14258" s="16"/>
    </row>
    <row r="14259" spans="4:4">
      <c r="D14259" s="16"/>
    </row>
    <row r="14260" spans="4:4">
      <c r="D14260" s="16"/>
    </row>
    <row r="14261" spans="4:4">
      <c r="D14261" s="16"/>
    </row>
    <row r="14262" spans="4:4">
      <c r="D14262" s="16"/>
    </row>
    <row r="14263" spans="4:4">
      <c r="D14263" s="16"/>
    </row>
    <row r="14264" spans="4:4">
      <c r="D14264" s="16"/>
    </row>
    <row r="14265" spans="4:4">
      <c r="D14265" s="16"/>
    </row>
    <row r="14266" spans="4:4">
      <c r="D14266" s="16"/>
    </row>
    <row r="14267" spans="4:4">
      <c r="D14267" s="16"/>
    </row>
    <row r="14268" spans="4:4">
      <c r="D14268" s="16"/>
    </row>
    <row r="14269" spans="4:4">
      <c r="D14269" s="16"/>
    </row>
    <row r="14270" spans="4:4">
      <c r="D14270" s="16"/>
    </row>
    <row r="14271" spans="4:4">
      <c r="D14271" s="16"/>
    </row>
    <row r="14272" spans="4:4">
      <c r="D14272" s="16"/>
    </row>
    <row r="14273" spans="4:4">
      <c r="D14273" s="16"/>
    </row>
    <row r="14274" spans="4:4">
      <c r="D14274" s="16"/>
    </row>
    <row r="14275" spans="4:4">
      <c r="D14275" s="16"/>
    </row>
    <row r="14276" spans="4:4">
      <c r="D14276" s="16"/>
    </row>
    <row r="14277" spans="4:4">
      <c r="D14277" s="16"/>
    </row>
    <row r="14278" spans="4:4">
      <c r="D14278" s="16"/>
    </row>
    <row r="14279" spans="4:4">
      <c r="D14279" s="16"/>
    </row>
    <row r="14280" spans="4:4">
      <c r="D14280" s="16"/>
    </row>
    <row r="14281" spans="4:4">
      <c r="D14281" s="16"/>
    </row>
    <row r="14282" spans="4:4">
      <c r="D14282" s="16"/>
    </row>
    <row r="14283" spans="4:4">
      <c r="D14283" s="16"/>
    </row>
    <row r="14284" spans="4:4">
      <c r="D14284" s="16"/>
    </row>
    <row r="14285" spans="4:4">
      <c r="D14285" s="16"/>
    </row>
    <row r="14286" spans="4:4">
      <c r="D14286" s="16"/>
    </row>
    <row r="14287" spans="4:4">
      <c r="D14287" s="16"/>
    </row>
    <row r="14288" spans="4:4">
      <c r="D14288" s="16"/>
    </row>
    <row r="14289" spans="4:4">
      <c r="D14289" s="16"/>
    </row>
    <row r="14290" spans="4:4">
      <c r="D14290" s="16"/>
    </row>
    <row r="14291" spans="4:4">
      <c r="D14291" s="16"/>
    </row>
    <row r="14292" spans="4:4">
      <c r="D14292" s="16"/>
    </row>
    <row r="14293" spans="4:4">
      <c r="D14293" s="16"/>
    </row>
    <row r="14294" spans="4:4">
      <c r="D14294" s="16"/>
    </row>
    <row r="14295" spans="4:4">
      <c r="D14295" s="16"/>
    </row>
    <row r="14296" spans="4:4">
      <c r="D14296" s="16"/>
    </row>
    <row r="14297" spans="4:4">
      <c r="D14297" s="16"/>
    </row>
    <row r="14298" spans="4:4">
      <c r="D14298" s="16"/>
    </row>
    <row r="14299" spans="4:4">
      <c r="D14299" s="16"/>
    </row>
    <row r="14300" spans="4:4">
      <c r="D14300" s="16"/>
    </row>
    <row r="14301" spans="4:4">
      <c r="D14301" s="16"/>
    </row>
    <row r="14302" spans="4:4">
      <c r="D14302" s="16"/>
    </row>
    <row r="14303" spans="4:4">
      <c r="D14303" s="16"/>
    </row>
    <row r="14304" spans="4:4">
      <c r="D14304" s="16"/>
    </row>
    <row r="14305" spans="4:4">
      <c r="D14305" s="16"/>
    </row>
    <row r="14306" spans="4:4">
      <c r="D14306" s="16"/>
    </row>
    <row r="14307" spans="4:4">
      <c r="D14307" s="16"/>
    </row>
    <row r="14308" spans="4:4">
      <c r="D14308" s="16"/>
    </row>
    <row r="14309" spans="4:4">
      <c r="D14309" s="16"/>
    </row>
    <row r="14310" spans="4:4">
      <c r="D14310" s="16"/>
    </row>
    <row r="14311" spans="4:4">
      <c r="D14311" s="16"/>
    </row>
    <row r="14312" spans="4:4">
      <c r="D14312" s="16"/>
    </row>
    <row r="14313" spans="4:4">
      <c r="D14313" s="16"/>
    </row>
    <row r="14314" spans="4:4">
      <c r="D14314" s="16"/>
    </row>
    <row r="14315" spans="4:4">
      <c r="D14315" s="16"/>
    </row>
    <row r="14316" spans="4:4">
      <c r="D14316" s="16"/>
    </row>
    <row r="14317" spans="4:4">
      <c r="D14317" s="16"/>
    </row>
    <row r="14318" spans="4:4">
      <c r="D14318" s="16"/>
    </row>
    <row r="14319" spans="4:4">
      <c r="D14319" s="16"/>
    </row>
    <row r="14320" spans="4:4">
      <c r="D14320" s="16"/>
    </row>
    <row r="14321" spans="4:4">
      <c r="D14321" s="16"/>
    </row>
    <row r="14322" spans="4:4">
      <c r="D14322" s="16"/>
    </row>
    <row r="14323" spans="4:4">
      <c r="D14323" s="16"/>
    </row>
    <row r="14324" spans="4:4">
      <c r="D14324" s="16"/>
    </row>
    <row r="14325" spans="4:4">
      <c r="D14325" s="16"/>
    </row>
    <row r="14326" spans="4:4">
      <c r="D14326" s="16"/>
    </row>
    <row r="14327" spans="4:4">
      <c r="D14327" s="16"/>
    </row>
    <row r="14328" spans="4:4">
      <c r="D14328" s="16"/>
    </row>
    <row r="14329" spans="4:4">
      <c r="D14329" s="16"/>
    </row>
    <row r="14330" spans="4:4">
      <c r="D14330" s="16"/>
    </row>
    <row r="14331" spans="4:4">
      <c r="D14331" s="16"/>
    </row>
    <row r="14332" spans="4:4">
      <c r="D14332" s="16"/>
    </row>
    <row r="14333" spans="4:4">
      <c r="D14333" s="16"/>
    </row>
    <row r="14334" spans="4:4">
      <c r="D14334" s="16"/>
    </row>
    <row r="14335" spans="4:4">
      <c r="D14335" s="16"/>
    </row>
    <row r="14336" spans="4:4">
      <c r="D14336" s="16"/>
    </row>
    <row r="14337" spans="4:4">
      <c r="D14337" s="16"/>
    </row>
    <row r="14338" spans="4:4">
      <c r="D14338" s="16"/>
    </row>
    <row r="14339" spans="4:4">
      <c r="D14339" s="16"/>
    </row>
    <row r="14340" spans="4:4">
      <c r="D14340" s="16"/>
    </row>
    <row r="14341" spans="4:4">
      <c r="D14341" s="16"/>
    </row>
    <row r="14342" spans="4:4">
      <c r="D14342" s="16"/>
    </row>
    <row r="14343" spans="4:4">
      <c r="D14343" s="16"/>
    </row>
    <row r="14344" spans="4:4">
      <c r="D14344" s="16"/>
    </row>
    <row r="14345" spans="4:4">
      <c r="D14345" s="16"/>
    </row>
    <row r="14346" spans="4:4">
      <c r="D14346" s="16"/>
    </row>
    <row r="14347" spans="4:4">
      <c r="D14347" s="16"/>
    </row>
    <row r="14348" spans="4:4">
      <c r="D14348" s="16"/>
    </row>
    <row r="14349" spans="4:4">
      <c r="D14349" s="16"/>
    </row>
    <row r="14350" spans="4:4">
      <c r="D14350" s="16"/>
    </row>
    <row r="14351" spans="4:4">
      <c r="D14351" s="16"/>
    </row>
    <row r="14352" spans="4:4">
      <c r="D14352" s="16"/>
    </row>
    <row r="14353" spans="4:4">
      <c r="D14353" s="16"/>
    </row>
    <row r="14354" spans="4:4">
      <c r="D14354" s="16"/>
    </row>
    <row r="14355" spans="4:4">
      <c r="D14355" s="16"/>
    </row>
    <row r="14356" spans="4:4">
      <c r="D14356" s="16"/>
    </row>
    <row r="14357" spans="4:4">
      <c r="D14357" s="16"/>
    </row>
    <row r="14358" spans="4:4">
      <c r="D14358" s="16"/>
    </row>
    <row r="14359" spans="4:4">
      <c r="D14359" s="16"/>
    </row>
    <row r="14360" spans="4:4">
      <c r="D14360" s="16"/>
    </row>
    <row r="14361" spans="4:4">
      <c r="D14361" s="16"/>
    </row>
    <row r="14362" spans="4:4">
      <c r="D14362" s="16"/>
    </row>
    <row r="14363" spans="4:4">
      <c r="D14363" s="16"/>
    </row>
    <row r="14364" spans="4:4">
      <c r="D14364" s="16"/>
    </row>
    <row r="14365" spans="4:4">
      <c r="D14365" s="16"/>
    </row>
    <row r="14366" spans="4:4">
      <c r="D14366" s="16"/>
    </row>
    <row r="14367" spans="4:4">
      <c r="D14367" s="16"/>
    </row>
    <row r="14368" spans="4:4">
      <c r="D14368" s="16"/>
    </row>
    <row r="14369" spans="4:4">
      <c r="D14369" s="16"/>
    </row>
    <row r="14370" spans="4:4">
      <c r="D14370" s="16"/>
    </row>
    <row r="14371" spans="4:4">
      <c r="D14371" s="16"/>
    </row>
    <row r="14372" spans="4:4">
      <c r="D14372" s="16"/>
    </row>
    <row r="14373" spans="4:4">
      <c r="D14373" s="16"/>
    </row>
    <row r="14374" spans="4:4">
      <c r="D14374" s="16"/>
    </row>
    <row r="14375" spans="4:4">
      <c r="D14375" s="16"/>
    </row>
    <row r="14376" spans="4:4">
      <c r="D14376" s="16"/>
    </row>
    <row r="14377" spans="4:4">
      <c r="D14377" s="16"/>
    </row>
    <row r="14378" spans="4:4">
      <c r="D14378" s="16"/>
    </row>
    <row r="14379" spans="4:4">
      <c r="D14379" s="16"/>
    </row>
    <row r="14380" spans="4:4">
      <c r="D14380" s="16"/>
    </row>
    <row r="14381" spans="4:4">
      <c r="D14381" s="16"/>
    </row>
    <row r="14382" spans="4:4">
      <c r="D14382" s="16"/>
    </row>
    <row r="14383" spans="4:4">
      <c r="D14383" s="16"/>
    </row>
    <row r="14384" spans="4:4">
      <c r="D14384" s="16"/>
    </row>
    <row r="14385" spans="4:4">
      <c r="D14385" s="16"/>
    </row>
    <row r="14386" spans="4:4">
      <c r="D14386" s="16"/>
    </row>
    <row r="14387" spans="4:4">
      <c r="D14387" s="16"/>
    </row>
    <row r="14388" spans="4:4">
      <c r="D14388" s="16"/>
    </row>
    <row r="14389" spans="4:4">
      <c r="D14389" s="16"/>
    </row>
    <row r="14390" spans="4:4">
      <c r="D14390" s="16"/>
    </row>
    <row r="14391" spans="4:4">
      <c r="D14391" s="16"/>
    </row>
    <row r="14392" spans="4:4">
      <c r="D14392" s="16"/>
    </row>
    <row r="14393" spans="4:4">
      <c r="D14393" s="16"/>
    </row>
    <row r="14394" spans="4:4">
      <c r="D14394" s="16"/>
    </row>
    <row r="14395" spans="4:4">
      <c r="D14395" s="16"/>
    </row>
    <row r="14396" spans="4:4">
      <c r="D14396" s="16"/>
    </row>
    <row r="14397" spans="4:4">
      <c r="D14397" s="16"/>
    </row>
    <row r="14398" spans="4:4">
      <c r="D14398" s="16"/>
    </row>
    <row r="14399" spans="4:4">
      <c r="D14399" s="16"/>
    </row>
    <row r="14400" spans="4:4">
      <c r="D14400" s="16"/>
    </row>
    <row r="14401" spans="4:4">
      <c r="D14401" s="16"/>
    </row>
    <row r="14402" spans="4:4">
      <c r="D14402" s="16"/>
    </row>
    <row r="14403" spans="4:4">
      <c r="D14403" s="16"/>
    </row>
    <row r="14404" spans="4:4">
      <c r="D14404" s="16"/>
    </row>
    <row r="14405" spans="4:4">
      <c r="D14405" s="16"/>
    </row>
    <row r="14406" spans="4:4">
      <c r="D14406" s="16"/>
    </row>
    <row r="14407" spans="4:4">
      <c r="D14407" s="16"/>
    </row>
    <row r="14408" spans="4:4">
      <c r="D14408" s="16"/>
    </row>
    <row r="14409" spans="4:4">
      <c r="D14409" s="16"/>
    </row>
    <row r="14410" spans="4:4">
      <c r="D14410" s="16"/>
    </row>
    <row r="14411" spans="4:4">
      <c r="D14411" s="16"/>
    </row>
    <row r="14412" spans="4:4">
      <c r="D14412" s="16"/>
    </row>
    <row r="14413" spans="4:4">
      <c r="D14413" s="16"/>
    </row>
    <row r="14414" spans="4:4">
      <c r="D14414" s="16"/>
    </row>
    <row r="14415" spans="4:4">
      <c r="D14415" s="16"/>
    </row>
    <row r="14416" spans="4:4">
      <c r="D14416" s="16"/>
    </row>
    <row r="14417" spans="4:4">
      <c r="D14417" s="16"/>
    </row>
    <row r="14418" spans="4:4">
      <c r="D14418" s="16"/>
    </row>
    <row r="14419" spans="4:4">
      <c r="D14419" s="16"/>
    </row>
    <row r="14420" spans="4:4">
      <c r="D14420" s="16"/>
    </row>
    <row r="14421" spans="4:4">
      <c r="D14421" s="16"/>
    </row>
    <row r="14422" spans="4:4">
      <c r="D14422" s="16"/>
    </row>
    <row r="14423" spans="4:4">
      <c r="D14423" s="16"/>
    </row>
    <row r="14424" spans="4:4">
      <c r="D14424" s="16"/>
    </row>
    <row r="14425" spans="4:4">
      <c r="D14425" s="16"/>
    </row>
    <row r="14426" spans="4:4">
      <c r="D14426" s="16"/>
    </row>
    <row r="14427" spans="4:4">
      <c r="D14427" s="16"/>
    </row>
    <row r="14428" spans="4:4">
      <c r="D14428" s="16"/>
    </row>
    <row r="14429" spans="4:4">
      <c r="D14429" s="16"/>
    </row>
    <row r="14430" spans="4:4">
      <c r="D14430" s="16"/>
    </row>
    <row r="14431" spans="4:4">
      <c r="D14431" s="16"/>
    </row>
    <row r="14432" spans="4:4">
      <c r="D14432" s="16"/>
    </row>
    <row r="14433" spans="4:4">
      <c r="D14433" s="16"/>
    </row>
    <row r="14434" spans="4:4">
      <c r="D14434" s="16"/>
    </row>
    <row r="14435" spans="4:4">
      <c r="D14435" s="16"/>
    </row>
    <row r="14436" spans="4:4">
      <c r="D14436" s="16"/>
    </row>
    <row r="14437" spans="4:4">
      <c r="D14437" s="16"/>
    </row>
    <row r="14438" spans="4:4">
      <c r="D14438" s="16"/>
    </row>
    <row r="14439" spans="4:4">
      <c r="D14439" s="16"/>
    </row>
    <row r="14440" spans="4:4">
      <c r="D14440" s="16"/>
    </row>
    <row r="14441" spans="4:4">
      <c r="D14441" s="16"/>
    </row>
    <row r="14442" spans="4:4">
      <c r="D14442" s="16"/>
    </row>
    <row r="14443" spans="4:4">
      <c r="D14443" s="16"/>
    </row>
    <row r="14444" spans="4:4">
      <c r="D14444" s="16"/>
    </row>
    <row r="14445" spans="4:4">
      <c r="D14445" s="16"/>
    </row>
    <row r="14446" spans="4:4">
      <c r="D14446" s="16"/>
    </row>
    <row r="14447" spans="4:4">
      <c r="D14447" s="16"/>
    </row>
    <row r="14448" spans="4:4">
      <c r="D14448" s="16"/>
    </row>
    <row r="14449" spans="4:4">
      <c r="D14449" s="16"/>
    </row>
    <row r="14450" spans="4:4">
      <c r="D14450" s="16"/>
    </row>
    <row r="14451" spans="4:4">
      <c r="D14451" s="16"/>
    </row>
    <row r="14452" spans="4:4">
      <c r="D14452" s="16"/>
    </row>
    <row r="14453" spans="4:4">
      <c r="D14453" s="16"/>
    </row>
    <row r="14454" spans="4:4">
      <c r="D14454" s="16"/>
    </row>
    <row r="14455" spans="4:4">
      <c r="D14455" s="16"/>
    </row>
    <row r="14456" spans="4:4">
      <c r="D14456" s="16"/>
    </row>
    <row r="14457" spans="4:4">
      <c r="D14457" s="16"/>
    </row>
    <row r="14458" spans="4:4">
      <c r="D14458" s="16"/>
    </row>
    <row r="14459" spans="4:4">
      <c r="D14459" s="16"/>
    </row>
    <row r="14460" spans="4:4">
      <c r="D14460" s="16"/>
    </row>
    <row r="14461" spans="4:4">
      <c r="D14461" s="16"/>
    </row>
    <row r="14462" spans="4:4">
      <c r="D14462" s="16"/>
    </row>
    <row r="14463" spans="4:4">
      <c r="D14463" s="16"/>
    </row>
    <row r="14464" spans="4:4">
      <c r="D14464" s="16"/>
    </row>
    <row r="14465" spans="4:4">
      <c r="D14465" s="16"/>
    </row>
    <row r="14466" spans="4:4">
      <c r="D14466" s="16"/>
    </row>
    <row r="14467" spans="4:4">
      <c r="D14467" s="16"/>
    </row>
    <row r="14468" spans="4:4">
      <c r="D14468" s="16"/>
    </row>
    <row r="14469" spans="4:4">
      <c r="D14469" s="16"/>
    </row>
    <row r="14470" spans="4:4">
      <c r="D14470" s="16"/>
    </row>
    <row r="14471" spans="4:4">
      <c r="D14471" s="16"/>
    </row>
    <row r="14472" spans="4:4">
      <c r="D14472" s="16"/>
    </row>
    <row r="14473" spans="4:4">
      <c r="D14473" s="16"/>
    </row>
    <row r="14474" spans="4:4">
      <c r="D14474" s="16"/>
    </row>
    <row r="14475" spans="4:4">
      <c r="D14475" s="16"/>
    </row>
    <row r="14476" spans="4:4">
      <c r="D14476" s="16"/>
    </row>
    <row r="14477" spans="4:4">
      <c r="D14477" s="16"/>
    </row>
    <row r="14478" spans="4:4">
      <c r="D14478" s="16"/>
    </row>
    <row r="14479" spans="4:4">
      <c r="D14479" s="16"/>
    </row>
    <row r="14480" spans="4:4">
      <c r="D14480" s="16"/>
    </row>
    <row r="14481" spans="4:4">
      <c r="D14481" s="16"/>
    </row>
    <row r="14482" spans="4:4">
      <c r="D14482" s="16"/>
    </row>
    <row r="14483" spans="4:4">
      <c r="D14483" s="16"/>
    </row>
    <row r="14484" spans="4:4">
      <c r="D14484" s="16"/>
    </row>
    <row r="14485" spans="4:4">
      <c r="D14485" s="16"/>
    </row>
    <row r="14486" spans="4:4">
      <c r="D14486" s="16"/>
    </row>
    <row r="14487" spans="4:4">
      <c r="D14487" s="16"/>
    </row>
    <row r="14488" spans="4:4">
      <c r="D14488" s="16"/>
    </row>
    <row r="14489" spans="4:4">
      <c r="D14489" s="16"/>
    </row>
    <row r="14490" spans="4:4">
      <c r="D14490" s="16"/>
    </row>
    <row r="14491" spans="4:4">
      <c r="D14491" s="16"/>
    </row>
    <row r="14492" spans="4:4">
      <c r="D14492" s="16"/>
    </row>
    <row r="14493" spans="4:4">
      <c r="D14493" s="16"/>
    </row>
    <row r="14494" spans="4:4">
      <c r="D14494" s="16"/>
    </row>
    <row r="14495" spans="4:4">
      <c r="D14495" s="16"/>
    </row>
    <row r="14496" spans="4:4">
      <c r="D14496" s="16"/>
    </row>
    <row r="14497" spans="4:4">
      <c r="D14497" s="16"/>
    </row>
    <row r="14498" spans="4:4">
      <c r="D14498" s="16"/>
    </row>
    <row r="14499" spans="4:4">
      <c r="D14499" s="16"/>
    </row>
    <row r="14500" spans="4:4">
      <c r="D14500" s="16"/>
    </row>
    <row r="14501" spans="4:4">
      <c r="D14501" s="16"/>
    </row>
    <row r="14502" spans="4:4">
      <c r="D14502" s="16"/>
    </row>
    <row r="14503" spans="4:4">
      <c r="D14503" s="16"/>
    </row>
    <row r="14504" spans="4:4">
      <c r="D14504" s="16"/>
    </row>
    <row r="14505" spans="4:4">
      <c r="D14505" s="16"/>
    </row>
    <row r="14506" spans="4:4">
      <c r="D14506" s="16"/>
    </row>
    <row r="14507" spans="4:4">
      <c r="D14507" s="16"/>
    </row>
    <row r="14508" spans="4:4">
      <c r="D14508" s="16"/>
    </row>
    <row r="14509" spans="4:4">
      <c r="D14509" s="16"/>
    </row>
    <row r="14510" spans="4:4">
      <c r="D14510" s="16"/>
    </row>
    <row r="14511" spans="4:4">
      <c r="D14511" s="16"/>
    </row>
    <row r="14512" spans="4:4">
      <c r="D14512" s="16"/>
    </row>
    <row r="14513" spans="4:4">
      <c r="D14513" s="16"/>
    </row>
    <row r="14514" spans="4:4">
      <c r="D14514" s="16"/>
    </row>
    <row r="14515" spans="4:4">
      <c r="D14515" s="16"/>
    </row>
    <row r="14516" spans="4:4">
      <c r="D14516" s="16"/>
    </row>
    <row r="14517" spans="4:4">
      <c r="D14517" s="16"/>
    </row>
    <row r="14518" spans="4:4">
      <c r="D14518" s="16"/>
    </row>
    <row r="14519" spans="4:4">
      <c r="D14519" s="16"/>
    </row>
    <row r="14520" spans="4:4">
      <c r="D14520" s="16"/>
    </row>
    <row r="14521" spans="4:4">
      <c r="D14521" s="16"/>
    </row>
    <row r="14522" spans="4:4">
      <c r="D14522" s="16"/>
    </row>
    <row r="14523" spans="4:4">
      <c r="D14523" s="16"/>
    </row>
    <row r="14524" spans="4:4">
      <c r="D14524" s="16"/>
    </row>
    <row r="14525" spans="4:4">
      <c r="D14525" s="16"/>
    </row>
    <row r="14526" spans="4:4">
      <c r="D14526" s="16"/>
    </row>
    <row r="14527" spans="4:4">
      <c r="D14527" s="16"/>
    </row>
    <row r="14528" spans="4:4">
      <c r="D14528" s="16"/>
    </row>
    <row r="14529" spans="4:4">
      <c r="D14529" s="16"/>
    </row>
    <row r="14530" spans="4:4">
      <c r="D14530" s="16"/>
    </row>
    <row r="14531" spans="4:4">
      <c r="D14531" s="16"/>
    </row>
    <row r="14532" spans="4:4">
      <c r="D14532" s="16"/>
    </row>
    <row r="14533" spans="4:4">
      <c r="D14533" s="16"/>
    </row>
    <row r="14534" spans="4:4">
      <c r="D14534" s="16"/>
    </row>
    <row r="14535" spans="4:4">
      <c r="D14535" s="16"/>
    </row>
    <row r="14536" spans="4:4">
      <c r="D14536" s="16"/>
    </row>
    <row r="14537" spans="4:4">
      <c r="D14537" s="16"/>
    </row>
    <row r="14538" spans="4:4">
      <c r="D14538" s="16"/>
    </row>
    <row r="14539" spans="4:4">
      <c r="D14539" s="16"/>
    </row>
    <row r="14540" spans="4:4">
      <c r="D14540" s="16"/>
    </row>
    <row r="14541" spans="4:4">
      <c r="D14541" s="16"/>
    </row>
    <row r="14542" spans="4:4">
      <c r="D14542" s="16"/>
    </row>
    <row r="14543" spans="4:4">
      <c r="D14543" s="16"/>
    </row>
    <row r="14544" spans="4:4">
      <c r="D14544" s="16"/>
    </row>
    <row r="14545" spans="4:4">
      <c r="D14545" s="16"/>
    </row>
    <row r="14546" spans="4:4">
      <c r="D14546" s="16"/>
    </row>
    <row r="14547" spans="4:4">
      <c r="D14547" s="16"/>
    </row>
    <row r="14548" spans="4:4">
      <c r="D14548" s="16"/>
    </row>
    <row r="14549" spans="4:4">
      <c r="D14549" s="16"/>
    </row>
    <row r="14550" spans="4:4">
      <c r="D14550" s="16"/>
    </row>
    <row r="14551" spans="4:4">
      <c r="D14551" s="16"/>
    </row>
    <row r="14552" spans="4:4">
      <c r="D14552" s="16"/>
    </row>
    <row r="14553" spans="4:4">
      <c r="D14553" s="16"/>
    </row>
    <row r="14554" spans="4:4">
      <c r="D14554" s="16"/>
    </row>
    <row r="14555" spans="4:4">
      <c r="D14555" s="16"/>
    </row>
    <row r="14556" spans="4:4">
      <c r="D14556" s="16"/>
    </row>
    <row r="14557" spans="4:4">
      <c r="D14557" s="16"/>
    </row>
    <row r="14558" spans="4:4">
      <c r="D14558" s="16"/>
    </row>
    <row r="14559" spans="4:4">
      <c r="D14559" s="16"/>
    </row>
    <row r="14560" spans="4:4">
      <c r="D14560" s="16"/>
    </row>
    <row r="14561" spans="4:4">
      <c r="D14561" s="16"/>
    </row>
    <row r="14562" spans="4:4">
      <c r="D14562" s="16"/>
    </row>
    <row r="14563" spans="4:4">
      <c r="D14563" s="16"/>
    </row>
    <row r="14564" spans="4:4">
      <c r="D14564" s="16"/>
    </row>
    <row r="14565" spans="4:4">
      <c r="D14565" s="16"/>
    </row>
    <row r="14566" spans="4:4">
      <c r="D14566" s="16"/>
    </row>
    <row r="14567" spans="4:4">
      <c r="D14567" s="16"/>
    </row>
    <row r="14568" spans="4:4">
      <c r="D14568" s="16"/>
    </row>
    <row r="14569" spans="4:4">
      <c r="D14569" s="16"/>
    </row>
    <row r="14570" spans="4:4">
      <c r="D14570" s="16"/>
    </row>
    <row r="14571" spans="4:4">
      <c r="D14571" s="16"/>
    </row>
    <row r="14572" spans="4:4">
      <c r="D14572" s="16"/>
    </row>
    <row r="14573" spans="4:4">
      <c r="D14573" s="16"/>
    </row>
    <row r="14574" spans="4:4">
      <c r="D14574" s="16"/>
    </row>
    <row r="14575" spans="4:4">
      <c r="D14575" s="16"/>
    </row>
    <row r="14576" spans="4:4">
      <c r="D14576" s="16"/>
    </row>
    <row r="14577" spans="4:4">
      <c r="D14577" s="16"/>
    </row>
    <row r="14578" spans="4:4">
      <c r="D14578" s="16"/>
    </row>
    <row r="14579" spans="4:4">
      <c r="D14579" s="16"/>
    </row>
    <row r="14580" spans="4:4">
      <c r="D14580" s="16"/>
    </row>
    <row r="14581" spans="4:4">
      <c r="D14581" s="16"/>
    </row>
    <row r="14582" spans="4:4">
      <c r="D14582" s="16"/>
    </row>
    <row r="14583" spans="4:4">
      <c r="D14583" s="16"/>
    </row>
    <row r="14584" spans="4:4">
      <c r="D14584" s="16"/>
    </row>
    <row r="14585" spans="4:4">
      <c r="D14585" s="16"/>
    </row>
    <row r="14586" spans="4:4">
      <c r="D14586" s="16"/>
    </row>
    <row r="14587" spans="4:4">
      <c r="D14587" s="16"/>
    </row>
    <row r="14588" spans="4:4">
      <c r="D14588" s="16"/>
    </row>
    <row r="14589" spans="4:4">
      <c r="D14589" s="16"/>
    </row>
    <row r="14590" spans="4:4">
      <c r="D14590" s="16"/>
    </row>
    <row r="14591" spans="4:4">
      <c r="D14591" s="16"/>
    </row>
    <row r="14592" spans="4:4">
      <c r="D14592" s="16"/>
    </row>
    <row r="14593" spans="4:4">
      <c r="D14593" s="16"/>
    </row>
    <row r="14594" spans="4:4">
      <c r="D14594" s="16"/>
    </row>
    <row r="14595" spans="4:4">
      <c r="D14595" s="16"/>
    </row>
    <row r="14596" spans="4:4">
      <c r="D14596" s="16"/>
    </row>
    <row r="14597" spans="4:4">
      <c r="D14597" s="16"/>
    </row>
    <row r="14598" spans="4:4">
      <c r="D14598" s="16"/>
    </row>
    <row r="14599" spans="4:4">
      <c r="D14599" s="16"/>
    </row>
    <row r="14600" spans="4:4">
      <c r="D14600" s="16"/>
    </row>
    <row r="14601" spans="4:4">
      <c r="D14601" s="16"/>
    </row>
    <row r="14602" spans="4:4">
      <c r="D14602" s="16"/>
    </row>
    <row r="14603" spans="4:4">
      <c r="D14603" s="16"/>
    </row>
    <row r="14604" spans="4:4">
      <c r="D14604" s="16"/>
    </row>
    <row r="14605" spans="4:4">
      <c r="D14605" s="16"/>
    </row>
    <row r="14606" spans="4:4">
      <c r="D14606" s="16"/>
    </row>
    <row r="14607" spans="4:4">
      <c r="D14607" s="16"/>
    </row>
    <row r="14608" spans="4:4">
      <c r="D14608" s="16"/>
    </row>
    <row r="14609" spans="4:4">
      <c r="D14609" s="16"/>
    </row>
    <row r="14610" spans="4:4">
      <c r="D14610" s="16"/>
    </row>
    <row r="14611" spans="4:4">
      <c r="D14611" s="16"/>
    </row>
    <row r="14612" spans="4:4">
      <c r="D14612" s="16"/>
    </row>
    <row r="14613" spans="4:4">
      <c r="D14613" s="16"/>
    </row>
    <row r="14614" spans="4:4">
      <c r="D14614" s="16"/>
    </row>
    <row r="14615" spans="4:4">
      <c r="D14615" s="16"/>
    </row>
    <row r="14616" spans="4:4">
      <c r="D14616" s="16"/>
    </row>
    <row r="14617" spans="4:4">
      <c r="D14617" s="16"/>
    </row>
    <row r="14618" spans="4:4">
      <c r="D14618" s="16"/>
    </row>
    <row r="14619" spans="4:4">
      <c r="D14619" s="16"/>
    </row>
    <row r="14620" spans="4:4">
      <c r="D14620" s="16"/>
    </row>
    <row r="14621" spans="4:4">
      <c r="D14621" s="16"/>
    </row>
    <row r="14622" spans="4:4">
      <c r="D14622" s="16"/>
    </row>
    <row r="14623" spans="4:4">
      <c r="D14623" s="16"/>
    </row>
    <row r="14624" spans="4:4">
      <c r="D14624" s="16"/>
    </row>
    <row r="14625" spans="4:4">
      <c r="D14625" s="16"/>
    </row>
    <row r="14626" spans="4:4">
      <c r="D14626" s="16"/>
    </row>
    <row r="14627" spans="4:4">
      <c r="D14627" s="16"/>
    </row>
    <row r="14628" spans="4:4">
      <c r="D14628" s="16"/>
    </row>
    <row r="14629" spans="4:4">
      <c r="D14629" s="16"/>
    </row>
    <row r="14630" spans="4:4">
      <c r="D14630" s="16"/>
    </row>
    <row r="14631" spans="4:4">
      <c r="D14631" s="16"/>
    </row>
    <row r="14632" spans="4:4">
      <c r="D14632" s="16"/>
    </row>
    <row r="14633" spans="4:4">
      <c r="D14633" s="16"/>
    </row>
    <row r="14634" spans="4:4">
      <c r="D14634" s="16"/>
    </row>
    <row r="14635" spans="4:4">
      <c r="D14635" s="16"/>
    </row>
    <row r="14636" spans="4:4">
      <c r="D14636" s="16"/>
    </row>
    <row r="14637" spans="4:4">
      <c r="D14637" s="16"/>
    </row>
    <row r="14638" spans="4:4">
      <c r="D14638" s="16"/>
    </row>
    <row r="14639" spans="4:4">
      <c r="D14639" s="16"/>
    </row>
    <row r="14640" spans="4:4">
      <c r="D14640" s="16"/>
    </row>
    <row r="14641" spans="4:4">
      <c r="D14641" s="16"/>
    </row>
    <row r="14642" spans="4:4">
      <c r="D14642" s="16"/>
    </row>
    <row r="14643" spans="4:4">
      <c r="D14643" s="16"/>
    </row>
    <row r="14644" spans="4:4">
      <c r="D14644" s="16"/>
    </row>
    <row r="14645" spans="4:4">
      <c r="D14645" s="16"/>
    </row>
    <row r="14646" spans="4:4">
      <c r="D14646" s="16"/>
    </row>
    <row r="14647" spans="4:4">
      <c r="D14647" s="16"/>
    </row>
    <row r="14648" spans="4:4">
      <c r="D14648" s="16"/>
    </row>
    <row r="14649" spans="4:4">
      <c r="D14649" s="16"/>
    </row>
    <row r="14650" spans="4:4">
      <c r="D14650" s="16"/>
    </row>
    <row r="14651" spans="4:4">
      <c r="D14651" s="16"/>
    </row>
    <row r="14652" spans="4:4">
      <c r="D14652" s="16"/>
    </row>
    <row r="14653" spans="4:4">
      <c r="D14653" s="16"/>
    </row>
    <row r="14654" spans="4:4">
      <c r="D14654" s="16"/>
    </row>
    <row r="14655" spans="4:4">
      <c r="D14655" s="16"/>
    </row>
    <row r="14656" spans="4:4">
      <c r="D14656" s="16"/>
    </row>
    <row r="14657" spans="4:4">
      <c r="D14657" s="16"/>
    </row>
    <row r="14658" spans="4:4">
      <c r="D14658" s="16"/>
    </row>
    <row r="14659" spans="4:4">
      <c r="D14659" s="16"/>
    </row>
    <row r="14660" spans="4:4">
      <c r="D14660" s="16"/>
    </row>
    <row r="14661" spans="4:4">
      <c r="D14661" s="16"/>
    </row>
    <row r="14662" spans="4:4">
      <c r="D14662" s="16"/>
    </row>
    <row r="14663" spans="4:4">
      <c r="D14663" s="16"/>
    </row>
    <row r="14664" spans="4:4">
      <c r="D14664" s="16"/>
    </row>
    <row r="14665" spans="4:4">
      <c r="D14665" s="16"/>
    </row>
    <row r="14666" spans="4:4">
      <c r="D14666" s="16"/>
    </row>
    <row r="14667" spans="4:4">
      <c r="D14667" s="16"/>
    </row>
    <row r="14668" spans="4:4">
      <c r="D14668" s="16"/>
    </row>
    <row r="14669" spans="4:4">
      <c r="D14669" s="16"/>
    </row>
    <row r="14670" spans="4:4">
      <c r="D14670" s="16"/>
    </row>
    <row r="14671" spans="4:4">
      <c r="D14671" s="16"/>
    </row>
    <row r="14672" spans="4:4">
      <c r="D14672" s="16"/>
    </row>
    <row r="14673" spans="4:4">
      <c r="D14673" s="16"/>
    </row>
    <row r="14674" spans="4:4">
      <c r="D14674" s="16"/>
    </row>
    <row r="14675" spans="4:4">
      <c r="D14675" s="16"/>
    </row>
    <row r="14676" spans="4:4">
      <c r="D14676" s="16"/>
    </row>
    <row r="14677" spans="4:4">
      <c r="D14677" s="16"/>
    </row>
    <row r="14678" spans="4:4">
      <c r="D14678" s="16"/>
    </row>
    <row r="14679" spans="4:4">
      <c r="D14679" s="16"/>
    </row>
    <row r="14680" spans="4:4">
      <c r="D14680" s="16"/>
    </row>
    <row r="14681" spans="4:4">
      <c r="D14681" s="16"/>
    </row>
    <row r="14682" spans="4:4">
      <c r="D14682" s="16"/>
    </row>
    <row r="14683" spans="4:4">
      <c r="D14683" s="16"/>
    </row>
    <row r="14684" spans="4:4">
      <c r="D14684" s="16"/>
    </row>
    <row r="14685" spans="4:4">
      <c r="D14685" s="16"/>
    </row>
    <row r="14686" spans="4:4">
      <c r="D14686" s="16"/>
    </row>
    <row r="14687" spans="4:4">
      <c r="D14687" s="16"/>
    </row>
    <row r="14688" spans="4:4">
      <c r="D14688" s="16"/>
    </row>
    <row r="14689" spans="4:4">
      <c r="D14689" s="16"/>
    </row>
    <row r="14690" spans="4:4">
      <c r="D14690" s="16"/>
    </row>
    <row r="14691" spans="4:4">
      <c r="D14691" s="16"/>
    </row>
    <row r="14692" spans="4:4">
      <c r="D14692" s="16"/>
    </row>
    <row r="14693" spans="4:4">
      <c r="D14693" s="16"/>
    </row>
    <row r="14694" spans="4:4">
      <c r="D14694" s="16"/>
    </row>
    <row r="14695" spans="4:4">
      <c r="D14695" s="16"/>
    </row>
    <row r="14696" spans="4:4">
      <c r="D14696" s="16"/>
    </row>
    <row r="14697" spans="4:4">
      <c r="D14697" s="16"/>
    </row>
    <row r="14698" spans="4:4">
      <c r="D14698" s="16"/>
    </row>
    <row r="14699" spans="4:4">
      <c r="D14699" s="16"/>
    </row>
    <row r="14700" spans="4:4">
      <c r="D14700" s="16"/>
    </row>
    <row r="14701" spans="4:4">
      <c r="D14701" s="16"/>
    </row>
    <row r="14702" spans="4:4">
      <c r="D14702" s="16"/>
    </row>
    <row r="14703" spans="4:4">
      <c r="D14703" s="16"/>
    </row>
    <row r="14704" spans="4:4">
      <c r="D14704" s="16"/>
    </row>
    <row r="14705" spans="4:4">
      <c r="D14705" s="16"/>
    </row>
    <row r="14706" spans="4:4">
      <c r="D14706" s="16"/>
    </row>
    <row r="14707" spans="4:4">
      <c r="D14707" s="16"/>
    </row>
    <row r="14708" spans="4:4">
      <c r="D14708" s="16"/>
    </row>
    <row r="14709" spans="4:4">
      <c r="D14709" s="16"/>
    </row>
    <row r="14710" spans="4:4">
      <c r="D14710" s="16"/>
    </row>
    <row r="14711" spans="4:4">
      <c r="D14711" s="16"/>
    </row>
    <row r="14712" spans="4:4">
      <c r="D14712" s="16"/>
    </row>
    <row r="14713" spans="4:4">
      <c r="D14713" s="16"/>
    </row>
    <row r="14714" spans="4:4">
      <c r="D14714" s="16"/>
    </row>
    <row r="14715" spans="4:4">
      <c r="D14715" s="16"/>
    </row>
    <row r="14716" spans="4:4">
      <c r="D14716" s="16"/>
    </row>
    <row r="14717" spans="4:4">
      <c r="D14717" s="16"/>
    </row>
    <row r="14718" spans="4:4">
      <c r="D14718" s="16"/>
    </row>
    <row r="14719" spans="4:4">
      <c r="D14719" s="16"/>
    </row>
    <row r="14720" spans="4:4">
      <c r="D14720" s="16"/>
    </row>
    <row r="14721" spans="4:4">
      <c r="D14721" s="16"/>
    </row>
    <row r="14722" spans="4:4">
      <c r="D14722" s="16"/>
    </row>
    <row r="14723" spans="4:4">
      <c r="D14723" s="16"/>
    </row>
    <row r="14724" spans="4:4">
      <c r="D14724" s="16"/>
    </row>
    <row r="14725" spans="4:4">
      <c r="D14725" s="16"/>
    </row>
    <row r="14726" spans="4:4">
      <c r="D14726" s="16"/>
    </row>
    <row r="14727" spans="4:4">
      <c r="D14727" s="16"/>
    </row>
    <row r="14728" spans="4:4">
      <c r="D14728" s="16"/>
    </row>
    <row r="14729" spans="4:4">
      <c r="D14729" s="16"/>
    </row>
    <row r="14730" spans="4:4">
      <c r="D14730" s="16"/>
    </row>
    <row r="14731" spans="4:4">
      <c r="D14731" s="16"/>
    </row>
    <row r="14732" spans="4:4">
      <c r="D14732" s="16"/>
    </row>
    <row r="14733" spans="4:4">
      <c r="D14733" s="16"/>
    </row>
    <row r="14734" spans="4:4">
      <c r="D14734" s="16"/>
    </row>
    <row r="14735" spans="4:4">
      <c r="D14735" s="16"/>
    </row>
    <row r="14736" spans="4:4">
      <c r="D14736" s="16"/>
    </row>
    <row r="14737" spans="4:4">
      <c r="D14737" s="16"/>
    </row>
    <row r="14738" spans="4:4">
      <c r="D14738" s="16"/>
    </row>
    <row r="14739" spans="4:4">
      <c r="D14739" s="16"/>
    </row>
    <row r="14740" spans="4:4">
      <c r="D14740" s="16"/>
    </row>
    <row r="14741" spans="4:4">
      <c r="D14741" s="16"/>
    </row>
    <row r="14742" spans="4:4">
      <c r="D14742" s="16"/>
    </row>
    <row r="14743" spans="4:4">
      <c r="D14743" s="16"/>
    </row>
    <row r="14744" spans="4:4">
      <c r="D14744" s="16"/>
    </row>
    <row r="14745" spans="4:4">
      <c r="D14745" s="16"/>
    </row>
    <row r="14746" spans="4:4">
      <c r="D14746" s="16"/>
    </row>
    <row r="14747" spans="4:4">
      <c r="D14747" s="16"/>
    </row>
    <row r="14748" spans="4:4">
      <c r="D14748" s="16"/>
    </row>
    <row r="14749" spans="4:4">
      <c r="D14749" s="16"/>
    </row>
    <row r="14750" spans="4:4">
      <c r="D14750" s="16"/>
    </row>
    <row r="14751" spans="4:4">
      <c r="D14751" s="16"/>
    </row>
    <row r="14752" spans="4:4">
      <c r="D14752" s="16"/>
    </row>
    <row r="14753" spans="4:4">
      <c r="D14753" s="16"/>
    </row>
    <row r="14754" spans="4:4">
      <c r="D14754" s="16"/>
    </row>
    <row r="14755" spans="4:4">
      <c r="D14755" s="16"/>
    </row>
    <row r="14756" spans="4:4">
      <c r="D14756" s="16"/>
    </row>
    <row r="14757" spans="4:4">
      <c r="D14757" s="16"/>
    </row>
    <row r="14758" spans="4:4">
      <c r="D14758" s="16"/>
    </row>
    <row r="14759" spans="4:4">
      <c r="D14759" s="16"/>
    </row>
    <row r="14760" spans="4:4">
      <c r="D14760" s="16"/>
    </row>
    <row r="14761" spans="4:4">
      <c r="D14761" s="16"/>
    </row>
    <row r="14762" spans="4:4">
      <c r="D14762" s="16"/>
    </row>
    <row r="14763" spans="4:4">
      <c r="D14763" s="16"/>
    </row>
    <row r="14764" spans="4:4">
      <c r="D14764" s="16"/>
    </row>
    <row r="14765" spans="4:4">
      <c r="D14765" s="16"/>
    </row>
    <row r="14766" spans="4:4">
      <c r="D14766" s="16"/>
    </row>
    <row r="14767" spans="4:4">
      <c r="D14767" s="16"/>
    </row>
    <row r="14768" spans="4:4">
      <c r="D14768" s="16"/>
    </row>
    <row r="14769" spans="4:4">
      <c r="D14769" s="16"/>
    </row>
    <row r="14770" spans="4:4">
      <c r="D14770" s="16"/>
    </row>
    <row r="14771" spans="4:4">
      <c r="D14771" s="16"/>
    </row>
    <row r="14772" spans="4:4">
      <c r="D14772" s="16"/>
    </row>
    <row r="14773" spans="4:4">
      <c r="D14773" s="16"/>
    </row>
    <row r="14774" spans="4:4">
      <c r="D14774" s="16"/>
    </row>
    <row r="14775" spans="4:4">
      <c r="D14775" s="16"/>
    </row>
    <row r="14776" spans="4:4">
      <c r="D14776" s="16"/>
    </row>
    <row r="14777" spans="4:4">
      <c r="D14777" s="16"/>
    </row>
    <row r="14778" spans="4:4">
      <c r="D14778" s="16"/>
    </row>
    <row r="14779" spans="4:4">
      <c r="D14779" s="16"/>
    </row>
    <row r="14780" spans="4:4">
      <c r="D14780" s="16"/>
    </row>
    <row r="14781" spans="4:4">
      <c r="D14781" s="16"/>
    </row>
    <row r="14782" spans="4:4">
      <c r="D14782" s="16"/>
    </row>
    <row r="14783" spans="4:4">
      <c r="D14783" s="16"/>
    </row>
    <row r="14784" spans="4:4">
      <c r="D14784" s="16"/>
    </row>
    <row r="14785" spans="4:4">
      <c r="D14785" s="16"/>
    </row>
    <row r="14786" spans="4:4">
      <c r="D14786" s="16"/>
    </row>
    <row r="14787" spans="4:4">
      <c r="D14787" s="16"/>
    </row>
    <row r="14788" spans="4:4">
      <c r="D14788" s="16"/>
    </row>
    <row r="14789" spans="4:4">
      <c r="D14789" s="16"/>
    </row>
    <row r="14790" spans="4:4">
      <c r="D14790" s="16"/>
    </row>
    <row r="14791" spans="4:4">
      <c r="D14791" s="16"/>
    </row>
    <row r="14792" spans="4:4">
      <c r="D14792" s="16"/>
    </row>
    <row r="14793" spans="4:4">
      <c r="D14793" s="16"/>
    </row>
    <row r="14794" spans="4:4">
      <c r="D14794" s="16"/>
    </row>
    <row r="14795" spans="4:4">
      <c r="D14795" s="16"/>
    </row>
    <row r="14796" spans="4:4">
      <c r="D14796" s="16"/>
    </row>
    <row r="14797" spans="4:4">
      <c r="D14797" s="16"/>
    </row>
    <row r="14798" spans="4:4">
      <c r="D14798" s="16"/>
    </row>
    <row r="14799" spans="4:4">
      <c r="D14799" s="16"/>
    </row>
    <row r="14800" spans="4:4">
      <c r="D14800" s="16"/>
    </row>
    <row r="14801" spans="4:4">
      <c r="D14801" s="16"/>
    </row>
    <row r="14802" spans="4:4">
      <c r="D14802" s="16"/>
    </row>
    <row r="14803" spans="4:4">
      <c r="D14803" s="16"/>
    </row>
    <row r="14804" spans="4:4">
      <c r="D14804" s="16"/>
    </row>
    <row r="14805" spans="4:4">
      <c r="D14805" s="16"/>
    </row>
    <row r="14806" spans="4:4">
      <c r="D14806" s="16"/>
    </row>
    <row r="14807" spans="4:4">
      <c r="D14807" s="16"/>
    </row>
    <row r="14808" spans="4:4">
      <c r="D14808" s="16"/>
    </row>
    <row r="14809" spans="4:4">
      <c r="D14809" s="16"/>
    </row>
    <row r="14810" spans="4:4">
      <c r="D14810" s="16"/>
    </row>
    <row r="14811" spans="4:4">
      <c r="D14811" s="16"/>
    </row>
    <row r="14812" spans="4:4">
      <c r="D14812" s="16"/>
    </row>
    <row r="14813" spans="4:4">
      <c r="D14813" s="16"/>
    </row>
    <row r="14814" spans="4:4">
      <c r="D14814" s="16"/>
    </row>
    <row r="14815" spans="4:4">
      <c r="D14815" s="16"/>
    </row>
    <row r="14816" spans="4:4">
      <c r="D14816" s="16"/>
    </row>
    <row r="14817" spans="4:4">
      <c r="D14817" s="16"/>
    </row>
    <row r="14818" spans="4:4">
      <c r="D14818" s="16"/>
    </row>
    <row r="14819" spans="4:4">
      <c r="D14819" s="16"/>
    </row>
    <row r="14820" spans="4:4">
      <c r="D14820" s="16"/>
    </row>
    <row r="14821" spans="4:4">
      <c r="D14821" s="16"/>
    </row>
    <row r="14822" spans="4:4">
      <c r="D14822" s="16"/>
    </row>
    <row r="14823" spans="4:4">
      <c r="D14823" s="16"/>
    </row>
    <row r="14824" spans="4:4">
      <c r="D14824" s="16"/>
    </row>
    <row r="14825" spans="4:4">
      <c r="D14825" s="16"/>
    </row>
    <row r="14826" spans="4:4">
      <c r="D14826" s="16"/>
    </row>
    <row r="14827" spans="4:4">
      <c r="D14827" s="16"/>
    </row>
    <row r="14828" spans="4:4">
      <c r="D14828" s="16"/>
    </row>
    <row r="14829" spans="4:4">
      <c r="D14829" s="16"/>
    </row>
    <row r="14830" spans="4:4">
      <c r="D14830" s="16"/>
    </row>
    <row r="14831" spans="4:4">
      <c r="D14831" s="16"/>
    </row>
    <row r="14832" spans="4:4">
      <c r="D14832" s="16"/>
    </row>
    <row r="14833" spans="4:4">
      <c r="D14833" s="16"/>
    </row>
    <row r="14834" spans="4:4">
      <c r="D14834" s="16"/>
    </row>
    <row r="14835" spans="4:4">
      <c r="D14835" s="16"/>
    </row>
    <row r="14836" spans="4:4">
      <c r="D14836" s="16"/>
    </row>
    <row r="14837" spans="4:4">
      <c r="D14837" s="16"/>
    </row>
    <row r="14838" spans="4:4">
      <c r="D14838" s="16"/>
    </row>
    <row r="14839" spans="4:4">
      <c r="D14839" s="16"/>
    </row>
    <row r="14840" spans="4:4">
      <c r="D14840" s="16"/>
    </row>
    <row r="14841" spans="4:4">
      <c r="D14841" s="16"/>
    </row>
    <row r="14842" spans="4:4">
      <c r="D14842" s="16"/>
    </row>
    <row r="14843" spans="4:4">
      <c r="D14843" s="16"/>
    </row>
    <row r="14844" spans="4:4">
      <c r="D14844" s="16"/>
    </row>
    <row r="14845" spans="4:4">
      <c r="D14845" s="16"/>
    </row>
    <row r="14846" spans="4:4">
      <c r="D14846" s="16"/>
    </row>
    <row r="14847" spans="4:4">
      <c r="D14847" s="16"/>
    </row>
    <row r="14848" spans="4:4">
      <c r="D14848" s="16"/>
    </row>
    <row r="14849" spans="4:4">
      <c r="D14849" s="16"/>
    </row>
    <row r="14850" spans="4:4">
      <c r="D14850" s="16"/>
    </row>
    <row r="14851" spans="4:4">
      <c r="D14851" s="16"/>
    </row>
    <row r="14852" spans="4:4">
      <c r="D14852" s="16"/>
    </row>
    <row r="14853" spans="4:4">
      <c r="D14853" s="16"/>
    </row>
    <row r="14854" spans="4:4">
      <c r="D14854" s="16"/>
    </row>
    <row r="14855" spans="4:4">
      <c r="D14855" s="16"/>
    </row>
    <row r="14856" spans="4:4">
      <c r="D14856" s="16"/>
    </row>
    <row r="14857" spans="4:4">
      <c r="D14857" s="16"/>
    </row>
    <row r="14858" spans="4:4">
      <c r="D14858" s="16"/>
    </row>
    <row r="14859" spans="4:4">
      <c r="D14859" s="16"/>
    </row>
    <row r="14860" spans="4:4">
      <c r="D14860" s="16"/>
    </row>
    <row r="14861" spans="4:4">
      <c r="D14861" s="16"/>
    </row>
    <row r="14862" spans="4:4">
      <c r="D14862" s="16"/>
    </row>
    <row r="14863" spans="4:4">
      <c r="D14863" s="16"/>
    </row>
    <row r="14864" spans="4:4">
      <c r="D14864" s="16"/>
    </row>
    <row r="14865" spans="4:4">
      <c r="D14865" s="16"/>
    </row>
    <row r="14866" spans="4:4">
      <c r="D14866" s="16"/>
    </row>
    <row r="14867" spans="4:4">
      <c r="D14867" s="16"/>
    </row>
    <row r="14868" spans="4:4">
      <c r="D14868" s="16"/>
    </row>
    <row r="14869" spans="4:4">
      <c r="D14869" s="16"/>
    </row>
    <row r="14870" spans="4:4">
      <c r="D14870" s="16"/>
    </row>
    <row r="14871" spans="4:4">
      <c r="D14871" s="16"/>
    </row>
    <row r="14872" spans="4:4">
      <c r="D14872" s="16"/>
    </row>
    <row r="14873" spans="4:4">
      <c r="D14873" s="16"/>
    </row>
    <row r="14874" spans="4:4">
      <c r="D14874" s="16"/>
    </row>
    <row r="14875" spans="4:4">
      <c r="D14875" s="16"/>
    </row>
    <row r="14876" spans="4:4">
      <c r="D14876" s="16"/>
    </row>
    <row r="14877" spans="4:4">
      <c r="D14877" s="16"/>
    </row>
    <row r="14878" spans="4:4">
      <c r="D14878" s="16"/>
    </row>
    <row r="14879" spans="4:4">
      <c r="D14879" s="16"/>
    </row>
    <row r="14880" spans="4:4">
      <c r="D14880" s="16"/>
    </row>
    <row r="14881" spans="4:4">
      <c r="D14881" s="16"/>
    </row>
    <row r="14882" spans="4:4">
      <c r="D14882" s="16"/>
    </row>
    <row r="14883" spans="4:4">
      <c r="D14883" s="16"/>
    </row>
    <row r="14884" spans="4:4">
      <c r="D14884" s="16"/>
    </row>
    <row r="14885" spans="4:4">
      <c r="D14885" s="16"/>
    </row>
    <row r="14886" spans="4:4">
      <c r="D14886" s="16"/>
    </row>
    <row r="14887" spans="4:4">
      <c r="D14887" s="16"/>
    </row>
    <row r="14888" spans="4:4">
      <c r="D14888" s="16"/>
    </row>
    <row r="14889" spans="4:4">
      <c r="D14889" s="16"/>
    </row>
    <row r="14890" spans="4:4">
      <c r="D14890" s="16"/>
    </row>
    <row r="14891" spans="4:4">
      <c r="D14891" s="16"/>
    </row>
    <row r="14892" spans="4:4">
      <c r="D14892" s="16"/>
    </row>
    <row r="14893" spans="4:4">
      <c r="D14893" s="16"/>
    </row>
    <row r="14894" spans="4:4">
      <c r="D14894" s="16"/>
    </row>
    <row r="14895" spans="4:4">
      <c r="D14895" s="16"/>
    </row>
    <row r="14896" spans="4:4">
      <c r="D14896" s="16"/>
    </row>
    <row r="14897" spans="4:4">
      <c r="D14897" s="16"/>
    </row>
    <row r="14898" spans="4:4">
      <c r="D14898" s="16"/>
    </row>
    <row r="14899" spans="4:4">
      <c r="D14899" s="16"/>
    </row>
    <row r="14900" spans="4:4">
      <c r="D14900" s="16"/>
    </row>
    <row r="14901" spans="4:4">
      <c r="D14901" s="16"/>
    </row>
    <row r="14902" spans="4:4">
      <c r="D14902" s="16"/>
    </row>
    <row r="14903" spans="4:4">
      <c r="D14903" s="16"/>
    </row>
    <row r="14904" spans="4:4">
      <c r="D14904" s="16"/>
    </row>
    <row r="14905" spans="4:4">
      <c r="D14905" s="16"/>
    </row>
    <row r="14906" spans="4:4">
      <c r="D14906" s="16"/>
    </row>
    <row r="14907" spans="4:4">
      <c r="D14907" s="16"/>
    </row>
    <row r="14908" spans="4:4">
      <c r="D14908" s="16"/>
    </row>
    <row r="14909" spans="4:4">
      <c r="D14909" s="16"/>
    </row>
    <row r="14910" spans="4:4">
      <c r="D14910" s="16"/>
    </row>
    <row r="14911" spans="4:4">
      <c r="D14911" s="16"/>
    </row>
    <row r="14912" spans="4:4">
      <c r="D14912" s="16"/>
    </row>
    <row r="14913" spans="4:4">
      <c r="D14913" s="16"/>
    </row>
    <row r="14914" spans="4:4">
      <c r="D14914" s="16"/>
    </row>
    <row r="14915" spans="4:4">
      <c r="D14915" s="16"/>
    </row>
    <row r="14916" spans="4:4">
      <c r="D14916" s="16"/>
    </row>
    <row r="14917" spans="4:4">
      <c r="D14917" s="16"/>
    </row>
    <row r="14918" spans="4:4">
      <c r="D14918" s="16"/>
    </row>
    <row r="14919" spans="4:4">
      <c r="D14919" s="16"/>
    </row>
    <row r="14920" spans="4:4">
      <c r="D14920" s="16"/>
    </row>
    <row r="14921" spans="4:4">
      <c r="D14921" s="16"/>
    </row>
    <row r="14922" spans="4:4">
      <c r="D14922" s="16"/>
    </row>
    <row r="14923" spans="4:4">
      <c r="D14923" s="16"/>
    </row>
    <row r="14924" spans="4:4">
      <c r="D14924" s="16"/>
    </row>
    <row r="14925" spans="4:4">
      <c r="D14925" s="16"/>
    </row>
    <row r="14926" spans="4:4">
      <c r="D14926" s="16"/>
    </row>
    <row r="14927" spans="4:4">
      <c r="D14927" s="16"/>
    </row>
    <row r="14928" spans="4:4">
      <c r="D14928" s="16"/>
    </row>
    <row r="14929" spans="4:4">
      <c r="D14929" s="16"/>
    </row>
    <row r="14930" spans="4:4">
      <c r="D14930" s="16"/>
    </row>
    <row r="14931" spans="4:4">
      <c r="D14931" s="16"/>
    </row>
    <row r="14932" spans="4:4">
      <c r="D14932" s="16"/>
    </row>
    <row r="14933" spans="4:4">
      <c r="D14933" s="16"/>
    </row>
    <row r="14934" spans="4:4">
      <c r="D14934" s="16"/>
    </row>
    <row r="14935" spans="4:4">
      <c r="D14935" s="16"/>
    </row>
    <row r="14936" spans="4:4">
      <c r="D14936" s="16"/>
    </row>
    <row r="14937" spans="4:4">
      <c r="D14937" s="16"/>
    </row>
    <row r="14938" spans="4:4">
      <c r="D14938" s="16"/>
    </row>
    <row r="14939" spans="4:4">
      <c r="D14939" s="16"/>
    </row>
    <row r="14940" spans="4:4">
      <c r="D14940" s="16"/>
    </row>
    <row r="14941" spans="4:4">
      <c r="D14941" s="16"/>
    </row>
    <row r="14942" spans="4:4">
      <c r="D14942" s="16"/>
    </row>
    <row r="14943" spans="4:4">
      <c r="D14943" s="16"/>
    </row>
    <row r="14944" spans="4:4">
      <c r="D14944" s="16"/>
    </row>
    <row r="14945" spans="4:4">
      <c r="D14945" s="16"/>
    </row>
    <row r="14946" spans="4:4">
      <c r="D14946" s="16"/>
    </row>
    <row r="14947" spans="4:4">
      <c r="D14947" s="16"/>
    </row>
    <row r="14948" spans="4:4">
      <c r="D14948" s="16"/>
    </row>
    <row r="14949" spans="4:4">
      <c r="D14949" s="16"/>
    </row>
    <row r="14950" spans="4:4">
      <c r="D14950" s="16"/>
    </row>
    <row r="14951" spans="4:4">
      <c r="D14951" s="16"/>
    </row>
    <row r="14952" spans="4:4">
      <c r="D14952" s="16"/>
    </row>
    <row r="14953" spans="4:4">
      <c r="D14953" s="16"/>
    </row>
    <row r="14954" spans="4:4">
      <c r="D14954" s="16"/>
    </row>
    <row r="14955" spans="4:4">
      <c r="D14955" s="16"/>
    </row>
    <row r="14956" spans="4:4">
      <c r="D14956" s="16"/>
    </row>
    <row r="14957" spans="4:4">
      <c r="D14957" s="16"/>
    </row>
    <row r="14958" spans="4:4">
      <c r="D14958" s="16"/>
    </row>
    <row r="14959" spans="4:4">
      <c r="D14959" s="16"/>
    </row>
    <row r="14960" spans="4:4">
      <c r="D14960" s="16"/>
    </row>
    <row r="14961" spans="4:4">
      <c r="D14961" s="16"/>
    </row>
    <row r="14962" spans="4:4">
      <c r="D14962" s="16"/>
    </row>
    <row r="14963" spans="4:4">
      <c r="D14963" s="16"/>
    </row>
    <row r="14964" spans="4:4">
      <c r="D14964" s="16"/>
    </row>
    <row r="14965" spans="4:4">
      <c r="D14965" s="16"/>
    </row>
    <row r="14966" spans="4:4">
      <c r="D14966" s="16"/>
    </row>
    <row r="14967" spans="4:4">
      <c r="D14967" s="16"/>
    </row>
    <row r="14968" spans="4:4">
      <c r="D14968" s="16"/>
    </row>
    <row r="14969" spans="4:4">
      <c r="D14969" s="16"/>
    </row>
    <row r="14970" spans="4:4">
      <c r="D14970" s="16"/>
    </row>
    <row r="14971" spans="4:4">
      <c r="D14971" s="16"/>
    </row>
    <row r="14972" spans="4:4">
      <c r="D14972" s="16"/>
    </row>
    <row r="14973" spans="4:4">
      <c r="D14973" s="16"/>
    </row>
    <row r="14974" spans="4:4">
      <c r="D14974" s="16"/>
    </row>
    <row r="14975" spans="4:4">
      <c r="D14975" s="16"/>
    </row>
    <row r="14976" spans="4:4">
      <c r="D14976" s="16"/>
    </row>
    <row r="14977" spans="4:4">
      <c r="D14977" s="16"/>
    </row>
    <row r="14978" spans="4:4">
      <c r="D14978" s="16"/>
    </row>
    <row r="14979" spans="4:4">
      <c r="D14979" s="16"/>
    </row>
    <row r="14980" spans="4:4">
      <c r="D14980" s="16"/>
    </row>
    <row r="14981" spans="4:4">
      <c r="D14981" s="16"/>
    </row>
    <row r="14982" spans="4:4">
      <c r="D14982" s="16"/>
    </row>
    <row r="14983" spans="4:4">
      <c r="D14983" s="16"/>
    </row>
    <row r="14984" spans="4:4">
      <c r="D14984" s="16"/>
    </row>
    <row r="14985" spans="4:4">
      <c r="D14985" s="16"/>
    </row>
    <row r="14986" spans="4:4">
      <c r="D14986" s="16"/>
    </row>
    <row r="14987" spans="4:4">
      <c r="D14987" s="16"/>
    </row>
    <row r="14988" spans="4:4">
      <c r="D14988" s="16"/>
    </row>
    <row r="14989" spans="4:4">
      <c r="D14989" s="16"/>
    </row>
    <row r="14990" spans="4:4">
      <c r="D14990" s="16"/>
    </row>
    <row r="14991" spans="4:4">
      <c r="D14991" s="16"/>
    </row>
    <row r="14992" spans="4:4">
      <c r="D14992" s="16"/>
    </row>
    <row r="14993" spans="4:4">
      <c r="D14993" s="16"/>
    </row>
    <row r="14994" spans="4:4">
      <c r="D14994" s="16"/>
    </row>
    <row r="14995" spans="4:4">
      <c r="D14995" s="16"/>
    </row>
    <row r="14996" spans="4:4">
      <c r="D14996" s="16"/>
    </row>
    <row r="14997" spans="4:4">
      <c r="D14997" s="16"/>
    </row>
    <row r="14998" spans="4:4">
      <c r="D14998" s="16"/>
    </row>
    <row r="14999" spans="4:4">
      <c r="D14999" s="16"/>
    </row>
    <row r="15000" spans="4:4">
      <c r="D15000" s="16"/>
    </row>
    <row r="15001" spans="4:4">
      <c r="D15001" s="16"/>
    </row>
    <row r="15002" spans="4:4">
      <c r="D15002" s="16"/>
    </row>
    <row r="15003" spans="4:4">
      <c r="D15003" s="16"/>
    </row>
    <row r="15004" spans="4:4">
      <c r="D15004" s="16"/>
    </row>
    <row r="15005" spans="4:4">
      <c r="D15005" s="16"/>
    </row>
    <row r="15006" spans="4:4">
      <c r="D15006" s="16"/>
    </row>
    <row r="15007" spans="4:4">
      <c r="D15007" s="16"/>
    </row>
    <row r="15008" spans="4:4">
      <c r="D15008" s="16"/>
    </row>
    <row r="15009" spans="4:4">
      <c r="D15009" s="16"/>
    </row>
    <row r="15010" spans="4:4">
      <c r="D15010" s="16"/>
    </row>
    <row r="15011" spans="4:4">
      <c r="D15011" s="16"/>
    </row>
    <row r="15012" spans="4:4">
      <c r="D15012" s="16"/>
    </row>
    <row r="15013" spans="4:4">
      <c r="D15013" s="16"/>
    </row>
    <row r="15014" spans="4:4">
      <c r="D15014" s="16"/>
    </row>
    <row r="15015" spans="4:4">
      <c r="D15015" s="16"/>
    </row>
    <row r="15016" spans="4:4">
      <c r="D15016" s="16"/>
    </row>
    <row r="15017" spans="4:4">
      <c r="D15017" s="16"/>
    </row>
    <row r="15018" spans="4:4">
      <c r="D15018" s="16"/>
    </row>
    <row r="15019" spans="4:4">
      <c r="D15019" s="16"/>
    </row>
    <row r="15020" spans="4:4">
      <c r="D15020" s="16"/>
    </row>
    <row r="15021" spans="4:4">
      <c r="D15021" s="16"/>
    </row>
    <row r="15022" spans="4:4">
      <c r="D15022" s="16"/>
    </row>
    <row r="15023" spans="4:4">
      <c r="D15023" s="16"/>
    </row>
    <row r="15024" spans="4:4">
      <c r="D15024" s="16"/>
    </row>
  </sheetData>
  <pageMargins left="0.7" right="0.7" top="0.75" bottom="0.75" header="0.3" footer="0.3"/>
  <drawing r:id="rId1"/>
  <extLst>
    <ext xmlns:x14="http://schemas.microsoft.com/office/spreadsheetml/2009/9/main" uri="{CCE6A557-97BC-4b89-ADB6-D9C93CAAB3DF}">
      <x14:dataValidations xmlns:xm="http://schemas.microsoft.com/office/excel/2006/main" count="29">
        <x14:dataValidation type="list" allowBlank="1" showInputMessage="1" showErrorMessage="1" xr:uid="{9F510F3D-8814-483A-8697-399D188C984A}">
          <x14:formula1>
            <xm:f>Options!$F$4:$F$5</xm:f>
          </x14:formula1>
          <xm:sqref>B9</xm:sqref>
        </x14:dataValidation>
        <x14:dataValidation type="list" allowBlank="1" showInputMessage="1" showErrorMessage="1" xr:uid="{B6D4757B-D9AA-40CF-A71F-6FCBD0EA2C54}">
          <x14:formula1>
            <xm:f>Options!$L$4:$L$5</xm:f>
          </x14:formula1>
          <xm:sqref>B24</xm:sqref>
        </x14:dataValidation>
        <x14:dataValidation type="list" allowBlank="1" showInputMessage="1" showErrorMessage="1" xr:uid="{AE65E172-2AD0-48F0-8409-3681F9DD3790}">
          <x14:formula1>
            <xm:f>Options!$B$4:$B$603</xm:f>
          </x14:formula1>
          <xm:sqref>B5</xm:sqref>
        </x14:dataValidation>
        <x14:dataValidation type="list" allowBlank="1" showInputMessage="1" showErrorMessage="1" xr:uid="{707FC79B-F5A2-47B6-904F-F79B0E6952A5}">
          <x14:formula1>
            <xm:f>Options!$A$4:$A$994</xm:f>
          </x14:formula1>
          <xm:sqref>B4</xm:sqref>
        </x14:dataValidation>
        <x14:dataValidation type="list" allowBlank="1" showInputMessage="1" showErrorMessage="1" xr:uid="{974458A3-5048-485C-9F51-0FC38259B727}">
          <x14:formula1>
            <xm:f>Options!$S$4:$S$6</xm:f>
          </x14:formula1>
          <xm:sqref>B6</xm:sqref>
        </x14:dataValidation>
        <x14:dataValidation type="list" allowBlank="1" showInputMessage="1" showErrorMessage="1" xr:uid="{80D2C0F2-4DBC-47F7-A1DF-676A3E2EB580}">
          <x14:formula1>
            <xm:f>IF($B$6=Options!$S$4,Options!$T$4,IF($B$6=Options!$S$5,Options!$U$4:$U$8,Options!$V$4:$V$53))</xm:f>
          </x14:formula1>
          <xm:sqref>B9</xm:sqref>
        </x14:dataValidation>
        <x14:dataValidation type="list" allowBlank="1" showInputMessage="1" showErrorMessage="1" xr:uid="{D0AFA0EE-242B-4993-B897-D791F9739D92}">
          <x14:formula1>
            <xm:f>Options!$E$4:$E$5</xm:f>
          </x14:formula1>
          <xm:sqref>B8</xm:sqref>
        </x14:dataValidation>
        <x14:dataValidation type="list" allowBlank="1" showInputMessage="1" showErrorMessage="1" xr:uid="{689E5B9D-0732-4908-8FAF-6AA709BA5B87}">
          <x14:formula1>
            <xm:f>Options!$C$4:$C$36</xm:f>
          </x14:formula1>
          <xm:sqref>B19</xm:sqref>
        </x14:dataValidation>
        <x14:dataValidation type="list" allowBlank="1" showInputMessage="1" showErrorMessage="1" xr:uid="{0EB8817A-660F-4399-9473-D8110195AF74}">
          <x14:formula1>
            <xm:f>Options!$I$4:$I$53</xm:f>
          </x14:formula1>
          <xm:sqref>B21</xm:sqref>
        </x14:dataValidation>
        <x14:dataValidation type="list" allowBlank="1" showInputMessage="1" showErrorMessage="1" xr:uid="{353CCB4E-3DD1-4B65-9051-65B6D07D126B}">
          <x14:formula1>
            <xm:f>Options!$J$4:$J$8</xm:f>
          </x14:formula1>
          <xm:sqref>B22</xm:sqref>
        </x14:dataValidation>
        <x14:dataValidation type="list" allowBlank="1" showInputMessage="1" showErrorMessage="1" xr:uid="{C79645F4-E438-4EF4-9B44-A3EA1DA95E23}">
          <x14:formula1>
            <xm:f>Options!$K$4:$K$31</xm:f>
          </x14:formula1>
          <xm:sqref>B23</xm:sqref>
        </x14:dataValidation>
        <x14:dataValidation type="list" allowBlank="1" showInputMessage="1" showErrorMessage="1" xr:uid="{01A61B2C-0DB9-470F-94E6-BF325A2409C5}">
          <x14:formula1>
            <xm:f>Options!$X$4</xm:f>
          </x14:formula1>
          <xm:sqref>B13</xm:sqref>
        </x14:dataValidation>
        <x14:dataValidation type="list" allowBlank="1" showInputMessage="1" showErrorMessage="1" xr:uid="{0CF5DD99-E0BB-46E7-96A1-E6525BC4A96A}">
          <x14:formula1>
            <xm:f>Options!$Y$4:$Y$5</xm:f>
          </x14:formula1>
          <xm:sqref>B14</xm:sqref>
        </x14:dataValidation>
        <x14:dataValidation type="list" allowBlank="1" showInputMessage="1" showErrorMessage="1" xr:uid="{2CD42BEA-0FB9-4AC5-B5D7-1408B4BC3586}">
          <x14:formula1>
            <xm:f>Options!$Z$4:$Z$74</xm:f>
          </x14:formula1>
          <xm:sqref>B15</xm:sqref>
        </x14:dataValidation>
        <x14:dataValidation type="list" allowBlank="1" showInputMessage="1" showErrorMessage="1" xr:uid="{E1E5C6B3-C35F-4291-B4DF-8DCC80157F25}">
          <x14:formula1>
            <xm:f>Options!$G$4:$G$5</xm:f>
          </x14:formula1>
          <xm:sqref>B12</xm:sqref>
        </x14:dataValidation>
        <x14:dataValidation type="list" allowBlank="1" showInputMessage="1" showErrorMessage="1" xr:uid="{2BB7424B-426A-405F-BD42-5AB9A54374D0}">
          <x14:formula1>
            <xm:f>IF($B$8=Options!$E$4,Options!$H$5:$H$6,Options!$H$4:$H$6)</xm:f>
          </x14:formula1>
          <xm:sqref>B17</xm:sqref>
        </x14:dataValidation>
        <x14:dataValidation type="list" allowBlank="1" showInputMessage="1" showErrorMessage="1" xr:uid="{44553CB4-5090-4538-9B91-31E2F4FBC7BC}">
          <x14:formula1>
            <xm:f>Options!$AE$4:$AE$103</xm:f>
          </x14:formula1>
          <xm:sqref>B18</xm:sqref>
        </x14:dataValidation>
        <x14:dataValidation type="list" allowBlank="1" showInputMessage="1" showErrorMessage="1" xr:uid="{7F825BEC-E09B-4A5C-979D-E808F978F34F}">
          <x14:formula1>
            <xm:f>Options!$D$4</xm:f>
          </x14:formula1>
          <xm:sqref>B20</xm:sqref>
        </x14:dataValidation>
        <x14:dataValidation type="list" allowBlank="1" showInputMessage="1" showErrorMessage="1" xr:uid="{7960D438-9314-4B83-B279-3B7FEC6102B6}">
          <x14:formula1>
            <xm:f>Options!$AB$4:$AB$5</xm:f>
          </x14:formula1>
          <xm:sqref>B10</xm:sqref>
        </x14:dataValidation>
        <x14:dataValidation type="list" allowBlank="1" showInputMessage="1" showErrorMessage="1" xr:uid="{17AE60AC-1349-49A2-B761-BBEB77DF4220}">
          <x14:formula1>
            <xm:f>IF($B$10=Options!$AB$4,Options!$AC$4,Options!$AD$4:$AD$183)</xm:f>
          </x14:formula1>
          <xm:sqref>B11</xm:sqref>
        </x14:dataValidation>
        <x14:dataValidation type="list" allowBlank="1" showInputMessage="1" showErrorMessage="1" xr:uid="{B62AE606-C682-4C61-AAA9-3D4EBCE6F51B}">
          <x14:formula1>
            <xm:f>IF($B$24=Options!$L$4,FINEX!$C$21,Options!$N$4:$N$16)</xm:f>
          </x14:formula1>
          <xm:sqref>B26</xm:sqref>
        </x14:dataValidation>
        <x14:dataValidation type="list" allowBlank="1" showInputMessage="1" showErrorMessage="1" xr:uid="{FA211872-0B6C-42B3-ABAB-23408158A329}">
          <x14:formula1>
            <xm:f>IF($B$24=Options!$L$4,Calculations!$C$172,Options!$M$4:$M$60)</xm:f>
          </x14:formula1>
          <xm:sqref>B25</xm:sqref>
        </x14:dataValidation>
        <x14:dataValidation type="list" allowBlank="1" showInputMessage="1" showErrorMessage="1" xr:uid="{D55841C6-04AE-420C-B81C-E70807967220}">
          <x14:formula1>
            <xm:f>IF($B$6=Options!$S$4,Options!$T$4,IF($B$6=Options!$S$5,Options!$U$4:$U$8,IF($B$8=Options!$E$4,Options!$W$4:$W$48,Options!$V$4:$V$53)))</xm:f>
          </x14:formula1>
          <xm:sqref>B7</xm:sqref>
        </x14:dataValidation>
        <x14:dataValidation type="list" allowBlank="1" showInputMessage="1" showErrorMessage="1" xr:uid="{BFAD4AE9-263F-4DAA-9F34-B58663D18820}">
          <x14:formula1>
            <xm:f>IF($B$8=Options!$E$4,Options!$AF$4,Options!$G$4:$G$5)</xm:f>
          </x14:formula1>
          <xm:sqref>B12</xm:sqref>
        </x14:dataValidation>
        <x14:dataValidation type="list" allowBlank="1" showInputMessage="1" showErrorMessage="1" xr:uid="{4553B469-C3B6-4640-B92E-4EB3B22CDEE1}">
          <x14:formula1>
            <xm:f>IF($B$24=Options!$L$4,FINEX!$C$17,Options!$AE$4:$AE$103)</xm:f>
          </x14:formula1>
          <xm:sqref>B27</xm:sqref>
        </x14:dataValidation>
        <x14:dataValidation type="list" allowBlank="1" showInputMessage="1" showErrorMessage="1" xr:uid="{A1B4F618-9CE4-4955-9BDA-DA32DE406120}">
          <x14:formula1>
            <xm:f>IF($B$24=Options!$L$4,FINEX!$C$18,Options!$P$4:$P$404)</xm:f>
          </x14:formula1>
          <xm:sqref>B28</xm:sqref>
        </x14:dataValidation>
        <x14:dataValidation type="list" allowBlank="1" showInputMessage="1" showErrorMessage="1" xr:uid="{8689FE4D-173C-4059-8DD2-6215DFF99F8D}">
          <x14:formula1>
            <xm:f>IF($B$24=Options!$L$4,FINEX!$C$19,Options!$Q$4:$Q$404)</xm:f>
          </x14:formula1>
          <xm:sqref>B29</xm:sqref>
        </x14:dataValidation>
        <x14:dataValidation type="list" allowBlank="1" showInputMessage="1" showErrorMessage="1" xr:uid="{BB7541BC-349A-47BC-B152-F451911F9247}">
          <x14:formula1>
            <xm:f>IF($B$24=Options!$L$4,Calculations!$D$172,Options!$R$4:$R$104)</xm:f>
          </x14:formula1>
          <xm:sqref>B30</xm:sqref>
        </x14:dataValidation>
        <x14:dataValidation type="list" allowBlank="1" showInputMessage="1" showErrorMessage="1" xr:uid="{A5DB6B92-34FB-48F7-A793-76F51EA0E25C}">
          <x14:formula1>
            <xm:f>Options!$AA$4:$AA$5</xm:f>
          </x14:formula1>
          <xm:sqref>B16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8B9CF-C1A9-476B-9666-30ECD3259EAE}">
  <sheetPr codeName="Sheet1"/>
  <dimension ref="A1:CN1256"/>
  <sheetViews>
    <sheetView zoomScale="55" zoomScaleNormal="55" workbookViewId="0">
      <selection activeCell="C15" sqref="C15"/>
    </sheetView>
  </sheetViews>
  <sheetFormatPr defaultRowHeight="18.75"/>
  <cols>
    <col min="1" max="1" width="46.8984375" bestFit="1" customWidth="1"/>
    <col min="2" max="2" width="16.8984375" customWidth="1"/>
    <col min="3" max="3" width="26.59765625" customWidth="1"/>
    <col min="4" max="4" width="13.3984375" customWidth="1"/>
    <col min="5" max="5" width="13.8984375" customWidth="1"/>
    <col min="6" max="6" width="26.19921875" customWidth="1"/>
    <col min="7" max="7" width="32.796875" bestFit="1" customWidth="1"/>
    <col min="8" max="8" width="24.8984375" bestFit="1" customWidth="1"/>
    <col min="9" max="9" width="19.19921875" bestFit="1" customWidth="1"/>
    <col min="10" max="10" width="29" bestFit="1" customWidth="1"/>
    <col min="11" max="11" width="16" bestFit="1" customWidth="1"/>
    <col min="12" max="12" width="15.59765625" bestFit="1" customWidth="1"/>
    <col min="13" max="13" width="27.09765625" bestFit="1" customWidth="1"/>
    <col min="14" max="14" width="37.3984375" bestFit="1" customWidth="1"/>
    <col min="15" max="15" width="21.3984375" bestFit="1" customWidth="1"/>
    <col min="16" max="16" width="14.296875" customWidth="1"/>
    <col min="17" max="17" width="27.3984375" bestFit="1" customWidth="1"/>
    <col min="18" max="18" width="20" customWidth="1"/>
    <col min="19" max="19" width="15.796875" customWidth="1"/>
    <col min="20" max="20" width="29.09765625" customWidth="1"/>
    <col min="21" max="21" width="24.8984375" customWidth="1"/>
    <col min="22" max="22" width="19.8984375" bestFit="1" customWidth="1"/>
    <col min="23" max="23" width="15.69921875" bestFit="1" customWidth="1"/>
    <col min="24" max="24" width="27.8984375" bestFit="1" customWidth="1"/>
    <col min="25" max="26" width="27.8984375" customWidth="1"/>
    <col min="52" max="53" width="18.59765625" bestFit="1" customWidth="1"/>
    <col min="54" max="54" width="19.296875" bestFit="1" customWidth="1"/>
    <col min="55" max="55" width="20" bestFit="1" customWidth="1"/>
    <col min="56" max="56" width="27.19921875" bestFit="1" customWidth="1"/>
    <col min="62" max="62" width="29.09765625" bestFit="1" customWidth="1"/>
    <col min="63" max="63" width="10.09765625" bestFit="1" customWidth="1"/>
    <col min="70" max="70" width="15.5" bestFit="1" customWidth="1"/>
    <col min="71" max="71" width="15.5" customWidth="1"/>
    <col min="72" max="72" width="9.3984375" bestFit="1" customWidth="1"/>
  </cols>
  <sheetData>
    <row r="1" spans="1:10" ht="21">
      <c r="A1" s="230" t="s">
        <v>1156</v>
      </c>
    </row>
    <row r="3" spans="1:10" s="37" customFormat="1">
      <c r="A3" s="37" t="s">
        <v>1014</v>
      </c>
      <c r="F3" s="47"/>
      <c r="G3" s="47"/>
      <c r="H3" s="47"/>
      <c r="I3" s="47"/>
      <c r="J3" s="47"/>
    </row>
    <row r="4" spans="1:10" s="20" customFormat="1">
      <c r="A4" t="s">
        <v>19</v>
      </c>
      <c r="B4" s="41">
        <f>'User Interface'!B4</f>
        <v>300</v>
      </c>
      <c r="C4" t="s">
        <v>20</v>
      </c>
      <c r="F4" s="50"/>
      <c r="G4" s="50"/>
      <c r="H4" s="50"/>
      <c r="I4" s="50"/>
      <c r="J4" s="50"/>
    </row>
    <row r="5" spans="1:10" s="20" customFormat="1">
      <c r="A5"/>
      <c r="B5" s="3">
        <f>(B4*1000)/(365.25)</f>
        <v>821.35523613963039</v>
      </c>
      <c r="C5" t="s">
        <v>1126</v>
      </c>
      <c r="F5" s="50"/>
      <c r="G5" s="50"/>
      <c r="H5" s="50"/>
      <c r="I5" s="50"/>
      <c r="J5" s="50"/>
    </row>
    <row r="6" spans="1:10" s="20" customFormat="1">
      <c r="A6"/>
      <c r="B6" s="4">
        <f>B5/24</f>
        <v>34.223134839151264</v>
      </c>
      <c r="C6" t="s">
        <v>22</v>
      </c>
      <c r="F6" s="50"/>
      <c r="G6" s="50"/>
      <c r="H6" s="50"/>
      <c r="I6" s="50"/>
      <c r="J6" s="50"/>
    </row>
    <row r="7" spans="1:10" s="20" customFormat="1">
      <c r="A7"/>
      <c r="B7" s="5">
        <f>(B6*1000)/(60*60)</f>
        <v>9.506426344208684</v>
      </c>
      <c r="C7" t="s">
        <v>26</v>
      </c>
      <c r="F7" s="50"/>
      <c r="G7" s="50"/>
      <c r="H7" s="50"/>
      <c r="I7" s="50"/>
      <c r="J7" s="50"/>
    </row>
    <row r="8" spans="1:10" s="20" customFormat="1">
      <c r="A8" t="s">
        <v>1051</v>
      </c>
      <c r="B8" s="41">
        <f>'User Interface'!B19</f>
        <v>0</v>
      </c>
      <c r="C8" t="s">
        <v>1056</v>
      </c>
      <c r="F8" s="50"/>
      <c r="G8" s="50"/>
      <c r="H8" s="50"/>
      <c r="I8" s="50"/>
      <c r="J8" s="50"/>
    </row>
    <row r="9" spans="1:10" s="20" customFormat="1">
      <c r="A9" t="s">
        <v>54</v>
      </c>
      <c r="B9" s="41">
        <f>'User Interface'!B21</f>
        <v>30</v>
      </c>
      <c r="C9" t="s">
        <v>9</v>
      </c>
      <c r="F9" s="50"/>
      <c r="G9" s="50"/>
      <c r="H9" s="50"/>
      <c r="I9" s="50"/>
      <c r="J9" s="50"/>
    </row>
    <row r="10" spans="1:10" s="20" customFormat="1">
      <c r="A10" t="s">
        <v>55</v>
      </c>
      <c r="B10">
        <f>B9*B4*1000</f>
        <v>9000000</v>
      </c>
      <c r="C10" t="s">
        <v>21</v>
      </c>
      <c r="F10" s="50"/>
      <c r="G10" s="50"/>
      <c r="H10" s="50"/>
      <c r="I10" s="50"/>
      <c r="J10" s="50"/>
    </row>
    <row r="11" spans="1:10" s="20" customFormat="1">
      <c r="A11" t="s">
        <v>95</v>
      </c>
      <c r="B11" s="41">
        <f>'User Interface'!$B$23</f>
        <v>2024</v>
      </c>
      <c r="C11"/>
      <c r="F11" s="50"/>
      <c r="G11" s="50"/>
      <c r="H11" s="50"/>
      <c r="I11" s="50"/>
      <c r="J11" s="50"/>
    </row>
    <row r="12" spans="1:10" s="20" customFormat="1">
      <c r="A12" t="s">
        <v>1015</v>
      </c>
      <c r="B12" s="41">
        <f>'User Interface'!$B$22</f>
        <v>1</v>
      </c>
      <c r="C12" t="s">
        <v>9</v>
      </c>
      <c r="F12" s="50"/>
      <c r="G12" s="50"/>
      <c r="H12" s="50"/>
      <c r="I12" s="50"/>
      <c r="J12" s="50"/>
    </row>
    <row r="14" spans="1:10">
      <c r="A14" t="s">
        <v>390</v>
      </c>
      <c r="B14" s="3">
        <f>B255</f>
        <v>103.97435897435896</v>
      </c>
      <c r="C14" t="s">
        <v>60</v>
      </c>
    </row>
    <row r="15" spans="1:10">
      <c r="A15" t="s">
        <v>452</v>
      </c>
      <c r="B15" s="6">
        <f>U242</f>
        <v>0.1501353521359399</v>
      </c>
      <c r="C15" t="s">
        <v>453</v>
      </c>
    </row>
    <row r="17" spans="1:3">
      <c r="A17" t="s">
        <v>521</v>
      </c>
      <c r="B17" s="4">
        <f>B562</f>
        <v>22.725892457964925</v>
      </c>
      <c r="C17" t="s">
        <v>2</v>
      </c>
    </row>
    <row r="18" spans="1:3">
      <c r="A18" t="s">
        <v>522</v>
      </c>
      <c r="B18" s="4">
        <f>B564</f>
        <v>40.823361849207572</v>
      </c>
      <c r="C18" t="s">
        <v>2</v>
      </c>
    </row>
    <row r="19" spans="1:3">
      <c r="A19" t="s">
        <v>524</v>
      </c>
      <c r="B19" s="4">
        <f>B18-B17</f>
        <v>18.097469391242647</v>
      </c>
      <c r="C19" t="s">
        <v>2</v>
      </c>
    </row>
    <row r="20" spans="1:3">
      <c r="A20" t="s">
        <v>644</v>
      </c>
      <c r="B20" s="41">
        <f>'User Interface'!B5</f>
        <v>300</v>
      </c>
      <c r="C20" t="s">
        <v>8</v>
      </c>
    </row>
    <row r="22" spans="1:3">
      <c r="A22" t="s">
        <v>884</v>
      </c>
      <c r="B22" s="5">
        <f>AE242</f>
        <v>1.2756302521008405</v>
      </c>
    </row>
    <row r="23" spans="1:3">
      <c r="A23" t="s">
        <v>443</v>
      </c>
      <c r="B23" s="5">
        <f>1/0.668</f>
        <v>1.4970059880239519</v>
      </c>
    </row>
    <row r="24" spans="1:3">
      <c r="A24" t="s">
        <v>444</v>
      </c>
      <c r="B24" s="5">
        <f>1/0.655</f>
        <v>1.5267175572519083</v>
      </c>
    </row>
    <row r="25" spans="1:3">
      <c r="A25" t="s">
        <v>418</v>
      </c>
      <c r="B25">
        <f>40*50</f>
        <v>2000</v>
      </c>
      <c r="C25" t="s">
        <v>4</v>
      </c>
    </row>
    <row r="26" spans="1:3">
      <c r="A26" t="s">
        <v>414</v>
      </c>
      <c r="B26" s="15">
        <f>$B$22*AC242</f>
        <v>73223.875257731095</v>
      </c>
      <c r="C26" t="s">
        <v>419</v>
      </c>
    </row>
    <row r="27" spans="1:3">
      <c r="B27" s="6">
        <f>B26/$B$25</f>
        <v>36.611937628865547</v>
      </c>
      <c r="C27" t="s">
        <v>5</v>
      </c>
    </row>
    <row r="28" spans="1:3">
      <c r="A28" t="s">
        <v>415</v>
      </c>
      <c r="B28" s="15">
        <f>$B$23*AF242</f>
        <v>98276.593068862261</v>
      </c>
      <c r="C28" t="s">
        <v>419</v>
      </c>
    </row>
    <row r="29" spans="1:3">
      <c r="B29" s="6">
        <f>B28/$B$25</f>
        <v>49.138296534431127</v>
      </c>
      <c r="C29" t="s">
        <v>5</v>
      </c>
    </row>
    <row r="30" spans="1:3">
      <c r="A30" t="s">
        <v>416</v>
      </c>
      <c r="B30" s="15">
        <f>$B$24*AH242</f>
        <v>99651.929358778609</v>
      </c>
      <c r="C30" t="s">
        <v>419</v>
      </c>
    </row>
    <row r="31" spans="1:3">
      <c r="B31" s="6">
        <f>B30/$B$25</f>
        <v>49.825964679389301</v>
      </c>
      <c r="C31" t="s">
        <v>5</v>
      </c>
    </row>
    <row r="32" spans="1:3">
      <c r="A32" t="s">
        <v>417</v>
      </c>
      <c r="B32" s="15">
        <f>$B$24*AJ242</f>
        <v>88723.290641221349</v>
      </c>
      <c r="C32" t="s">
        <v>419</v>
      </c>
    </row>
    <row r="33" spans="1:4" ht="19.5" customHeight="1">
      <c r="B33" s="6">
        <f>B32/$B$25</f>
        <v>44.361645320610677</v>
      </c>
      <c r="C33" t="s">
        <v>5</v>
      </c>
    </row>
    <row r="34" spans="1:4" ht="19.5" customHeight="1">
      <c r="A34" t="s">
        <v>831</v>
      </c>
      <c r="B34" s="15">
        <f>AL242*B23</f>
        <v>71502.370598802372</v>
      </c>
      <c r="C34" t="s">
        <v>419</v>
      </c>
    </row>
    <row r="35" spans="1:4" ht="19.5" customHeight="1">
      <c r="B35" s="6">
        <f>B34/$B$25</f>
        <v>35.751185299401186</v>
      </c>
      <c r="C35" t="s">
        <v>5</v>
      </c>
    </row>
    <row r="36" spans="1:4">
      <c r="A36" t="s">
        <v>1010</v>
      </c>
      <c r="B36" s="16">
        <v>0.04</v>
      </c>
      <c r="C36" t="s">
        <v>290</v>
      </c>
    </row>
    <row r="37" spans="1:4">
      <c r="A37" t="s">
        <v>1011</v>
      </c>
      <c r="B37" s="16">
        <v>0.01</v>
      </c>
      <c r="C37" t="s">
        <v>290</v>
      </c>
    </row>
    <row r="38" spans="1:4">
      <c r="B38" s="4"/>
      <c r="D38" s="3"/>
    </row>
    <row r="39" spans="1:4">
      <c r="A39" s="20" t="s">
        <v>53</v>
      </c>
      <c r="B39" s="27">
        <f>AB242/A55</f>
        <v>0.90193384500575757</v>
      </c>
      <c r="C39" s="20" t="s">
        <v>235</v>
      </c>
      <c r="D39" s="3"/>
    </row>
    <row r="40" spans="1:4">
      <c r="A40" s="20"/>
      <c r="B40" s="27"/>
      <c r="C40" s="20"/>
      <c r="D40" s="3"/>
    </row>
    <row r="41" spans="1:4">
      <c r="A41" t="s">
        <v>413</v>
      </c>
      <c r="B41" s="4">
        <f>Y242</f>
        <v>15.3</v>
      </c>
      <c r="C41" t="s">
        <v>31</v>
      </c>
      <c r="D41" s="3"/>
    </row>
    <row r="42" spans="1:4">
      <c r="B42" s="3">
        <f>B41+A68</f>
        <v>288.45</v>
      </c>
      <c r="C42" t="s">
        <v>403</v>
      </c>
      <c r="D42" s="3"/>
    </row>
    <row r="43" spans="1:4">
      <c r="A43" t="s">
        <v>904</v>
      </c>
      <c r="B43" s="3">
        <v>1.01325</v>
      </c>
      <c r="C43" t="s">
        <v>72</v>
      </c>
    </row>
    <row r="44" spans="1:4">
      <c r="B44" s="4">
        <f>B43/10</f>
        <v>0.101325</v>
      </c>
      <c r="C44" t="s">
        <v>905</v>
      </c>
      <c r="D44" s="20"/>
    </row>
    <row r="45" spans="1:4">
      <c r="A45" s="20"/>
      <c r="B45" s="27"/>
      <c r="C45" s="20"/>
      <c r="D45" s="20"/>
    </row>
    <row r="46" spans="1:4" s="37" customFormat="1">
      <c r="A46" s="37" t="s">
        <v>548</v>
      </c>
    </row>
    <row r="47" spans="1:4">
      <c r="A47">
        <v>3.78541178</v>
      </c>
      <c r="B47" t="s">
        <v>1</v>
      </c>
    </row>
    <row r="48" spans="1:4">
      <c r="A48" s="1">
        <v>2.2046199999999998</v>
      </c>
      <c r="B48" t="s">
        <v>13</v>
      </c>
    </row>
    <row r="49" spans="1:5">
      <c r="A49" s="5">
        <f>A48*(1000/2000)</f>
        <v>1.1023099999999999</v>
      </c>
      <c r="B49" t="s">
        <v>459</v>
      </c>
    </row>
    <row r="50" spans="1:5">
      <c r="A50" s="3">
        <v>1000</v>
      </c>
      <c r="B50" t="s">
        <v>1124</v>
      </c>
    </row>
    <row r="51" spans="1:5">
      <c r="A51">
        <v>1.60934</v>
      </c>
      <c r="B51" t="s">
        <v>11</v>
      </c>
    </row>
    <row r="52" spans="1:5">
      <c r="A52">
        <v>0.30480000000000002</v>
      </c>
      <c r="B52" t="s">
        <v>102</v>
      </c>
    </row>
    <row r="53" spans="1:5">
      <c r="A53" s="5">
        <f>A52^2</f>
        <v>9.2903040000000006E-2</v>
      </c>
      <c r="B53" t="s">
        <v>238</v>
      </c>
    </row>
    <row r="54" spans="1:5">
      <c r="A54" s="5">
        <f>A53*A57</f>
        <v>0.8361273600000001</v>
      </c>
      <c r="B54" t="s">
        <v>239</v>
      </c>
    </row>
    <row r="55" spans="1:5">
      <c r="A55" s="3">
        <v>4046.86</v>
      </c>
      <c r="B55" t="s">
        <v>52</v>
      </c>
    </row>
    <row r="56" spans="1:5">
      <c r="A56">
        <v>43560</v>
      </c>
      <c r="B56" t="s">
        <v>215</v>
      </c>
      <c r="E56" s="4"/>
    </row>
    <row r="57" spans="1:5">
      <c r="A57">
        <v>9</v>
      </c>
      <c r="B57" t="s">
        <v>216</v>
      </c>
      <c r="E57" s="4"/>
    </row>
    <row r="58" spans="1:5">
      <c r="A58" s="5">
        <f>A52^3</f>
        <v>2.8316846592000004E-2</v>
      </c>
      <c r="B58" t="s">
        <v>40</v>
      </c>
      <c r="E58" s="3"/>
    </row>
    <row r="59" spans="1:5">
      <c r="A59">
        <v>27</v>
      </c>
      <c r="B59" t="s">
        <v>236</v>
      </c>
      <c r="E59" s="3"/>
    </row>
    <row r="60" spans="1:5">
      <c r="A60" s="5">
        <f>A58*A59</f>
        <v>0.76455485798400014</v>
      </c>
      <c r="B60" t="s">
        <v>237</v>
      </c>
      <c r="E60" s="3"/>
    </row>
    <row r="61" spans="1:5">
      <c r="A61" s="3">
        <v>60</v>
      </c>
      <c r="B61" t="s">
        <v>633</v>
      </c>
      <c r="E61" s="3"/>
    </row>
    <row r="62" spans="1:5">
      <c r="A62" s="3">
        <v>3600</v>
      </c>
      <c r="B62" t="s">
        <v>564</v>
      </c>
      <c r="E62" s="3"/>
    </row>
    <row r="63" spans="1:5">
      <c r="A63" s="3">
        <v>60</v>
      </c>
      <c r="B63" t="s">
        <v>632</v>
      </c>
      <c r="E63" s="3"/>
    </row>
    <row r="64" spans="1:5">
      <c r="A64" s="3">
        <v>24</v>
      </c>
      <c r="B64" t="s">
        <v>585</v>
      </c>
      <c r="E64" s="3"/>
    </row>
    <row r="65" spans="1:5">
      <c r="A65" s="3">
        <v>365.25</v>
      </c>
      <c r="B65" t="s">
        <v>217</v>
      </c>
      <c r="E65" s="3"/>
    </row>
    <row r="66" spans="1:5">
      <c r="A66" s="3">
        <v>14.5038</v>
      </c>
      <c r="B66" t="s">
        <v>591</v>
      </c>
      <c r="E66" s="3"/>
    </row>
    <row r="67" spans="1:5">
      <c r="A67" s="3">
        <v>10</v>
      </c>
      <c r="B67" t="s">
        <v>1125</v>
      </c>
      <c r="E67" s="3"/>
    </row>
    <row r="68" spans="1:5">
      <c r="A68">
        <v>273.14999999999998</v>
      </c>
      <c r="B68" t="s">
        <v>403</v>
      </c>
    </row>
    <row r="69" spans="1:5">
      <c r="A69" t="s">
        <v>554</v>
      </c>
      <c r="B69" s="55">
        <v>5.6703744199999997E-8</v>
      </c>
      <c r="C69" t="s">
        <v>555</v>
      </c>
    </row>
    <row r="70" spans="1:5">
      <c r="B70" s="55"/>
    </row>
    <row r="71" spans="1:5" s="37" customFormat="1">
      <c r="A71" s="37" t="s">
        <v>474</v>
      </c>
      <c r="B71" s="46"/>
    </row>
    <row r="72" spans="1:5" s="20" customFormat="1">
      <c r="A72" t="s">
        <v>1117</v>
      </c>
      <c r="B72" s="5">
        <v>10.18</v>
      </c>
      <c r="C72" t="s">
        <v>775</v>
      </c>
    </row>
    <row r="73" spans="1:5" s="20" customFormat="1">
      <c r="A73" t="s">
        <v>473</v>
      </c>
      <c r="B73">
        <v>0.84</v>
      </c>
      <c r="C73" t="s">
        <v>0</v>
      </c>
    </row>
    <row r="74" spans="1:5" s="20" customFormat="1">
      <c r="A74" s="20" t="s">
        <v>772</v>
      </c>
      <c r="B74" s="20">
        <v>0.12948799999999999</v>
      </c>
      <c r="C74" s="20" t="s">
        <v>773</v>
      </c>
    </row>
    <row r="75" spans="1:5" s="20" customFormat="1">
      <c r="B75" s="50">
        <f>(B74/0.947817)*1000000</f>
        <v>136617.08958585886</v>
      </c>
      <c r="C75" s="20" t="s">
        <v>915</v>
      </c>
    </row>
    <row r="76" spans="1:5" s="20" customFormat="1">
      <c r="A76" s="20" t="s">
        <v>774</v>
      </c>
      <c r="B76" s="20">
        <v>17700</v>
      </c>
      <c r="C76" s="20" t="s">
        <v>771</v>
      </c>
    </row>
    <row r="77" spans="1:5" s="20" customFormat="1">
      <c r="B77" s="68">
        <f>(B76/1000)*B74</f>
        <v>2.2919375999999998</v>
      </c>
      <c r="C77" s="20" t="s">
        <v>775</v>
      </c>
    </row>
    <row r="78" spans="1:5" s="20" customFormat="1">
      <c r="A78" s="20" t="s">
        <v>776</v>
      </c>
      <c r="B78" s="68">
        <f>B77+B72</f>
        <v>12.4719376</v>
      </c>
      <c r="C78" s="20" t="s">
        <v>775</v>
      </c>
    </row>
    <row r="79" spans="1:5" s="20" customFormat="1">
      <c r="A79" t="s">
        <v>67</v>
      </c>
      <c r="B79" s="52">
        <v>2363</v>
      </c>
      <c r="C79" t="s">
        <v>30</v>
      </c>
      <c r="D79"/>
    </row>
    <row r="80" spans="1:5" s="20" customFormat="1">
      <c r="A80" t="s">
        <v>532</v>
      </c>
      <c r="B80" s="52">
        <v>43.930999999999997</v>
      </c>
      <c r="C80" s="20" t="s">
        <v>777</v>
      </c>
      <c r="D80"/>
    </row>
    <row r="81" spans="1:6" s="20" customFormat="1">
      <c r="A81"/>
      <c r="B81" s="69">
        <f>(B80*$A$48)/1000</f>
        <v>9.6851161219999982E-2</v>
      </c>
      <c r="C81" s="20" t="s">
        <v>779</v>
      </c>
      <c r="D81"/>
    </row>
    <row r="82" spans="1:6" s="20" customFormat="1">
      <c r="A82" t="s">
        <v>100</v>
      </c>
      <c r="B82" s="52">
        <v>1111.829</v>
      </c>
      <c r="C82" s="20" t="s">
        <v>777</v>
      </c>
      <c r="D82"/>
    </row>
    <row r="83" spans="1:6">
      <c r="B83" s="69">
        <f>(B82*$A$48)/1000</f>
        <v>2.4511604499799997</v>
      </c>
      <c r="C83" s="20" t="s">
        <v>779</v>
      </c>
    </row>
    <row r="84" spans="1:6">
      <c r="A84" t="s">
        <v>557</v>
      </c>
      <c r="B84">
        <v>43</v>
      </c>
      <c r="C84" t="s">
        <v>556</v>
      </c>
    </row>
    <row r="85" spans="1:6">
      <c r="A85" t="s">
        <v>707</v>
      </c>
      <c r="B85">
        <v>7750</v>
      </c>
      <c r="C85" t="s">
        <v>30</v>
      </c>
    </row>
    <row r="86" spans="1:6">
      <c r="A86" t="s">
        <v>558</v>
      </c>
      <c r="B86">
        <v>14.4</v>
      </c>
      <c r="C86" t="s">
        <v>556</v>
      </c>
    </row>
    <row r="87" spans="1:6">
      <c r="A87" t="s">
        <v>706</v>
      </c>
      <c r="B87">
        <v>8030</v>
      </c>
      <c r="C87" t="s">
        <v>30</v>
      </c>
      <c r="F87" s="4"/>
    </row>
    <row r="88" spans="1:6">
      <c r="A88" t="s">
        <v>595</v>
      </c>
      <c r="B88">
        <v>0.9</v>
      </c>
      <c r="C88" s="18" t="s">
        <v>568</v>
      </c>
    </row>
    <row r="89" spans="1:6">
      <c r="A89" t="s">
        <v>609</v>
      </c>
      <c r="B89">
        <v>0.25</v>
      </c>
      <c r="C89" s="18" t="s">
        <v>568</v>
      </c>
    </row>
    <row r="90" spans="1:6">
      <c r="A90" t="s">
        <v>549</v>
      </c>
      <c r="B90" s="1">
        <f>((0.00252*$B$42)+(0.0000000798*($B$42^3))+((1.243*($B$42^0.587)*20)/((0.895*$B$42)+20)))*(1/1000)</f>
        <v>5.1267362229632492E-3</v>
      </c>
      <c r="C90" t="s">
        <v>556</v>
      </c>
      <c r="D90" s="55"/>
      <c r="E90" s="58"/>
    </row>
    <row r="91" spans="1:6">
      <c r="A91" t="s">
        <v>550</v>
      </c>
      <c r="B91" s="1">
        <f>((0.014*$B$42)+(0.000000085*($B$42^3))+((0.1*($B$42^0.98)*100000)/(2541.7+100000)))*(1/1000)</f>
        <v>3.1195351194681885E-2</v>
      </c>
      <c r="C91" t="s">
        <v>556</v>
      </c>
      <c r="D91" s="5"/>
      <c r="E91" s="5"/>
    </row>
    <row r="92" spans="1:6">
      <c r="A92" t="s">
        <v>553</v>
      </c>
      <c r="B92">
        <v>1.2040999999999999</v>
      </c>
      <c r="C92" t="s">
        <v>30</v>
      </c>
    </row>
    <row r="93" spans="1:6">
      <c r="A93" t="s">
        <v>552</v>
      </c>
      <c r="B93" s="55">
        <v>1.506E-5</v>
      </c>
      <c r="C93" t="s">
        <v>560</v>
      </c>
    </row>
    <row r="94" spans="1:6">
      <c r="A94" t="s">
        <v>551</v>
      </c>
      <c r="B94" s="55">
        <v>2.1699999999999999E-5</v>
      </c>
      <c r="C94" t="s">
        <v>560</v>
      </c>
    </row>
    <row r="95" spans="1:6">
      <c r="A95" t="s">
        <v>561</v>
      </c>
      <c r="B95" s="4">
        <f>B93/B94</f>
        <v>0.69400921658986181</v>
      </c>
      <c r="C95" s="56" t="s">
        <v>568</v>
      </c>
    </row>
    <row r="96" spans="1:6">
      <c r="A96" t="s">
        <v>618</v>
      </c>
      <c r="B96" s="4">
        <v>0.8</v>
      </c>
      <c r="C96" s="56" t="s">
        <v>568</v>
      </c>
    </row>
    <row r="97" spans="1:3">
      <c r="A97" t="s">
        <v>569</v>
      </c>
      <c r="B97" s="55">
        <f>((33.972902/($B$42/132.53))+(-164.702679*(($B$42/132.52)^(-2/3)))+(262.108546*(($B$42/132.52)^(-1/3)))-21.5346955+(-443.455815*(($B$42/132.52)^(1/3)))+(607.339582*(($B$42/132.52)^(2/3)))+(-368.790121*($B$42/132.52))+(111.296674*(($B$42/132.52)^(4/3)))+(-13.4122465*(($B$42/132.52)^(5/3))))*(4.358/1000)</f>
        <v>2.5290435224975528E-2</v>
      </c>
      <c r="C97" t="s">
        <v>556</v>
      </c>
    </row>
    <row r="98" spans="1:3">
      <c r="A98" t="s">
        <v>1118</v>
      </c>
      <c r="B98" s="3">
        <v>938.26947552447996</v>
      </c>
      <c r="C98" s="49" t="s">
        <v>586</v>
      </c>
    </row>
    <row r="99" spans="1:3">
      <c r="A99" t="s">
        <v>610</v>
      </c>
      <c r="B99">
        <v>16.399999999999999</v>
      </c>
      <c r="C99" s="49" t="s">
        <v>611</v>
      </c>
    </row>
    <row r="100" spans="1:3">
      <c r="A100" t="s">
        <v>614</v>
      </c>
      <c r="B100">
        <f>12.011+(15.999*2)</f>
        <v>44.009</v>
      </c>
      <c r="C100" s="49" t="s">
        <v>615</v>
      </c>
    </row>
    <row r="101" spans="1:3">
      <c r="A101" t="s">
        <v>1057</v>
      </c>
      <c r="B101">
        <f>(2*1.008)+15.999</f>
        <v>18.015000000000001</v>
      </c>
      <c r="C101" s="49" t="s">
        <v>615</v>
      </c>
    </row>
    <row r="102" spans="1:3">
      <c r="B102" s="55"/>
    </row>
    <row r="103" spans="1:3" s="37" customFormat="1">
      <c r="A103" s="37" t="s">
        <v>470</v>
      </c>
      <c r="B103" s="46"/>
    </row>
    <row r="104" spans="1:3" s="20" customFormat="1">
      <c r="A104" t="s">
        <v>101</v>
      </c>
      <c r="B104" s="16">
        <v>0.95</v>
      </c>
    </row>
    <row r="105" spans="1:3" s="20" customFormat="1">
      <c r="A105" s="20" t="s">
        <v>489</v>
      </c>
      <c r="B105" s="50">
        <v>90000</v>
      </c>
      <c r="C105" s="20" t="s">
        <v>12</v>
      </c>
    </row>
    <row r="106" spans="1:3" s="20" customFormat="1">
      <c r="A106" s="20" t="s">
        <v>525</v>
      </c>
      <c r="B106" s="50">
        <v>286000</v>
      </c>
      <c r="C106" s="20" t="s">
        <v>12</v>
      </c>
    </row>
    <row r="107" spans="1:3" s="20" customFormat="1">
      <c r="A107" s="20" t="s">
        <v>589</v>
      </c>
      <c r="B107" s="50">
        <v>17</v>
      </c>
      <c r="C107" s="20" t="s">
        <v>590</v>
      </c>
    </row>
    <row r="108" spans="1:3" s="20" customFormat="1">
      <c r="A108" s="20" t="s">
        <v>701</v>
      </c>
      <c r="B108" s="67">
        <v>0.1</v>
      </c>
      <c r="C108" s="66" t="s">
        <v>568</v>
      </c>
    </row>
    <row r="109" spans="1:3" s="20" customFormat="1">
      <c r="A109" s="20" t="s">
        <v>652</v>
      </c>
      <c r="B109" s="50">
        <v>30</v>
      </c>
      <c r="C109" s="20" t="s">
        <v>32</v>
      </c>
    </row>
    <row r="110" spans="1:3" s="20" customFormat="1">
      <c r="A110" s="20" t="s">
        <v>655</v>
      </c>
      <c r="B110" s="50">
        <v>11</v>
      </c>
      <c r="C110" s="20" t="s">
        <v>10</v>
      </c>
    </row>
    <row r="111" spans="1:3" s="20" customFormat="1">
      <c r="A111" s="20" t="s">
        <v>656</v>
      </c>
      <c r="B111" s="50">
        <v>14</v>
      </c>
      <c r="C111" s="20" t="s">
        <v>10</v>
      </c>
    </row>
    <row r="112" spans="1:3" s="20" customFormat="1">
      <c r="A112" s="20" t="s">
        <v>1197</v>
      </c>
      <c r="B112" s="50">
        <v>73</v>
      </c>
      <c r="C112" s="20" t="s">
        <v>968</v>
      </c>
    </row>
    <row r="113" spans="1:3" s="20" customFormat="1">
      <c r="A113" s="20" t="s">
        <v>969</v>
      </c>
      <c r="B113" s="50">
        <v>200</v>
      </c>
      <c r="C113" s="20" t="s">
        <v>968</v>
      </c>
    </row>
    <row r="114" spans="1:3">
      <c r="A114" s="5"/>
    </row>
    <row r="115" spans="1:3" s="37" customFormat="1">
      <c r="A115" s="45" t="s">
        <v>29</v>
      </c>
    </row>
    <row r="116" spans="1:3">
      <c r="A116" s="5" t="s">
        <v>432</v>
      </c>
      <c r="B116">
        <v>40</v>
      </c>
      <c r="C116" t="s">
        <v>31</v>
      </c>
    </row>
    <row r="117" spans="1:3">
      <c r="A117" s="5" t="s">
        <v>433</v>
      </c>
      <c r="B117">
        <v>1</v>
      </c>
      <c r="C117" t="s">
        <v>72</v>
      </c>
    </row>
    <row r="118" spans="1:3">
      <c r="A118" s="5" t="s">
        <v>435</v>
      </c>
      <c r="B118" s="54">
        <f>'User Interface'!B20</f>
        <v>15</v>
      </c>
      <c r="C118" t="s">
        <v>72</v>
      </c>
    </row>
    <row r="119" spans="1:3">
      <c r="A119" s="5"/>
      <c r="B119" s="4">
        <f>B118/10</f>
        <v>1.5</v>
      </c>
      <c r="C119" t="s">
        <v>74</v>
      </c>
    </row>
    <row r="120" spans="1:3">
      <c r="A120" s="5" t="s">
        <v>434</v>
      </c>
      <c r="B120" s="3">
        <f>LOOKUP(B118,$A$274:$A$283,$Q$274:$Q$283)</f>
        <v>-28.2</v>
      </c>
      <c r="C120" t="s">
        <v>31</v>
      </c>
    </row>
    <row r="121" spans="1:3">
      <c r="A121" s="5"/>
      <c r="B121" s="3">
        <f>B120+A68</f>
        <v>244.95</v>
      </c>
      <c r="C121" t="s">
        <v>403</v>
      </c>
    </row>
    <row r="122" spans="1:3">
      <c r="A122" s="5" t="s">
        <v>438</v>
      </c>
      <c r="B122" s="3">
        <f>LOOKUP(B118,$A$274:$A$283,$R$274:$R$283)</f>
        <v>1042</v>
      </c>
      <c r="C122" t="s">
        <v>30</v>
      </c>
    </row>
    <row r="123" spans="1:3">
      <c r="A123" s="5" t="s">
        <v>436</v>
      </c>
      <c r="B123">
        <v>15</v>
      </c>
      <c r="C123" t="s">
        <v>31</v>
      </c>
    </row>
    <row r="124" spans="1:3">
      <c r="A124" s="5" t="s">
        <v>437</v>
      </c>
      <c r="B124">
        <v>10</v>
      </c>
      <c r="C124" t="s">
        <v>74</v>
      </c>
    </row>
    <row r="126" spans="1:3" s="37" customFormat="1">
      <c r="A126" s="37" t="s">
        <v>466</v>
      </c>
    </row>
    <row r="127" spans="1:3">
      <c r="A127" t="s">
        <v>93</v>
      </c>
      <c r="B127" s="13">
        <v>2.3E-2</v>
      </c>
    </row>
    <row r="128" spans="1:3">
      <c r="A128" t="s">
        <v>289</v>
      </c>
      <c r="B128">
        <f>$B$11</f>
        <v>2024</v>
      </c>
      <c r="C128" t="s">
        <v>288</v>
      </c>
    </row>
    <row r="130" spans="1:5">
      <c r="B130" t="str">
        <f>"Value in "&amp;B128&amp;" USD"</f>
        <v>Value in 2024 USD</v>
      </c>
      <c r="C130" s="20" t="s">
        <v>375</v>
      </c>
      <c r="D130" t="s">
        <v>467</v>
      </c>
      <c r="E130" t="s">
        <v>469</v>
      </c>
    </row>
    <row r="131" spans="1:5">
      <c r="A131">
        <v>2000</v>
      </c>
      <c r="B131" s="6">
        <f t="shared" ref="B131:B152" si="0">(1+$B$127)^($B$128-A131)</f>
        <v>1.7258983322852501</v>
      </c>
      <c r="C131" s="43">
        <v>1.1215000000000002</v>
      </c>
    </row>
    <row r="132" spans="1:5">
      <c r="A132">
        <v>2001</v>
      </c>
      <c r="B132" s="6">
        <f t="shared" si="0"/>
        <v>1.6870951439738515</v>
      </c>
      <c r="C132" s="43">
        <v>1.0502500000000001</v>
      </c>
    </row>
    <row r="133" spans="1:5">
      <c r="A133">
        <v>2002</v>
      </c>
      <c r="B133" s="6">
        <f t="shared" si="0"/>
        <v>1.6491643636108035</v>
      </c>
      <c r="C133" s="43">
        <v>0.85824999999999996</v>
      </c>
      <c r="E133" s="3">
        <v>109.55</v>
      </c>
    </row>
    <row r="134" spans="1:5">
      <c r="A134">
        <v>2003</v>
      </c>
      <c r="B134" s="6">
        <f t="shared" si="0"/>
        <v>1.6120863769411569</v>
      </c>
      <c r="C134" s="43">
        <v>0.80199999999999994</v>
      </c>
      <c r="D134" s="3">
        <v>100</v>
      </c>
      <c r="E134" s="3">
        <v>112.18333333333334</v>
      </c>
    </row>
    <row r="135" spans="1:5">
      <c r="A135">
        <v>2004</v>
      </c>
      <c r="B135" s="6">
        <f t="shared" si="0"/>
        <v>1.5758420106951683</v>
      </c>
      <c r="C135" s="43">
        <v>0.80649999999999999</v>
      </c>
      <c r="D135" s="3">
        <v>110.40416666666667</v>
      </c>
      <c r="E135" s="3">
        <v>116.97500000000002</v>
      </c>
    </row>
    <row r="136" spans="1:5">
      <c r="A136">
        <v>2005</v>
      </c>
      <c r="B136" s="6">
        <f t="shared" si="0"/>
        <v>1.5404125226736738</v>
      </c>
      <c r="C136" s="43">
        <v>0.79</v>
      </c>
      <c r="D136" s="3">
        <v>120.80833333333332</v>
      </c>
      <c r="E136" s="3">
        <v>123.69166666666666</v>
      </c>
    </row>
    <row r="137" spans="1:5">
      <c r="A137">
        <v>2006</v>
      </c>
      <c r="B137" s="6">
        <f t="shared" si="0"/>
        <v>1.5057795920563775</v>
      </c>
      <c r="C137" s="43">
        <v>0.72475000000000001</v>
      </c>
      <c r="D137" s="3">
        <v>125.63333333333333</v>
      </c>
      <c r="E137" s="3">
        <v>127.41666666666664</v>
      </c>
    </row>
    <row r="138" spans="1:5">
      <c r="A138">
        <v>2007</v>
      </c>
      <c r="B138" s="6">
        <f t="shared" si="0"/>
        <v>1.4719253099280327</v>
      </c>
      <c r="C138" s="43">
        <v>0.71875</v>
      </c>
      <c r="D138" s="3">
        <v>132.32500000000002</v>
      </c>
      <c r="E138" s="3">
        <v>128.85</v>
      </c>
    </row>
    <row r="139" spans="1:5">
      <c r="A139">
        <v>2008</v>
      </c>
      <c r="B139" s="6">
        <f t="shared" si="0"/>
        <v>1.4388321700176274</v>
      </c>
      <c r="C139" s="43">
        <v>0.70274999999999999</v>
      </c>
      <c r="D139" s="3">
        <v>143.18333333333331</v>
      </c>
      <c r="E139" s="3">
        <v>135.22499999999999</v>
      </c>
    </row>
    <row r="140" spans="1:5">
      <c r="A140">
        <v>2009</v>
      </c>
      <c r="B140" s="6">
        <f t="shared" si="0"/>
        <v>1.4064830596457747</v>
      </c>
      <c r="C140" s="43">
        <v>0.79700000000000004</v>
      </c>
      <c r="D140" s="3">
        <v>142.29166666666669</v>
      </c>
      <c r="E140" s="3">
        <v>125.71666666666668</v>
      </c>
    </row>
    <row r="141" spans="1:5">
      <c r="A141">
        <v>2010</v>
      </c>
      <c r="B141" s="6">
        <f t="shared" si="0"/>
        <v>1.3748612508756355</v>
      </c>
      <c r="C141" s="43">
        <v>0.72875000000000001</v>
      </c>
      <c r="D141" s="3">
        <v>140.02500000000001</v>
      </c>
      <c r="E141" s="3">
        <v>128.25</v>
      </c>
    </row>
    <row r="142" spans="1:5">
      <c r="A142">
        <v>2011</v>
      </c>
      <c r="B142" s="6">
        <f t="shared" si="0"/>
        <v>1.3439503918627913</v>
      </c>
      <c r="C142" s="43">
        <v>0.77275000000000005</v>
      </c>
      <c r="D142" s="3">
        <v>140.04166666666666</v>
      </c>
      <c r="E142" s="3">
        <v>136.93333333333337</v>
      </c>
    </row>
    <row r="143" spans="1:5">
      <c r="A143">
        <v>2012</v>
      </c>
      <c r="B143" s="6">
        <f t="shared" si="0"/>
        <v>1.3137344983996007</v>
      </c>
      <c r="C143" s="43">
        <v>0.754</v>
      </c>
      <c r="D143" s="3">
        <v>143.68333333333334</v>
      </c>
      <c r="E143" s="3">
        <v>143.15833333333333</v>
      </c>
    </row>
    <row r="144" spans="1:5">
      <c r="A144">
        <v>2013</v>
      </c>
      <c r="B144" s="6">
        <f t="shared" si="0"/>
        <v>1.2841979456496586</v>
      </c>
      <c r="C144" s="43">
        <v>0.76850000000000007</v>
      </c>
      <c r="D144" s="3">
        <v>145.29166666666666</v>
      </c>
      <c r="E144" s="3">
        <v>143.88333333333335</v>
      </c>
    </row>
    <row r="145" spans="1:5">
      <c r="A145">
        <v>2014</v>
      </c>
      <c r="B145" s="6">
        <f t="shared" si="0"/>
        <v>1.2553254600680925</v>
      </c>
      <c r="C145" s="43">
        <v>0.90900000000000003</v>
      </c>
      <c r="D145" s="3">
        <v>149.06666666666669</v>
      </c>
      <c r="E145" s="3">
        <v>147.07500000000002</v>
      </c>
    </row>
    <row r="146" spans="1:5">
      <c r="A146">
        <v>2015</v>
      </c>
      <c r="B146" s="6">
        <f t="shared" si="0"/>
        <v>1.2271021115035119</v>
      </c>
      <c r="C146" s="43">
        <v>0.90575000000000006</v>
      </c>
      <c r="D146" s="3">
        <v>147.68333333333331</v>
      </c>
      <c r="E146" s="3">
        <v>143.51666666666665</v>
      </c>
    </row>
    <row r="147" spans="1:5">
      <c r="A147">
        <v>2016</v>
      </c>
      <c r="B147" s="6">
        <f t="shared" si="0"/>
        <v>1.1995133054775289</v>
      </c>
      <c r="C147" s="43">
        <v>0.87324999999999997</v>
      </c>
      <c r="D147" s="3">
        <v>143.11666666666665</v>
      </c>
      <c r="E147" s="3">
        <v>139.14166666666665</v>
      </c>
    </row>
    <row r="148" spans="1:5">
      <c r="A148">
        <v>2017</v>
      </c>
      <c r="B148" s="6">
        <f t="shared" si="0"/>
        <v>1.1725447756378582</v>
      </c>
      <c r="C148" s="43">
        <v>0.85099999999999998</v>
      </c>
      <c r="D148" s="3">
        <v>136.55833333333334</v>
      </c>
      <c r="E148" s="3">
        <v>141.73333333333332</v>
      </c>
    </row>
    <row r="149" spans="1:5">
      <c r="A149">
        <v>2018</v>
      </c>
      <c r="B149" s="6">
        <f t="shared" si="0"/>
        <v>1.1461825763810933</v>
      </c>
      <c r="C149" s="43">
        <v>0.89400000000000002</v>
      </c>
      <c r="D149" s="3">
        <v>148.58333333333334</v>
      </c>
      <c r="E149" s="3">
        <v>153.45833333333334</v>
      </c>
    </row>
    <row r="150" spans="1:5">
      <c r="A150">
        <v>2019</v>
      </c>
      <c r="B150" s="6">
        <f t="shared" si="0"/>
        <v>1.1204130756413424</v>
      </c>
      <c r="C150" s="43">
        <v>0.86900000000000011</v>
      </c>
      <c r="D150" s="3">
        <v>158.48333333333332</v>
      </c>
      <c r="E150" s="3">
        <v>154.05833333333334</v>
      </c>
    </row>
    <row r="151" spans="1:5">
      <c r="A151">
        <v>2020</v>
      </c>
      <c r="B151" s="6">
        <f t="shared" si="0"/>
        <v>1.0952229478409996</v>
      </c>
      <c r="C151" s="43">
        <v>0.86</v>
      </c>
      <c r="D151" s="3">
        <v>159.08333333333334</v>
      </c>
      <c r="E151" s="3">
        <v>152.68333333333331</v>
      </c>
    </row>
    <row r="152" spans="1:5">
      <c r="A152">
        <v>2021</v>
      </c>
      <c r="B152" s="6">
        <f t="shared" si="0"/>
        <v>1.0705991669999997</v>
      </c>
      <c r="C152" s="43">
        <v>0.95625000000000004</v>
      </c>
      <c r="D152" s="3">
        <v>199.01199999999997</v>
      </c>
      <c r="E152" s="3">
        <v>183.84991666666667</v>
      </c>
    </row>
    <row r="153" spans="1:5">
      <c r="A153">
        <v>2022</v>
      </c>
      <c r="B153" s="6">
        <f>(1+$B$127)^($B$128-A153)</f>
        <v>1.0465289999999998</v>
      </c>
      <c r="C153" s="43">
        <v>0.92</v>
      </c>
      <c r="D153" s="3">
        <v>231.43260000000001</v>
      </c>
      <c r="E153" s="3">
        <v>220.33499999999998</v>
      </c>
    </row>
    <row r="154" spans="1:5">
      <c r="A154">
        <v>2023</v>
      </c>
      <c r="B154" s="6">
        <f t="shared" ref="B154:B155" si="1">(1+$B$127)^($B$128-A154)</f>
        <v>1.0229999999999999</v>
      </c>
      <c r="C154" s="43"/>
      <c r="D154" s="3"/>
      <c r="E154" s="3"/>
    </row>
    <row r="155" spans="1:5">
      <c r="A155">
        <v>2024</v>
      </c>
      <c r="B155" s="6">
        <f t="shared" si="1"/>
        <v>1</v>
      </c>
      <c r="C155" s="43"/>
      <c r="D155" s="3"/>
      <c r="E155" s="3"/>
    </row>
    <row r="157" spans="1:5" s="37" customFormat="1">
      <c r="A157" s="37" t="s">
        <v>836</v>
      </c>
    </row>
    <row r="158" spans="1:5">
      <c r="A158" t="s">
        <v>193</v>
      </c>
      <c r="B158" s="12">
        <v>0.05</v>
      </c>
    </row>
    <row r="159" spans="1:5">
      <c r="A159" t="s">
        <v>194</v>
      </c>
      <c r="B159" s="12">
        <v>0.08</v>
      </c>
    </row>
    <row r="160" spans="1:5">
      <c r="A160" t="s">
        <v>195</v>
      </c>
      <c r="B160" s="12">
        <v>8.5000000000000006E-2</v>
      </c>
    </row>
    <row r="161" spans="1:82">
      <c r="A161" t="s">
        <v>196</v>
      </c>
      <c r="B161" s="12">
        <v>9.9400000000000002E-2</v>
      </c>
    </row>
    <row r="162" spans="1:82">
      <c r="A162" t="s">
        <v>197</v>
      </c>
      <c r="B162" s="12">
        <v>9.3299999999999994E-2</v>
      </c>
    </row>
    <row r="163" spans="1:82">
      <c r="A163" t="s">
        <v>198</v>
      </c>
      <c r="B163" s="12">
        <v>8.9599999999999999E-2</v>
      </c>
    </row>
    <row r="164" spans="1:82">
      <c r="A164" t="s">
        <v>199</v>
      </c>
      <c r="B164" s="12">
        <v>0.1032</v>
      </c>
    </row>
    <row r="165" spans="1:82">
      <c r="A165" t="s">
        <v>200</v>
      </c>
      <c r="B165" s="12">
        <v>0.1077</v>
      </c>
    </row>
    <row r="166" spans="1:82">
      <c r="A166" t="s">
        <v>200</v>
      </c>
      <c r="B166" s="13">
        <v>6.0999999999999999E-2</v>
      </c>
    </row>
    <row r="168" spans="1:82">
      <c r="B168" t="s">
        <v>6</v>
      </c>
      <c r="C168" t="s">
        <v>179</v>
      </c>
      <c r="D168" t="s">
        <v>202</v>
      </c>
    </row>
    <row r="169" spans="1:82">
      <c r="A169" t="s">
        <v>834</v>
      </c>
      <c r="B169" s="15">
        <f>SUM(B1155:B1156,B1161:B1162)</f>
        <v>41776358.461089954</v>
      </c>
      <c r="C169" s="12">
        <f>AVERAGE(B160:B161)</f>
        <v>9.2200000000000004E-2</v>
      </c>
      <c r="D169" s="16">
        <v>0.18</v>
      </c>
    </row>
    <row r="170" spans="1:82">
      <c r="A170" t="s">
        <v>835</v>
      </c>
      <c r="B170" s="15">
        <f>B1160</f>
        <v>4037501.7249961253</v>
      </c>
      <c r="C170" s="12">
        <f>B162</f>
        <v>9.3299999999999994E-2</v>
      </c>
      <c r="D170" s="16">
        <v>0.1</v>
      </c>
    </row>
    <row r="171" spans="1:82">
      <c r="A171" t="s">
        <v>833</v>
      </c>
      <c r="B171" s="15">
        <f>SUM(B1157:B1159)</f>
        <v>50716908.713899992</v>
      </c>
      <c r="C171" s="12">
        <f>B164</f>
        <v>0.1032</v>
      </c>
      <c r="D171" s="16">
        <v>0.06</v>
      </c>
    </row>
    <row r="172" spans="1:82">
      <c r="A172" t="s">
        <v>376</v>
      </c>
      <c r="C172" s="12">
        <f>ROUND(SUMPRODUCT(C169:C171,B169:B171)/SUM(B169:B171),4)</f>
        <v>9.8000000000000004E-2</v>
      </c>
      <c r="D172" s="12">
        <f>SUMPRODUCT(D169:D171,B169:B171)/SUM(B169:B171)</f>
        <v>0.11360635933286745</v>
      </c>
    </row>
    <row r="174" spans="1:82" s="37" customFormat="1">
      <c r="A174" s="37" t="s">
        <v>377</v>
      </c>
    </row>
    <row r="175" spans="1:82" s="20" customFormat="1">
      <c r="A175" s="20" t="s">
        <v>1098</v>
      </c>
      <c r="B175" s="20">
        <v>2022</v>
      </c>
      <c r="BW175" s="20" t="s">
        <v>935</v>
      </c>
      <c r="BX175" s="60">
        <f t="shared" ref="BX175:CD175" si="2">LOOKUP(BX179,$A$898:$A$904,$H$898:$H$904)</f>
        <v>5223.2526108661677</v>
      </c>
      <c r="BY175" s="60">
        <f t="shared" si="2"/>
        <v>5339.4275951066811</v>
      </c>
      <c r="BZ175" s="60">
        <f t="shared" si="2"/>
        <v>5142.8171020473019</v>
      </c>
      <c r="CA175" s="60">
        <f t="shared" si="2"/>
        <v>1823.7895991415805</v>
      </c>
      <c r="CB175" s="60">
        <f t="shared" si="2"/>
        <v>2920.9271729834936</v>
      </c>
      <c r="CC175" s="60">
        <f t="shared" si="2"/>
        <v>4800.0829290402016</v>
      </c>
      <c r="CD175" s="60">
        <f t="shared" si="2"/>
        <v>4840.7873401370107</v>
      </c>
    </row>
    <row r="176" spans="1:82" s="20" customFormat="1">
      <c r="A176" s="20" t="s">
        <v>1099</v>
      </c>
      <c r="B176" s="20">
        <v>2019</v>
      </c>
      <c r="BW176" s="20" t="s">
        <v>941</v>
      </c>
      <c r="BX176" s="88">
        <f t="shared" ref="BX176:CD176" si="3">LOOKUP(BX179,$A$898:$A$904,$F$898:$F$904)</f>
        <v>0.16177161495413875</v>
      </c>
      <c r="BY176" s="88">
        <f t="shared" si="3"/>
        <v>9.226202162185744E-2</v>
      </c>
      <c r="BZ176" s="88">
        <f t="shared" si="3"/>
        <v>0.12617110418812871</v>
      </c>
      <c r="CA176" s="88">
        <f t="shared" si="3"/>
        <v>6.4971821169610464E-2</v>
      </c>
      <c r="CB176" s="88">
        <f t="shared" si="3"/>
        <v>9.2150636743814102E-2</v>
      </c>
      <c r="CC176" s="88">
        <f t="shared" si="3"/>
        <v>9.8166150829199966E-2</v>
      </c>
      <c r="CD176" s="88">
        <f t="shared" si="3"/>
        <v>0.24130868012225648</v>
      </c>
    </row>
    <row r="177" spans="1:92" s="20" customFormat="1">
      <c r="F177" s="225" t="s">
        <v>1095</v>
      </c>
      <c r="G177" s="20">
        <v>393</v>
      </c>
      <c r="H177" s="20">
        <v>614</v>
      </c>
      <c r="I177" s="20">
        <v>376</v>
      </c>
      <c r="J177" s="20">
        <v>727</v>
      </c>
      <c r="K177" s="20">
        <v>300</v>
      </c>
      <c r="L177" s="20">
        <v>418</v>
      </c>
      <c r="M177" s="20">
        <v>522</v>
      </c>
      <c r="N177" s="20">
        <v>672</v>
      </c>
      <c r="O177" s="20">
        <v>548</v>
      </c>
      <c r="P177" s="20">
        <v>563</v>
      </c>
      <c r="Q177" s="20">
        <v>547</v>
      </c>
      <c r="BW177" s="20" t="s">
        <v>985</v>
      </c>
      <c r="BX177" s="49">
        <f t="shared" ref="BX177:CD177" si="4">LOOKUP(BX179,$A$898:$A$904,$E$898:$E$904)</f>
        <v>0.6305235006082669</v>
      </c>
      <c r="BY177" s="49">
        <f t="shared" si="4"/>
        <v>0.85094165079640038</v>
      </c>
      <c r="BZ177" s="49">
        <f t="shared" si="4"/>
        <v>0.89666325318342188</v>
      </c>
      <c r="CA177" s="49">
        <f t="shared" si="4"/>
        <v>0.62444225918767349</v>
      </c>
      <c r="CB177" s="49">
        <f t="shared" si="4"/>
        <v>0.52516111756905293</v>
      </c>
      <c r="CC177" s="49">
        <f t="shared" si="4"/>
        <v>0.92567116084534729</v>
      </c>
      <c r="CD177" s="49">
        <f t="shared" si="4"/>
        <v>0.53519246931363373</v>
      </c>
    </row>
    <row r="178" spans="1:92" s="20" customFormat="1">
      <c r="F178" s="225" t="s">
        <v>1094</v>
      </c>
      <c r="G178" s="20">
        <v>439</v>
      </c>
      <c r="H178" s="20">
        <v>663</v>
      </c>
      <c r="I178" s="20">
        <v>400</v>
      </c>
      <c r="J178" s="20">
        <v>766</v>
      </c>
      <c r="K178" s="20">
        <v>323</v>
      </c>
      <c r="L178" s="20">
        <v>440</v>
      </c>
      <c r="M178" s="20">
        <v>578</v>
      </c>
      <c r="N178" s="20">
        <v>703</v>
      </c>
      <c r="O178" s="20">
        <v>583</v>
      </c>
      <c r="P178" s="20">
        <v>604</v>
      </c>
      <c r="Q178" s="20">
        <v>586</v>
      </c>
      <c r="AN178" t="s">
        <v>440</v>
      </c>
      <c r="AO178" s="20">
        <v>52.8</v>
      </c>
      <c r="AP178" s="20">
        <v>57.4</v>
      </c>
      <c r="AQ178" s="20">
        <v>56.7</v>
      </c>
      <c r="AR178" s="20">
        <v>59.2</v>
      </c>
      <c r="AS178" s="20">
        <v>57.2</v>
      </c>
      <c r="AT178" s="20">
        <v>58.9</v>
      </c>
      <c r="AU178" s="20">
        <v>53.7</v>
      </c>
      <c r="AV178" s="20">
        <v>56.8</v>
      </c>
      <c r="AW178" s="20">
        <v>58.6</v>
      </c>
      <c r="AX178" s="20">
        <v>54.9</v>
      </c>
      <c r="AY178" s="20">
        <v>57</v>
      </c>
      <c r="AZ178" s="20">
        <v>57.9</v>
      </c>
      <c r="BA178" s="20">
        <v>56.8</v>
      </c>
      <c r="BB178" s="20">
        <v>56.7</v>
      </c>
      <c r="BC178" s="20">
        <v>54.5</v>
      </c>
      <c r="BD178" s="20">
        <v>54.7</v>
      </c>
      <c r="BE178" s="20">
        <v>57.7</v>
      </c>
      <c r="BF178" s="20">
        <v>56.6</v>
      </c>
      <c r="BG178" s="20">
        <v>54.2</v>
      </c>
      <c r="BH178" s="20">
        <v>57.3</v>
      </c>
      <c r="BI178" s="20">
        <v>54.1</v>
      </c>
      <c r="BJ178" s="20">
        <v>57.1</v>
      </c>
      <c r="BK178" s="20">
        <v>53.4</v>
      </c>
      <c r="BL178" s="20">
        <v>56.7</v>
      </c>
      <c r="BM178" s="20">
        <v>56.2</v>
      </c>
      <c r="BW178" s="20" t="s">
        <v>934</v>
      </c>
      <c r="BX178" s="49">
        <f t="shared" ref="BX178:CD178" si="5">LOOKUP(BX179,$A$898:$A$904,$C$898:$C$904)</f>
        <v>11.745664392910903</v>
      </c>
      <c r="BY178" s="49">
        <f t="shared" si="5"/>
        <v>11.736607098251113</v>
      </c>
      <c r="BZ178" s="49">
        <f t="shared" si="5"/>
        <v>10.960643963033506</v>
      </c>
      <c r="CA178" s="49">
        <f t="shared" si="5"/>
        <v>10.658953711819853</v>
      </c>
      <c r="CB178" s="49">
        <f t="shared" si="5"/>
        <v>12.330600949849156</v>
      </c>
      <c r="CC178" s="49">
        <f t="shared" si="5"/>
        <v>9.7209473412342238</v>
      </c>
      <c r="CD178" s="49">
        <f t="shared" si="5"/>
        <v>11.525325115550723</v>
      </c>
    </row>
    <row r="179" spans="1:92">
      <c r="A179" t="s">
        <v>360</v>
      </c>
      <c r="B179" t="s">
        <v>361</v>
      </c>
      <c r="C179" t="s">
        <v>379</v>
      </c>
      <c r="D179" t="s">
        <v>528</v>
      </c>
      <c r="E179" t="s">
        <v>399</v>
      </c>
      <c r="F179" t="s">
        <v>1100</v>
      </c>
      <c r="G179" t="s">
        <v>1084</v>
      </c>
      <c r="H179" t="s">
        <v>1085</v>
      </c>
      <c r="I179" t="s">
        <v>1087</v>
      </c>
      <c r="J179" t="s">
        <v>1088</v>
      </c>
      <c r="K179" t="s">
        <v>1089</v>
      </c>
      <c r="L179" t="s">
        <v>1090</v>
      </c>
      <c r="M179" t="s">
        <v>1091</v>
      </c>
      <c r="N179" t="s">
        <v>1086</v>
      </c>
      <c r="O179" t="s">
        <v>1092</v>
      </c>
      <c r="P179" t="s">
        <v>1093</v>
      </c>
      <c r="Q179" t="s">
        <v>1096</v>
      </c>
      <c r="R179" t="s">
        <v>1101</v>
      </c>
      <c r="S179" t="s">
        <v>1102</v>
      </c>
      <c r="T179" t="s">
        <v>400</v>
      </c>
      <c r="U179" t="s">
        <v>450</v>
      </c>
      <c r="V179" t="s">
        <v>951</v>
      </c>
      <c r="W179" t="s">
        <v>949</v>
      </c>
      <c r="X179" t="s">
        <v>448</v>
      </c>
      <c r="Y179" t="s">
        <v>401</v>
      </c>
      <c r="Z179" t="s">
        <v>599</v>
      </c>
      <c r="AA179" t="s">
        <v>402</v>
      </c>
      <c r="AB179" t="s">
        <v>543</v>
      </c>
      <c r="AC179" t="s">
        <v>404</v>
      </c>
      <c r="AD179" t="s">
        <v>405</v>
      </c>
      <c r="AE179" t="s">
        <v>883</v>
      </c>
      <c r="AF179" t="s">
        <v>406</v>
      </c>
      <c r="AG179" t="s">
        <v>407</v>
      </c>
      <c r="AH179" t="s">
        <v>408</v>
      </c>
      <c r="AI179" t="s">
        <v>409</v>
      </c>
      <c r="AJ179" t="s">
        <v>410</v>
      </c>
      <c r="AK179" t="s">
        <v>411</v>
      </c>
      <c r="AL179" t="s">
        <v>829</v>
      </c>
      <c r="AM179" t="s">
        <v>830</v>
      </c>
      <c r="AN179" t="s">
        <v>439</v>
      </c>
      <c r="AO179">
        <v>5</v>
      </c>
      <c r="AP179">
        <v>10</v>
      </c>
      <c r="AQ179">
        <v>15</v>
      </c>
      <c r="AR179">
        <v>20</v>
      </c>
      <c r="AS179">
        <v>24</v>
      </c>
      <c r="AT179">
        <v>25</v>
      </c>
      <c r="AU179">
        <v>26</v>
      </c>
      <c r="AV179">
        <v>35</v>
      </c>
      <c r="AW179">
        <v>40</v>
      </c>
      <c r="AX179">
        <v>45</v>
      </c>
      <c r="AY179">
        <v>55</v>
      </c>
      <c r="AZ179">
        <v>65</v>
      </c>
      <c r="BA179">
        <v>70</v>
      </c>
      <c r="BB179">
        <v>75</v>
      </c>
      <c r="BC179">
        <v>76</v>
      </c>
      <c r="BD179">
        <v>77</v>
      </c>
      <c r="BE179">
        <v>80</v>
      </c>
      <c r="BF179">
        <v>81</v>
      </c>
      <c r="BG179">
        <v>84</v>
      </c>
      <c r="BH179">
        <v>85</v>
      </c>
      <c r="BI179">
        <v>87</v>
      </c>
      <c r="BJ179">
        <v>90</v>
      </c>
      <c r="BK179">
        <v>91</v>
      </c>
      <c r="BL179">
        <v>94</v>
      </c>
      <c r="BM179">
        <v>95</v>
      </c>
      <c r="BN179" t="s">
        <v>441</v>
      </c>
      <c r="BO179" t="s">
        <v>640</v>
      </c>
      <c r="BP179" t="s">
        <v>641</v>
      </c>
      <c r="BQ179" t="s">
        <v>643</v>
      </c>
      <c r="BR179" t="s">
        <v>821</v>
      </c>
      <c r="BS179" t="s">
        <v>822</v>
      </c>
      <c r="BT179" t="s">
        <v>827</v>
      </c>
      <c r="BU179" t="s">
        <v>823</v>
      </c>
      <c r="BV179" t="s">
        <v>824</v>
      </c>
      <c r="BX179" t="s">
        <v>920</v>
      </c>
      <c r="BY179" t="s">
        <v>926</v>
      </c>
      <c r="BZ179" t="s">
        <v>921</v>
      </c>
      <c r="CA179" t="s">
        <v>925</v>
      </c>
      <c r="CB179" t="s">
        <v>922</v>
      </c>
      <c r="CC179" t="s">
        <v>923</v>
      </c>
      <c r="CD179" t="s">
        <v>924</v>
      </c>
      <c r="CE179" t="s">
        <v>933</v>
      </c>
      <c r="CF179" t="s">
        <v>986</v>
      </c>
      <c r="CG179" t="s">
        <v>943</v>
      </c>
      <c r="CH179" t="s">
        <v>944</v>
      </c>
      <c r="CK179" t="s">
        <v>933</v>
      </c>
      <c r="CL179" t="s">
        <v>986</v>
      </c>
      <c r="CM179" t="s">
        <v>943</v>
      </c>
      <c r="CN179" t="s">
        <v>944</v>
      </c>
    </row>
    <row r="180" spans="1:92">
      <c r="A180" t="s">
        <v>317</v>
      </c>
      <c r="B180" t="s">
        <v>314</v>
      </c>
      <c r="C180" s="5">
        <v>0.83494475138121438</v>
      </c>
      <c r="D180" s="16">
        <v>0.04</v>
      </c>
      <c r="E180">
        <v>794</v>
      </c>
      <c r="F180" s="3">
        <f t="shared" ref="F180:F211" si="6">(E180/$A$48)</f>
        <v>360.15277009189793</v>
      </c>
      <c r="G180">
        <v>0</v>
      </c>
      <c r="H180">
        <v>0</v>
      </c>
      <c r="I180">
        <v>0</v>
      </c>
      <c r="J180">
        <v>0</v>
      </c>
      <c r="K180">
        <v>0</v>
      </c>
      <c r="L180">
        <v>0</v>
      </c>
      <c r="M180">
        <v>0</v>
      </c>
      <c r="N180">
        <v>0</v>
      </c>
      <c r="O180">
        <v>1</v>
      </c>
      <c r="P180">
        <v>0</v>
      </c>
      <c r="Q180">
        <v>0</v>
      </c>
      <c r="R180" s="3">
        <f>SUMPRODUCT(G180:Q180,$G$177:$Q$177)/SUM(G180:Q180)</f>
        <v>548</v>
      </c>
      <c r="S180" s="3">
        <f>SUMPRODUCT(G180:Q180,$G$178:$Q$178)/SUM(G180:Q180)</f>
        <v>583</v>
      </c>
      <c r="T180">
        <v>144788893</v>
      </c>
      <c r="U180" s="6">
        <v>5.9500000000000004E-2</v>
      </c>
      <c r="V180" s="90">
        <v>3.0800000000000003E-3</v>
      </c>
      <c r="W180" s="12">
        <v>0.04</v>
      </c>
      <c r="X180" s="6">
        <f>IF($B180="NA",X$239,LOOKUP($B180,$A$232:$A$236,X$232:X$236))</f>
        <v>3.0587999999999997</v>
      </c>
      <c r="Y180">
        <v>17.8</v>
      </c>
      <c r="Z180" s="5">
        <v>5</v>
      </c>
      <c r="AA180" s="3">
        <v>131171</v>
      </c>
      <c r="AB180" s="15">
        <v>3000</v>
      </c>
      <c r="AC180" s="15">
        <v>48910</v>
      </c>
      <c r="AD180" s="3">
        <v>36730</v>
      </c>
      <c r="AE180" s="5">
        <v>1.3194221508828252</v>
      </c>
      <c r="AF180" s="15">
        <v>52270</v>
      </c>
      <c r="AG180">
        <v>1010</v>
      </c>
      <c r="AH180" s="15">
        <v>39910</v>
      </c>
      <c r="AI180">
        <v>60</v>
      </c>
      <c r="AJ180" s="15">
        <v>51840</v>
      </c>
      <c r="AK180">
        <v>150</v>
      </c>
      <c r="AL180" s="15">
        <v>39770</v>
      </c>
      <c r="AM180">
        <v>15200</v>
      </c>
      <c r="AO180" s="3">
        <v>0</v>
      </c>
      <c r="AP180" s="3">
        <v>1</v>
      </c>
      <c r="AQ180" s="3">
        <v>0</v>
      </c>
      <c r="AR180" s="3">
        <v>1</v>
      </c>
      <c r="AS180" s="3">
        <v>0</v>
      </c>
      <c r="AT180" s="3">
        <v>0</v>
      </c>
      <c r="AU180" s="3">
        <v>0</v>
      </c>
      <c r="AV180" s="3">
        <v>0</v>
      </c>
      <c r="AW180" s="3">
        <v>0</v>
      </c>
      <c r="AX180" s="3">
        <v>0</v>
      </c>
      <c r="AY180" s="3">
        <v>0</v>
      </c>
      <c r="AZ180" s="3">
        <v>1</v>
      </c>
      <c r="BA180" s="3">
        <v>0</v>
      </c>
      <c r="BB180" s="3">
        <v>0</v>
      </c>
      <c r="BC180" s="3">
        <v>0</v>
      </c>
      <c r="BD180" s="3">
        <v>0</v>
      </c>
      <c r="BE180" s="3">
        <v>0</v>
      </c>
      <c r="BF180" s="3">
        <v>0</v>
      </c>
      <c r="BG180" s="3">
        <v>0</v>
      </c>
      <c r="BH180" s="3">
        <v>1</v>
      </c>
      <c r="BI180" s="3">
        <v>0</v>
      </c>
      <c r="BJ180" s="3">
        <v>0</v>
      </c>
      <c r="BK180" s="3">
        <v>0</v>
      </c>
      <c r="BL180" s="3">
        <v>0</v>
      </c>
      <c r="BM180" s="3">
        <v>0</v>
      </c>
      <c r="BN180" s="3">
        <f>SUMPRODUCT(AO180:BM180,$AO$178:$BM$178)/SUM(AO180:BM180)</f>
        <v>57.95</v>
      </c>
      <c r="BO180">
        <v>906</v>
      </c>
      <c r="BP180" s="3">
        <v>4</v>
      </c>
      <c r="BQ180" s="1">
        <f>BP180/BO180</f>
        <v>4.4150110375275938E-3</v>
      </c>
      <c r="BR180" s="6">
        <v>0.17399999999999999</v>
      </c>
      <c r="BS180" s="6">
        <v>4.2999999999999997E-2</v>
      </c>
      <c r="BT180" s="6">
        <v>1.7000000000000001E-2</v>
      </c>
      <c r="BU180" s="6">
        <v>9.4E-2</v>
      </c>
      <c r="BV180" s="6">
        <v>2.8000000000000001E-2</v>
      </c>
      <c r="BW180" s="6"/>
      <c r="BX180" s="3">
        <v>115</v>
      </c>
      <c r="BY180" s="3">
        <v>0</v>
      </c>
      <c r="BZ180" s="3">
        <v>1400</v>
      </c>
      <c r="CA180" s="3">
        <v>27</v>
      </c>
      <c r="CB180" s="3">
        <v>0</v>
      </c>
      <c r="CC180" s="3">
        <v>1330</v>
      </c>
      <c r="CD180" s="3">
        <v>0</v>
      </c>
      <c r="CE180" s="4">
        <f t="shared" ref="CE180:CE211" si="7">IF(SUM(BX180:CD180)=0,0,SUMPRODUCT(BX180:CD180,$BX$178:$CD$178)/SUM(BX180:CD180))</f>
        <v>10.415147864725739</v>
      </c>
      <c r="CF180" s="4">
        <f t="shared" ref="CF180:CF211" si="8">IF(SUM(BX180:CD180)=0,0,SUMPRODUCT(BX180:CD180,$BX$177:$CD$177)/SUM(BX180:CD180))</f>
        <v>0.89688069009370497</v>
      </c>
      <c r="CG180" s="15">
        <f t="shared" ref="CG180:CG211" si="9">IF(SUM(BX180:CD180)=0,0,SUMPRODUCT(BX180:CD180,$BX$175:$CD$175)/SUM(BX180:CD180))</f>
        <v>4956.1178996922436</v>
      </c>
      <c r="CH180" s="6">
        <f t="shared" ref="CH180:CH211" si="10">IF(SUM(BX180:CD180)=0,0,SUMPRODUCT(BX180:CD180,$BX$176:$CD$176)/SUM(BX180:CD180))</f>
        <v>0.11405240297963844</v>
      </c>
      <c r="CJ180" s="6"/>
      <c r="CK180">
        <v>10.771552352249621</v>
      </c>
      <c r="CL180">
        <v>0.76932504345617736</v>
      </c>
      <c r="CM180">
        <v>4247.4855602738135</v>
      </c>
      <c r="CN180">
        <v>0.11277017278526946</v>
      </c>
    </row>
    <row r="181" spans="1:92">
      <c r="A181" t="s">
        <v>318</v>
      </c>
      <c r="B181" t="s">
        <v>37</v>
      </c>
      <c r="C181" s="5">
        <v>2.7175742574257375</v>
      </c>
      <c r="D181" s="16">
        <v>0</v>
      </c>
      <c r="E181">
        <v>1180</v>
      </c>
      <c r="F181" s="3">
        <f t="shared" si="6"/>
        <v>535.23963313405488</v>
      </c>
      <c r="G181">
        <v>0</v>
      </c>
      <c r="H181">
        <v>0</v>
      </c>
      <c r="I181">
        <v>0</v>
      </c>
      <c r="J181">
        <v>0</v>
      </c>
      <c r="K181">
        <v>0</v>
      </c>
      <c r="L181">
        <v>0</v>
      </c>
      <c r="M181">
        <v>0</v>
      </c>
      <c r="N181">
        <v>0</v>
      </c>
      <c r="O181">
        <v>0</v>
      </c>
      <c r="P181">
        <v>0</v>
      </c>
      <c r="Q181">
        <v>0</v>
      </c>
      <c r="R181" s="3">
        <v>541</v>
      </c>
      <c r="S181" s="3">
        <v>583</v>
      </c>
      <c r="T181">
        <v>6694128</v>
      </c>
      <c r="U181" s="6">
        <v>0.16940000000000002</v>
      </c>
      <c r="V181" s="90">
        <v>4.6800000000000001E-3</v>
      </c>
      <c r="W181" s="12">
        <v>5.2999999999999999E-2</v>
      </c>
      <c r="X181" s="6">
        <f>IF($B181="NA",X$239,LOOKUP($B181,$A$232:$A$236,X$232:X$236))</f>
        <v>3.2469000000000001</v>
      </c>
      <c r="Y181">
        <v>-2</v>
      </c>
      <c r="Z181" s="5">
        <v>1</v>
      </c>
      <c r="AA181" s="3">
        <v>1477953</v>
      </c>
      <c r="AB181" s="10">
        <f>AB239</f>
        <v>1760</v>
      </c>
      <c r="AC181" s="15">
        <v>59510</v>
      </c>
      <c r="AD181" s="3">
        <v>3130</v>
      </c>
      <c r="AE181" s="5">
        <v>1.2756302521008405</v>
      </c>
      <c r="AF181" s="15">
        <v>78630</v>
      </c>
      <c r="AG181">
        <v>100</v>
      </c>
      <c r="AH181" s="10">
        <v>60049.845201238393</v>
      </c>
      <c r="AI181" s="8">
        <v>0</v>
      </c>
      <c r="AJ181" s="15">
        <v>67580</v>
      </c>
      <c r="AK181">
        <v>170</v>
      </c>
      <c r="AL181" s="15">
        <v>56430</v>
      </c>
      <c r="AM181">
        <v>430</v>
      </c>
      <c r="AO181" s="3">
        <v>0</v>
      </c>
      <c r="AP181" s="3">
        <v>0</v>
      </c>
      <c r="AQ181" s="3">
        <v>0</v>
      </c>
      <c r="AR181" s="3">
        <v>0</v>
      </c>
      <c r="AS181" s="3">
        <v>0</v>
      </c>
      <c r="AT181" s="3">
        <v>0</v>
      </c>
      <c r="AU181" s="3">
        <v>0</v>
      </c>
      <c r="AV181" s="3">
        <v>0</v>
      </c>
      <c r="AW181" s="3">
        <v>0</v>
      </c>
      <c r="AX181" s="3">
        <v>0</v>
      </c>
      <c r="AY181" s="3">
        <v>0</v>
      </c>
      <c r="AZ181" s="3">
        <v>0</v>
      </c>
      <c r="BA181" s="3">
        <v>0</v>
      </c>
      <c r="BB181" s="3">
        <v>0</v>
      </c>
      <c r="BC181" s="3">
        <v>0</v>
      </c>
      <c r="BD181" s="3">
        <v>0</v>
      </c>
      <c r="BE181" s="3">
        <v>0</v>
      </c>
      <c r="BF181" s="3">
        <v>0</v>
      </c>
      <c r="BG181" s="3">
        <v>0</v>
      </c>
      <c r="BH181" s="3">
        <v>0</v>
      </c>
      <c r="BI181" s="3">
        <v>0</v>
      </c>
      <c r="BJ181" s="3">
        <v>0</v>
      </c>
      <c r="BK181" s="3">
        <v>0</v>
      </c>
      <c r="BL181" s="3">
        <v>0</v>
      </c>
      <c r="BM181" s="3">
        <v>0</v>
      </c>
      <c r="BN181" s="21">
        <f>AVERAGE($BN$180,$BN$182:$BN$189,$BN$191:$BN$229)</f>
        <v>56.622103174603154</v>
      </c>
      <c r="BO181">
        <v>1083</v>
      </c>
      <c r="BP181" s="3">
        <v>7</v>
      </c>
      <c r="BQ181" s="1">
        <f t="shared" ref="BQ181:BQ229" si="11">BP181/BO181</f>
        <v>6.4635272391505077E-3</v>
      </c>
      <c r="BR181" s="6">
        <v>0.156</v>
      </c>
      <c r="BS181" s="6">
        <v>4.2000000000000003E-2</v>
      </c>
      <c r="BT181" s="6">
        <v>1.0999999999999999E-2</v>
      </c>
      <c r="BU181" s="6">
        <v>7.5999999999999998E-2</v>
      </c>
      <c r="BV181" s="6">
        <v>2.3E-2</v>
      </c>
      <c r="BW181" s="6"/>
      <c r="BX181" s="3">
        <v>0</v>
      </c>
      <c r="BY181" s="3">
        <v>0</v>
      </c>
      <c r="BZ181" s="3">
        <v>0</v>
      </c>
      <c r="CA181" s="3">
        <v>0</v>
      </c>
      <c r="CB181" s="3">
        <v>0</v>
      </c>
      <c r="CC181" s="3">
        <v>0</v>
      </c>
      <c r="CD181" s="3">
        <v>0</v>
      </c>
      <c r="CE181" s="4">
        <f t="shared" si="7"/>
        <v>0</v>
      </c>
      <c r="CF181" s="4">
        <f t="shared" si="8"/>
        <v>0</v>
      </c>
      <c r="CG181" s="15">
        <f t="shared" si="9"/>
        <v>0</v>
      </c>
      <c r="CH181" s="6">
        <f t="shared" si="10"/>
        <v>0</v>
      </c>
      <c r="CJ181" s="6"/>
      <c r="CK181">
        <v>0</v>
      </c>
      <c r="CL181">
        <v>0</v>
      </c>
      <c r="CM181">
        <v>0</v>
      </c>
      <c r="CN181">
        <v>0</v>
      </c>
    </row>
    <row r="182" spans="1:92">
      <c r="A182" t="s">
        <v>319</v>
      </c>
      <c r="B182" t="s">
        <v>315</v>
      </c>
      <c r="C182" s="5">
        <v>0.93489035087718986</v>
      </c>
      <c r="D182" s="16">
        <v>5.6000000000000001E-2</v>
      </c>
      <c r="E182">
        <v>692</v>
      </c>
      <c r="F182" s="3">
        <f t="shared" si="6"/>
        <v>313.88629332946272</v>
      </c>
      <c r="G182">
        <v>0</v>
      </c>
      <c r="H182">
        <v>0</v>
      </c>
      <c r="I182">
        <v>0</v>
      </c>
      <c r="J182">
        <v>0</v>
      </c>
      <c r="K182">
        <v>0</v>
      </c>
      <c r="L182">
        <v>0</v>
      </c>
      <c r="M182">
        <v>0</v>
      </c>
      <c r="N182">
        <v>0</v>
      </c>
      <c r="O182">
        <v>0</v>
      </c>
      <c r="P182">
        <v>1</v>
      </c>
      <c r="Q182">
        <v>0</v>
      </c>
      <c r="R182" s="3">
        <f t="shared" ref="R182:R229" si="12">SUMPRODUCT(G182:Q182,$G$177:$Q$177)/SUM(G182:Q182)</f>
        <v>563</v>
      </c>
      <c r="S182" s="3">
        <f t="shared" ref="S182:S229" si="13">SUMPRODUCT(G182:Q182,$G$178:$Q$178)/SUM(G182:Q182)</f>
        <v>604</v>
      </c>
      <c r="T182">
        <v>104698773</v>
      </c>
      <c r="U182" s="6">
        <v>6.2800000000000009E-2</v>
      </c>
      <c r="V182" s="90">
        <v>3.3399999999999997E-3</v>
      </c>
      <c r="W182" s="12">
        <v>6.0000000000000001E-3</v>
      </c>
      <c r="X182" s="6">
        <f>IF($B182="NA",X$239,LOOKUP($B182,$A$232:$A$236,X$232:X$236))</f>
        <v>3.2575000000000003</v>
      </c>
      <c r="Y182">
        <v>16.399999999999999</v>
      </c>
      <c r="Z182" s="5">
        <v>5.75</v>
      </c>
      <c r="AA182" s="3">
        <v>294207</v>
      </c>
      <c r="AB182" s="10">
        <f>AB239</f>
        <v>1760</v>
      </c>
      <c r="AC182" s="15">
        <v>51820</v>
      </c>
      <c r="AD182" s="3">
        <v>38760</v>
      </c>
      <c r="AE182" s="5">
        <v>1.2756302521008405</v>
      </c>
      <c r="AF182" s="15">
        <v>65820</v>
      </c>
      <c r="AG182">
        <v>660</v>
      </c>
      <c r="AH182" s="10">
        <v>74961.666666666672</v>
      </c>
      <c r="AI182" s="8">
        <v>0</v>
      </c>
      <c r="AJ182" s="15">
        <v>59890</v>
      </c>
      <c r="AK182" s="8">
        <v>0</v>
      </c>
      <c r="AL182" s="15">
        <v>42900</v>
      </c>
      <c r="AM182">
        <v>13280</v>
      </c>
      <c r="AN182" s="8"/>
      <c r="AO182" s="3">
        <v>0</v>
      </c>
      <c r="AP182" s="3">
        <v>1</v>
      </c>
      <c r="AQ182" s="3">
        <v>1</v>
      </c>
      <c r="AR182" s="3">
        <v>0</v>
      </c>
      <c r="AS182" s="3">
        <v>0</v>
      </c>
      <c r="AT182" s="3">
        <v>0</v>
      </c>
      <c r="AU182" s="3">
        <v>0</v>
      </c>
      <c r="AV182" s="3">
        <v>0</v>
      </c>
      <c r="AW182" s="3">
        <v>1</v>
      </c>
      <c r="AX182" s="3">
        <v>0</v>
      </c>
      <c r="AY182" s="3">
        <v>0</v>
      </c>
      <c r="AZ182" s="3">
        <v>0</v>
      </c>
      <c r="BA182" s="3">
        <v>0</v>
      </c>
      <c r="BB182" s="3">
        <v>0</v>
      </c>
      <c r="BC182" s="3">
        <v>0</v>
      </c>
      <c r="BD182" s="3">
        <v>0</v>
      </c>
      <c r="BE182" s="3">
        <v>0</v>
      </c>
      <c r="BF182" s="3">
        <v>0</v>
      </c>
      <c r="BG182" s="3">
        <v>0</v>
      </c>
      <c r="BH182" s="3">
        <v>0</v>
      </c>
      <c r="BI182" s="3">
        <v>0</v>
      </c>
      <c r="BJ182" s="3">
        <v>0</v>
      </c>
      <c r="BK182" s="3">
        <v>0</v>
      </c>
      <c r="BL182" s="3">
        <v>0</v>
      </c>
      <c r="BM182" s="3">
        <v>0</v>
      </c>
      <c r="BN182" s="3">
        <f t="shared" ref="BN182:BN189" si="14">SUMPRODUCT(AO182:BM182,$AO$178:$BM$178)/SUM(AO182:BM182)</f>
        <v>57.566666666666663</v>
      </c>
      <c r="BO182">
        <v>1168</v>
      </c>
      <c r="BP182" s="3">
        <v>7</v>
      </c>
      <c r="BQ182" s="1">
        <f t="shared" si="11"/>
        <v>5.9931506849315065E-3</v>
      </c>
      <c r="BR182" s="6">
        <v>0.156</v>
      </c>
      <c r="BS182" s="6">
        <v>4.2000000000000003E-2</v>
      </c>
      <c r="BT182" s="6">
        <v>1.0999999999999999E-2</v>
      </c>
      <c r="BU182" s="6">
        <v>7.5999999999999998E-2</v>
      </c>
      <c r="BV182" s="6">
        <v>2.3E-2</v>
      </c>
      <c r="BW182" s="6"/>
      <c r="BX182" s="3">
        <v>659</v>
      </c>
      <c r="BY182" s="3">
        <v>0</v>
      </c>
      <c r="BZ182" s="3">
        <v>0</v>
      </c>
      <c r="CA182" s="3">
        <v>0</v>
      </c>
      <c r="CB182" s="3">
        <v>0</v>
      </c>
      <c r="CC182" s="3">
        <v>0</v>
      </c>
      <c r="CD182" s="3">
        <v>691</v>
      </c>
      <c r="CE182" s="4">
        <f t="shared" si="7"/>
        <v>11.632883325758398</v>
      </c>
      <c r="CF182" s="4">
        <f t="shared" si="8"/>
        <v>0.581728135701162</v>
      </c>
      <c r="CG182" s="15">
        <f t="shared" si="9"/>
        <v>5027.4870537744282</v>
      </c>
      <c r="CH182" s="6">
        <f t="shared" si="10"/>
        <v>0.20248280905130123</v>
      </c>
      <c r="CJ182" s="6"/>
      <c r="CK182">
        <v>11.635494754230812</v>
      </c>
      <c r="CL182">
        <v>0.58285798496095031</v>
      </c>
      <c r="CM182">
        <v>5032.0199755015892</v>
      </c>
      <c r="CN182">
        <v>0.2015401475381976</v>
      </c>
    </row>
    <row r="183" spans="1:92">
      <c r="A183" t="s">
        <v>320</v>
      </c>
      <c r="B183" t="s">
        <v>314</v>
      </c>
      <c r="C183" s="5">
        <v>0.91029850746268393</v>
      </c>
      <c r="D183" s="16">
        <v>6.5000000000000002E-2</v>
      </c>
      <c r="E183">
        <v>1045</v>
      </c>
      <c r="F183" s="3">
        <f t="shared" si="6"/>
        <v>474.00459036024353</v>
      </c>
      <c r="G183">
        <v>0</v>
      </c>
      <c r="H183">
        <v>0</v>
      </c>
      <c r="I183">
        <v>0</v>
      </c>
      <c r="J183">
        <v>1</v>
      </c>
      <c r="K183">
        <v>0</v>
      </c>
      <c r="L183">
        <v>0</v>
      </c>
      <c r="M183">
        <v>0</v>
      </c>
      <c r="N183">
        <v>1</v>
      </c>
      <c r="O183">
        <v>0</v>
      </c>
      <c r="P183">
        <v>0</v>
      </c>
      <c r="Q183">
        <v>0</v>
      </c>
      <c r="R183" s="3">
        <f t="shared" si="12"/>
        <v>699.5</v>
      </c>
      <c r="S183" s="3">
        <f t="shared" si="13"/>
        <v>734.5</v>
      </c>
      <c r="T183">
        <v>65905030</v>
      </c>
      <c r="U183" s="6">
        <v>6.13E-2</v>
      </c>
      <c r="V183" s="90">
        <v>3.7000000000000002E-3</v>
      </c>
      <c r="W183" s="12">
        <v>3.4000000000000002E-2</v>
      </c>
      <c r="X183" s="6">
        <f>IF($B183="NA",X$239,LOOKUP($B183,$A$232:$A$236,X$232:X$236))</f>
        <v>3.0587999999999997</v>
      </c>
      <c r="Y183">
        <v>16.2</v>
      </c>
      <c r="Z183" s="5">
        <v>4.75</v>
      </c>
      <c r="AA183" s="3">
        <v>134771</v>
      </c>
      <c r="AB183" s="15">
        <v>2900</v>
      </c>
      <c r="AC183" s="15">
        <v>47090</v>
      </c>
      <c r="AD183" s="3">
        <v>31820</v>
      </c>
      <c r="AE183" s="5">
        <v>1.3194221508828252</v>
      </c>
      <c r="AF183" s="15">
        <v>44900</v>
      </c>
      <c r="AG183">
        <v>790</v>
      </c>
      <c r="AH183" s="15">
        <v>63700</v>
      </c>
      <c r="AI183">
        <v>60</v>
      </c>
      <c r="AJ183" s="15">
        <v>64950</v>
      </c>
      <c r="AK183">
        <v>40</v>
      </c>
      <c r="AL183" s="15">
        <v>38550</v>
      </c>
      <c r="AM183">
        <v>10520</v>
      </c>
      <c r="AO183" s="3">
        <v>0</v>
      </c>
      <c r="AP183" s="3">
        <v>0</v>
      </c>
      <c r="AQ183" s="3">
        <v>0</v>
      </c>
      <c r="AR183" s="3">
        <v>0</v>
      </c>
      <c r="AS183" s="3">
        <v>0</v>
      </c>
      <c r="AT183" s="3">
        <v>0</v>
      </c>
      <c r="AU183" s="3">
        <v>0</v>
      </c>
      <c r="AV183" s="3">
        <v>0</v>
      </c>
      <c r="AW183" s="3">
        <v>1</v>
      </c>
      <c r="AX183" s="3">
        <v>0</v>
      </c>
      <c r="AY183" s="3">
        <v>1</v>
      </c>
      <c r="AZ183" s="3">
        <v>0</v>
      </c>
      <c r="BA183" s="3">
        <v>0</v>
      </c>
      <c r="BB183" s="3">
        <v>0</v>
      </c>
      <c r="BC183" s="3">
        <v>0</v>
      </c>
      <c r="BD183" s="3">
        <v>0</v>
      </c>
      <c r="BE183" s="3">
        <v>0</v>
      </c>
      <c r="BF183" s="3">
        <v>0</v>
      </c>
      <c r="BG183" s="3">
        <v>0</v>
      </c>
      <c r="BH183" s="3">
        <v>0</v>
      </c>
      <c r="BI183" s="3">
        <v>0</v>
      </c>
      <c r="BJ183" s="3">
        <v>0</v>
      </c>
      <c r="BK183" s="3">
        <v>0</v>
      </c>
      <c r="BL183" s="3">
        <v>0</v>
      </c>
      <c r="BM183" s="3">
        <v>0</v>
      </c>
      <c r="BN183" s="3">
        <f t="shared" si="14"/>
        <v>57.8</v>
      </c>
      <c r="BO183">
        <v>656</v>
      </c>
      <c r="BP183" s="3">
        <v>9</v>
      </c>
      <c r="BQ183" s="1">
        <f t="shared" si="11"/>
        <v>1.3719512195121951E-2</v>
      </c>
      <c r="BR183" s="6">
        <v>0.17399999999999999</v>
      </c>
      <c r="BS183" s="6">
        <v>4.2999999999999997E-2</v>
      </c>
      <c r="BT183" s="6">
        <v>1.7000000000000001E-2</v>
      </c>
      <c r="BU183" s="6">
        <v>9.4E-2</v>
      </c>
      <c r="BV183" s="6">
        <v>2.8000000000000001E-2</v>
      </c>
      <c r="BW183" s="6"/>
      <c r="BX183" s="3">
        <v>198</v>
      </c>
      <c r="BY183" s="3">
        <v>158</v>
      </c>
      <c r="BZ183" s="3">
        <v>0</v>
      </c>
      <c r="CA183" s="3">
        <v>0</v>
      </c>
      <c r="CB183" s="3">
        <v>158</v>
      </c>
      <c r="CC183" s="3">
        <v>0</v>
      </c>
      <c r="CD183" s="3">
        <v>1324</v>
      </c>
      <c r="CE183" s="4">
        <f t="shared" si="7"/>
        <v>11.63644770097136</v>
      </c>
      <c r="CF183" s="4">
        <f t="shared" si="8"/>
        <v>0.57174250266236648</v>
      </c>
      <c r="CG183" s="15">
        <f t="shared" si="9"/>
        <v>4759.8163812030207</v>
      </c>
      <c r="CH183" s="6">
        <f t="shared" si="10"/>
        <v>0.20710591526907682</v>
      </c>
      <c r="CJ183" s="6"/>
      <c r="CK183">
        <v>11.867196819436927</v>
      </c>
      <c r="CL183">
        <v>0.56362569583031785</v>
      </c>
      <c r="CM183">
        <v>4328.3223746622243</v>
      </c>
      <c r="CN183">
        <v>0.16507697727340312</v>
      </c>
    </row>
    <row r="184" spans="1:92">
      <c r="A184" t="s">
        <v>248</v>
      </c>
      <c r="B184" t="s">
        <v>316</v>
      </c>
      <c r="C184" s="5">
        <v>1.2046137152777747</v>
      </c>
      <c r="D184" s="16">
        <v>7.2499999999999995E-2</v>
      </c>
      <c r="E184">
        <v>481</v>
      </c>
      <c r="F184" s="3">
        <f t="shared" si="6"/>
        <v>218.17818943854272</v>
      </c>
      <c r="G184">
        <v>1</v>
      </c>
      <c r="H184">
        <v>0</v>
      </c>
      <c r="I184">
        <v>0</v>
      </c>
      <c r="J184">
        <v>0</v>
      </c>
      <c r="K184">
        <v>0</v>
      </c>
      <c r="L184">
        <v>1</v>
      </c>
      <c r="M184">
        <v>0</v>
      </c>
      <c r="N184">
        <v>0</v>
      </c>
      <c r="O184">
        <v>0</v>
      </c>
      <c r="P184">
        <v>0</v>
      </c>
      <c r="Q184">
        <v>0</v>
      </c>
      <c r="R184" s="3">
        <f t="shared" si="12"/>
        <v>405.5</v>
      </c>
      <c r="S184" s="3">
        <f t="shared" si="13"/>
        <v>439.5</v>
      </c>
      <c r="T184">
        <v>203383857</v>
      </c>
      <c r="U184" s="6">
        <v>0.13400000000000001</v>
      </c>
      <c r="V184" s="90">
        <v>4.6800000000000001E-3</v>
      </c>
      <c r="W184" s="12">
        <v>5.2999999999999999E-2</v>
      </c>
      <c r="X184" s="7">
        <v>3.823199999999999</v>
      </c>
      <c r="Y184">
        <v>15.3</v>
      </c>
      <c r="Z184" s="5">
        <v>5.75</v>
      </c>
      <c r="AA184" s="3">
        <v>403466</v>
      </c>
      <c r="AB184" s="15">
        <v>3650</v>
      </c>
      <c r="AC184" s="15">
        <v>54850</v>
      </c>
      <c r="AD184" s="3">
        <v>186140</v>
      </c>
      <c r="AE184" s="5">
        <v>1.2756302521008405</v>
      </c>
      <c r="AF184" s="15">
        <v>62730</v>
      </c>
      <c r="AG184">
        <v>6550</v>
      </c>
      <c r="AH184" s="15">
        <v>62370</v>
      </c>
      <c r="AI184">
        <v>250</v>
      </c>
      <c r="AJ184" s="15">
        <v>55530</v>
      </c>
      <c r="AK184">
        <v>520</v>
      </c>
      <c r="AL184" s="15">
        <v>45640</v>
      </c>
      <c r="AM184">
        <v>103000</v>
      </c>
      <c r="AO184" s="3">
        <v>1</v>
      </c>
      <c r="AP184" s="3">
        <v>1</v>
      </c>
      <c r="AQ184" s="3">
        <v>1</v>
      </c>
      <c r="AR184" s="3">
        <v>0</v>
      </c>
      <c r="AS184" s="3">
        <v>0</v>
      </c>
      <c r="AT184" s="3">
        <v>0</v>
      </c>
      <c r="AU184" s="3">
        <v>0</v>
      </c>
      <c r="AV184" s="3">
        <v>0</v>
      </c>
      <c r="AW184" s="3">
        <v>1</v>
      </c>
      <c r="AX184" s="3">
        <v>0</v>
      </c>
      <c r="AY184" s="3">
        <v>0</v>
      </c>
      <c r="AZ184" s="3">
        <v>0</v>
      </c>
      <c r="BA184" s="3">
        <v>0</v>
      </c>
      <c r="BB184" s="3">
        <v>0</v>
      </c>
      <c r="BC184" s="3">
        <v>0</v>
      </c>
      <c r="BD184" s="3">
        <v>0</v>
      </c>
      <c r="BE184" s="3">
        <v>1</v>
      </c>
      <c r="BF184" s="3">
        <v>0</v>
      </c>
      <c r="BG184" s="3">
        <v>0</v>
      </c>
      <c r="BH184" s="3">
        <v>0</v>
      </c>
      <c r="BI184" s="3">
        <v>0</v>
      </c>
      <c r="BJ184" s="3">
        <v>0</v>
      </c>
      <c r="BK184" s="3">
        <v>0</v>
      </c>
      <c r="BL184" s="3">
        <v>0</v>
      </c>
      <c r="BM184" s="3">
        <v>0</v>
      </c>
      <c r="BN184" s="3">
        <f t="shared" si="14"/>
        <v>56.64</v>
      </c>
      <c r="BO184">
        <v>2455</v>
      </c>
      <c r="BP184" s="3">
        <v>20</v>
      </c>
      <c r="BQ184" s="1">
        <f t="shared" si="11"/>
        <v>8.1466395112016286E-3</v>
      </c>
      <c r="BR184" s="6">
        <v>0.156</v>
      </c>
      <c r="BS184" s="6">
        <v>4.2000000000000003E-2</v>
      </c>
      <c r="BT184" s="6">
        <v>1.0999999999999999E-2</v>
      </c>
      <c r="BU184" s="6">
        <v>7.5999999999999998E-2</v>
      </c>
      <c r="BV184" s="6">
        <v>2.3E-2</v>
      </c>
      <c r="BW184" s="6"/>
      <c r="BX184" s="3">
        <v>2114</v>
      </c>
      <c r="BY184" s="3">
        <v>0</v>
      </c>
      <c r="BZ184" s="3">
        <v>0</v>
      </c>
      <c r="CA184" s="3">
        <v>0</v>
      </c>
      <c r="CB184" s="3">
        <v>0</v>
      </c>
      <c r="CC184" s="3">
        <v>0</v>
      </c>
      <c r="CD184" s="3">
        <v>3292</v>
      </c>
      <c r="CE184" s="4">
        <f t="shared" si="7"/>
        <v>11.611488125602412</v>
      </c>
      <c r="CF184" s="4">
        <f t="shared" si="8"/>
        <v>0.5724713816622935</v>
      </c>
      <c r="CG184" s="15">
        <f t="shared" si="9"/>
        <v>4990.3492310584752</v>
      </c>
      <c r="CH184" s="6">
        <f t="shared" si="10"/>
        <v>0.21020595060590411</v>
      </c>
      <c r="CJ184" s="6"/>
      <c r="CK184">
        <v>11.635494754230812</v>
      </c>
      <c r="CL184">
        <v>0.58285798496095031</v>
      </c>
      <c r="CM184">
        <v>5032.0199755015892</v>
      </c>
      <c r="CN184">
        <v>0.2015401475381976</v>
      </c>
    </row>
    <row r="185" spans="1:92">
      <c r="A185" t="s">
        <v>321</v>
      </c>
      <c r="B185" t="s">
        <v>315</v>
      </c>
      <c r="C185" s="5">
        <v>1.0366293929712485</v>
      </c>
      <c r="D185" s="16">
        <v>2.9000000000000001E-2</v>
      </c>
      <c r="E185">
        <v>1127</v>
      </c>
      <c r="F185" s="3">
        <f t="shared" si="6"/>
        <v>511.19920893396596</v>
      </c>
      <c r="G185">
        <v>0</v>
      </c>
      <c r="H185">
        <v>0</v>
      </c>
      <c r="I185">
        <v>0</v>
      </c>
      <c r="J185">
        <v>0</v>
      </c>
      <c r="K185">
        <v>0</v>
      </c>
      <c r="L185">
        <v>1</v>
      </c>
      <c r="M185">
        <v>0</v>
      </c>
      <c r="N185">
        <v>0</v>
      </c>
      <c r="O185">
        <v>0</v>
      </c>
      <c r="P185">
        <v>1</v>
      </c>
      <c r="Q185">
        <v>0</v>
      </c>
      <c r="R185" s="3">
        <f t="shared" si="12"/>
        <v>490.5</v>
      </c>
      <c r="S185" s="3">
        <f t="shared" si="13"/>
        <v>522</v>
      </c>
      <c r="T185">
        <v>58044009</v>
      </c>
      <c r="U185" s="6">
        <v>7.400000000000001E-2</v>
      </c>
      <c r="V185" s="90">
        <v>3.3399999999999997E-3</v>
      </c>
      <c r="W185" s="12">
        <v>6.0000000000000001E-3</v>
      </c>
      <c r="X185" s="6">
        <f t="shared" ref="X185:X229" si="15">IF($B185="NA",X$239,LOOKUP($B185,$A$232:$A$236,X$232:X$236))</f>
        <v>3.2575000000000003</v>
      </c>
      <c r="Y185">
        <v>8.1</v>
      </c>
      <c r="Z185" s="5">
        <v>5.25</v>
      </c>
      <c r="AA185" s="3">
        <v>268431</v>
      </c>
      <c r="AB185" s="15">
        <v>980</v>
      </c>
      <c r="AC185" s="15">
        <v>54720</v>
      </c>
      <c r="AD185" s="3">
        <v>27760</v>
      </c>
      <c r="AE185" s="5">
        <v>1.2756302521008405</v>
      </c>
      <c r="AF185" s="15">
        <v>67550</v>
      </c>
      <c r="AG185">
        <v>560</v>
      </c>
      <c r="AH185" s="15">
        <v>75960</v>
      </c>
      <c r="AI185">
        <v>50</v>
      </c>
      <c r="AJ185" s="15">
        <v>59150</v>
      </c>
      <c r="AK185">
        <v>80</v>
      </c>
      <c r="AL185" s="15">
        <v>45850</v>
      </c>
      <c r="AM185">
        <v>8440</v>
      </c>
      <c r="AO185" s="3">
        <v>0</v>
      </c>
      <c r="AP185" s="3">
        <v>0</v>
      </c>
      <c r="AQ185" s="3">
        <v>0</v>
      </c>
      <c r="AR185" s="3">
        <v>0</v>
      </c>
      <c r="AS185" s="3">
        <v>0</v>
      </c>
      <c r="AT185" s="3">
        <v>1</v>
      </c>
      <c r="AU185" s="3">
        <v>0</v>
      </c>
      <c r="AV185" s="3">
        <v>0</v>
      </c>
      <c r="AW185" s="3">
        <v>0</v>
      </c>
      <c r="AX185" s="3">
        <v>0</v>
      </c>
      <c r="AY185" s="3">
        <v>0</v>
      </c>
      <c r="AZ185" s="3">
        <v>0</v>
      </c>
      <c r="BA185" s="3">
        <v>1</v>
      </c>
      <c r="BB185" s="3">
        <v>0</v>
      </c>
      <c r="BC185" s="3">
        <v>1</v>
      </c>
      <c r="BD185" s="3">
        <v>0</v>
      </c>
      <c r="BE185" s="3">
        <v>0</v>
      </c>
      <c r="BF185" s="3">
        <v>0</v>
      </c>
      <c r="BG185" s="3">
        <v>0</v>
      </c>
      <c r="BH185" s="3">
        <v>0</v>
      </c>
      <c r="BI185" s="3">
        <v>0</v>
      </c>
      <c r="BJ185" s="3">
        <v>0</v>
      </c>
      <c r="BK185" s="3">
        <v>0</v>
      </c>
      <c r="BL185" s="3">
        <v>0</v>
      </c>
      <c r="BM185" s="3">
        <v>0</v>
      </c>
      <c r="BN185" s="3">
        <f t="shared" si="14"/>
        <v>56.733333333333327</v>
      </c>
      <c r="BO185">
        <v>954</v>
      </c>
      <c r="BP185" s="3">
        <v>8</v>
      </c>
      <c r="BQ185" s="1">
        <f t="shared" si="11"/>
        <v>8.385744234800839E-3</v>
      </c>
      <c r="BR185" s="6">
        <v>0.156</v>
      </c>
      <c r="BS185" s="6">
        <v>4.2000000000000003E-2</v>
      </c>
      <c r="BT185" s="6">
        <v>1.0999999999999999E-2</v>
      </c>
      <c r="BU185" s="6">
        <v>7.5999999999999998E-2</v>
      </c>
      <c r="BV185" s="6">
        <v>2.3E-2</v>
      </c>
      <c r="BW185" s="6"/>
      <c r="BX185" s="3">
        <v>1341</v>
      </c>
      <c r="BY185" s="3">
        <v>0</v>
      </c>
      <c r="BZ185" s="3">
        <v>0</v>
      </c>
      <c r="CA185" s="3">
        <v>0</v>
      </c>
      <c r="CB185" s="3">
        <v>0</v>
      </c>
      <c r="CC185" s="3">
        <v>0</v>
      </c>
      <c r="CD185" s="3">
        <v>1503</v>
      </c>
      <c r="CE185" s="4">
        <f t="shared" si="7"/>
        <v>11.629219268483213</v>
      </c>
      <c r="CF185" s="4">
        <f t="shared" si="8"/>
        <v>0.580142860651926</v>
      </c>
      <c r="CG185" s="15">
        <f t="shared" si="9"/>
        <v>5021.1269772846199</v>
      </c>
      <c r="CH185" s="6">
        <f t="shared" si="10"/>
        <v>0.20380544369804907</v>
      </c>
      <c r="CJ185" s="6"/>
      <c r="CK185">
        <v>11.635494754230812</v>
      </c>
      <c r="CL185">
        <v>0.58285798496095031</v>
      </c>
      <c r="CM185">
        <v>5032.0199755015892</v>
      </c>
      <c r="CN185">
        <v>0.2015401475381976</v>
      </c>
    </row>
    <row r="186" spans="1:92">
      <c r="A186" t="s">
        <v>322</v>
      </c>
      <c r="B186" t="s">
        <v>313</v>
      </c>
      <c r="C186" s="5">
        <v>1.1364864864864854</v>
      </c>
      <c r="D186" s="16">
        <v>6.3500000000000001E-2</v>
      </c>
      <c r="E186">
        <v>550</v>
      </c>
      <c r="F186" s="3">
        <f t="shared" si="6"/>
        <v>249.47610018960185</v>
      </c>
      <c r="G186">
        <v>0</v>
      </c>
      <c r="H186">
        <v>0</v>
      </c>
      <c r="I186">
        <v>1</v>
      </c>
      <c r="J186">
        <v>0</v>
      </c>
      <c r="K186">
        <v>0</v>
      </c>
      <c r="L186">
        <v>0</v>
      </c>
      <c r="M186">
        <v>0</v>
      </c>
      <c r="N186">
        <v>0</v>
      </c>
      <c r="O186">
        <v>0</v>
      </c>
      <c r="P186">
        <v>0</v>
      </c>
      <c r="Q186">
        <v>0</v>
      </c>
      <c r="R186" s="3">
        <f t="shared" si="12"/>
        <v>376</v>
      </c>
      <c r="S186" s="3">
        <f t="shared" si="13"/>
        <v>400</v>
      </c>
      <c r="T186">
        <v>43054099</v>
      </c>
      <c r="U186" s="6">
        <v>0.13439999999999999</v>
      </c>
      <c r="V186" s="90">
        <v>2.82E-3</v>
      </c>
      <c r="W186" s="12">
        <v>8.5999999999999993E-2</v>
      </c>
      <c r="X186" s="6">
        <f t="shared" si="15"/>
        <v>3.2866</v>
      </c>
      <c r="Y186">
        <v>10.4</v>
      </c>
      <c r="Z186" s="5">
        <v>4.25</v>
      </c>
      <c r="AA186" s="3">
        <v>12542</v>
      </c>
      <c r="AB186" s="15">
        <v>8290</v>
      </c>
      <c r="AC186" s="15">
        <v>53910</v>
      </c>
      <c r="AD186" s="3">
        <v>15150</v>
      </c>
      <c r="AE186" s="5">
        <v>1.2645259938837918</v>
      </c>
      <c r="AF186" s="15">
        <v>82430</v>
      </c>
      <c r="AG186">
        <v>340</v>
      </c>
      <c r="AH186" s="10">
        <v>55982.7</v>
      </c>
      <c r="AI186" s="8">
        <v>0</v>
      </c>
      <c r="AJ186" s="10">
        <v>50229.389671361503</v>
      </c>
      <c r="AK186" s="8">
        <v>0</v>
      </c>
      <c r="AL186" s="15">
        <v>44200</v>
      </c>
      <c r="AM186">
        <v>2370</v>
      </c>
      <c r="AN186" s="8"/>
      <c r="AO186" s="3">
        <v>0</v>
      </c>
      <c r="AP186" s="3">
        <v>0</v>
      </c>
      <c r="AQ186" s="3">
        <v>0</v>
      </c>
      <c r="AR186" s="3">
        <v>0</v>
      </c>
      <c r="AS186" s="3">
        <v>0</v>
      </c>
      <c r="AT186" s="3">
        <v>0</v>
      </c>
      <c r="AU186" s="3">
        <v>0</v>
      </c>
      <c r="AV186" s="3">
        <v>0</v>
      </c>
      <c r="AW186" s="3">
        <v>0</v>
      </c>
      <c r="AX186" s="3">
        <v>0</v>
      </c>
      <c r="AY186" s="3">
        <v>0</v>
      </c>
      <c r="AZ186" s="3">
        <v>0</v>
      </c>
      <c r="BA186" s="3">
        <v>0</v>
      </c>
      <c r="BB186" s="3">
        <v>0</v>
      </c>
      <c r="BC186" s="3">
        <v>0</v>
      </c>
      <c r="BD186" s="3">
        <v>0</v>
      </c>
      <c r="BE186" s="3">
        <v>0</v>
      </c>
      <c r="BF186" s="3">
        <v>0</v>
      </c>
      <c r="BG186" s="3">
        <v>0</v>
      </c>
      <c r="BH186" s="3">
        <v>0</v>
      </c>
      <c r="BI186" s="3">
        <v>0</v>
      </c>
      <c r="BJ186" s="3">
        <v>0</v>
      </c>
      <c r="BK186" s="3">
        <v>1</v>
      </c>
      <c r="BL186" s="3">
        <v>0</v>
      </c>
      <c r="BM186" s="3">
        <v>1</v>
      </c>
      <c r="BN186" s="3">
        <f t="shared" si="14"/>
        <v>54.8</v>
      </c>
      <c r="BO186">
        <v>346</v>
      </c>
      <c r="BP186" s="3">
        <v>6</v>
      </c>
      <c r="BQ186" s="1">
        <f t="shared" si="11"/>
        <v>1.7341040462427744E-2</v>
      </c>
      <c r="BR186" s="6">
        <v>0.17499999999999999</v>
      </c>
      <c r="BS186" s="6">
        <v>0.04</v>
      </c>
      <c r="BT186" s="6">
        <v>1.7999999999999999E-2</v>
      </c>
      <c r="BU186" s="6">
        <v>8.4000000000000005E-2</v>
      </c>
      <c r="BV186" s="6">
        <v>4.8000000000000001E-2</v>
      </c>
      <c r="BW186" s="6"/>
      <c r="BX186" s="3">
        <v>0</v>
      </c>
      <c r="BY186" s="3">
        <v>0</v>
      </c>
      <c r="BZ186" s="3">
        <v>62</v>
      </c>
      <c r="CA186" s="3">
        <v>0</v>
      </c>
      <c r="CB186" s="3">
        <v>0</v>
      </c>
      <c r="CC186" s="3">
        <v>0</v>
      </c>
      <c r="CD186" s="3">
        <v>0</v>
      </c>
      <c r="CE186" s="4">
        <f t="shared" si="7"/>
        <v>10.960643963033506</v>
      </c>
      <c r="CF186" s="4">
        <f t="shared" si="8"/>
        <v>0.89666325318342188</v>
      </c>
      <c r="CG186" s="15">
        <f t="shared" si="9"/>
        <v>5142.8171020473019</v>
      </c>
      <c r="CH186" s="6">
        <f t="shared" si="10"/>
        <v>0.12617110418812871</v>
      </c>
      <c r="CJ186" s="6"/>
      <c r="CK186">
        <v>0</v>
      </c>
      <c r="CL186">
        <v>0</v>
      </c>
      <c r="CM186">
        <v>0</v>
      </c>
      <c r="CN186">
        <v>0</v>
      </c>
    </row>
    <row r="187" spans="1:92">
      <c r="A187" t="s">
        <v>323</v>
      </c>
      <c r="B187" t="s">
        <v>313</v>
      </c>
      <c r="C187" s="5">
        <v>1.1206250000000009</v>
      </c>
      <c r="D187" s="16">
        <v>0</v>
      </c>
      <c r="E187">
        <v>1112</v>
      </c>
      <c r="F187" s="3">
        <f t="shared" si="6"/>
        <v>504.39531529243141</v>
      </c>
      <c r="G187">
        <v>0</v>
      </c>
      <c r="H187">
        <v>0</v>
      </c>
      <c r="I187">
        <v>0</v>
      </c>
      <c r="J187">
        <v>0</v>
      </c>
      <c r="K187">
        <v>0</v>
      </c>
      <c r="L187">
        <v>0</v>
      </c>
      <c r="M187">
        <v>1</v>
      </c>
      <c r="N187">
        <v>0</v>
      </c>
      <c r="O187">
        <v>0</v>
      </c>
      <c r="P187">
        <v>0</v>
      </c>
      <c r="Q187">
        <v>0</v>
      </c>
      <c r="R187" s="3">
        <f t="shared" si="12"/>
        <v>522</v>
      </c>
      <c r="S187" s="3">
        <f t="shared" si="13"/>
        <v>578</v>
      </c>
      <c r="T187">
        <v>5308370</v>
      </c>
      <c r="U187" s="6">
        <v>7.6999999999999999E-2</v>
      </c>
      <c r="V187" s="90">
        <v>3.0800000000000003E-3</v>
      </c>
      <c r="W187" s="12">
        <v>0.04</v>
      </c>
      <c r="X187" s="6">
        <f t="shared" si="15"/>
        <v>3.2866</v>
      </c>
      <c r="Y187">
        <v>13.8</v>
      </c>
      <c r="Z187" s="5">
        <v>4.5</v>
      </c>
      <c r="AA187" s="3">
        <v>5047</v>
      </c>
      <c r="AB187" s="15">
        <v>8290</v>
      </c>
      <c r="AC187" s="15">
        <v>52860</v>
      </c>
      <c r="AD187" s="3">
        <v>7240</v>
      </c>
      <c r="AE187" s="5">
        <v>1.2645259938837918</v>
      </c>
      <c r="AF187" s="15">
        <v>62960</v>
      </c>
      <c r="AG187">
        <v>70</v>
      </c>
      <c r="AH187" s="10">
        <v>55982.7</v>
      </c>
      <c r="AI187" s="8">
        <v>0</v>
      </c>
      <c r="AJ187" s="10">
        <v>50229.389671361503</v>
      </c>
      <c r="AK187" s="8">
        <v>0</v>
      </c>
      <c r="AL187" s="15">
        <v>48020</v>
      </c>
      <c r="AM187">
        <v>5390</v>
      </c>
      <c r="AN187" s="8"/>
      <c r="AO187" s="3">
        <v>0</v>
      </c>
      <c r="AP187" s="3">
        <v>0</v>
      </c>
      <c r="AQ187" s="3">
        <v>0</v>
      </c>
      <c r="AR187" s="3">
        <v>0</v>
      </c>
      <c r="AS187" s="3">
        <v>0</v>
      </c>
      <c r="AT187" s="3">
        <v>0</v>
      </c>
      <c r="AU187" s="3">
        <v>0</v>
      </c>
      <c r="AV187" s="3">
        <v>0</v>
      </c>
      <c r="AW187" s="3">
        <v>0</v>
      </c>
      <c r="AX187" s="3">
        <v>0</v>
      </c>
      <c r="AY187" s="3">
        <v>0</v>
      </c>
      <c r="AZ187" s="3">
        <v>0</v>
      </c>
      <c r="BA187" s="3">
        <v>0</v>
      </c>
      <c r="BB187" s="3">
        <v>0</v>
      </c>
      <c r="BC187" s="3">
        <v>0</v>
      </c>
      <c r="BD187" s="3">
        <v>0</v>
      </c>
      <c r="BE187" s="3">
        <v>0</v>
      </c>
      <c r="BF187" s="3">
        <v>0</v>
      </c>
      <c r="BG187" s="3">
        <v>0</v>
      </c>
      <c r="BH187" s="3">
        <v>0</v>
      </c>
      <c r="BI187" s="3">
        <v>0</v>
      </c>
      <c r="BJ187" s="3">
        <v>0</v>
      </c>
      <c r="BK187" s="3">
        <v>0</v>
      </c>
      <c r="BL187" s="3">
        <v>0</v>
      </c>
      <c r="BM187" s="3">
        <v>1</v>
      </c>
      <c r="BN187" s="3">
        <f t="shared" si="14"/>
        <v>56.2</v>
      </c>
      <c r="BO187">
        <v>41</v>
      </c>
      <c r="BP187" s="3">
        <v>0</v>
      </c>
      <c r="BQ187" s="1">
        <f t="shared" si="11"/>
        <v>0</v>
      </c>
      <c r="BR187" s="6">
        <v>0.17499999999999999</v>
      </c>
      <c r="BS187" s="6">
        <v>0.04</v>
      </c>
      <c r="BT187" s="6">
        <v>1.7999999999999999E-2</v>
      </c>
      <c r="BU187" s="6">
        <v>8.4000000000000005E-2</v>
      </c>
      <c r="BV187" s="6">
        <v>4.8000000000000001E-2</v>
      </c>
      <c r="BW187" s="6"/>
      <c r="BX187" s="3">
        <v>0</v>
      </c>
      <c r="BY187" s="3">
        <v>0</v>
      </c>
      <c r="BZ187" s="3">
        <v>46</v>
      </c>
      <c r="CA187" s="3">
        <v>0</v>
      </c>
      <c r="CB187" s="3">
        <v>0</v>
      </c>
      <c r="CC187" s="3">
        <v>181</v>
      </c>
      <c r="CD187" s="3">
        <v>0</v>
      </c>
      <c r="CE187" s="4">
        <f t="shared" si="7"/>
        <v>9.9721633967530199</v>
      </c>
      <c r="CF187" s="4">
        <f t="shared" si="8"/>
        <v>0.91979290642927425</v>
      </c>
      <c r="CG187" s="15">
        <f t="shared" si="9"/>
        <v>4869.5356689447244</v>
      </c>
      <c r="CH187" s="6">
        <f t="shared" si="10"/>
        <v>0.10384116340413707</v>
      </c>
      <c r="CJ187" s="6"/>
      <c r="CK187">
        <v>10.340795652133865</v>
      </c>
      <c r="CL187">
        <v>0.91116720701438458</v>
      </c>
      <c r="CM187">
        <v>4971.4500155437518</v>
      </c>
      <c r="CN187">
        <v>0.11216862750866434</v>
      </c>
    </row>
    <row r="188" spans="1:92">
      <c r="A188" t="s">
        <v>324</v>
      </c>
      <c r="B188" t="s">
        <v>313</v>
      </c>
      <c r="C188" s="5">
        <v>0.8577457404980372</v>
      </c>
      <c r="D188" s="16">
        <v>0.06</v>
      </c>
      <c r="E188">
        <v>829</v>
      </c>
      <c r="F188" s="3">
        <f t="shared" si="6"/>
        <v>376.02852192214533</v>
      </c>
      <c r="G188">
        <v>0</v>
      </c>
      <c r="H188">
        <v>0</v>
      </c>
      <c r="I188">
        <v>0</v>
      </c>
      <c r="J188">
        <v>0</v>
      </c>
      <c r="K188">
        <v>0</v>
      </c>
      <c r="L188">
        <v>0</v>
      </c>
      <c r="M188">
        <v>0</v>
      </c>
      <c r="N188">
        <v>0</v>
      </c>
      <c r="O188">
        <v>1</v>
      </c>
      <c r="P188">
        <v>0</v>
      </c>
      <c r="Q188">
        <v>0</v>
      </c>
      <c r="R188" s="3">
        <f t="shared" si="12"/>
        <v>548</v>
      </c>
      <c r="S188" s="3">
        <f t="shared" si="13"/>
        <v>583</v>
      </c>
      <c r="T188">
        <v>258910413</v>
      </c>
      <c r="U188" s="6">
        <v>7.6499999999999999E-2</v>
      </c>
      <c r="V188" s="90">
        <v>3.0800000000000003E-3</v>
      </c>
      <c r="W188" s="12">
        <v>0.04</v>
      </c>
      <c r="X188" s="6">
        <f t="shared" si="15"/>
        <v>3.2866</v>
      </c>
      <c r="Y188">
        <v>22.2</v>
      </c>
      <c r="Z188" s="5">
        <v>5.25</v>
      </c>
      <c r="AA188" s="3">
        <v>138887</v>
      </c>
      <c r="AB188" s="15">
        <v>6500</v>
      </c>
      <c r="AC188" s="15">
        <v>49690</v>
      </c>
      <c r="AD188" s="3">
        <v>99490</v>
      </c>
      <c r="AE188" s="5">
        <v>1.3194221508828252</v>
      </c>
      <c r="AF188" s="15">
        <v>63310</v>
      </c>
      <c r="AG188">
        <v>2100</v>
      </c>
      <c r="AH188" s="15">
        <v>36620</v>
      </c>
      <c r="AI188">
        <v>410</v>
      </c>
      <c r="AJ188" s="15">
        <v>46160</v>
      </c>
      <c r="AK188">
        <v>890</v>
      </c>
      <c r="AL188" s="15">
        <v>40670</v>
      </c>
      <c r="AM188">
        <v>32630</v>
      </c>
      <c r="AO188" s="3">
        <v>0</v>
      </c>
      <c r="AP188" s="3">
        <v>1</v>
      </c>
      <c r="AQ188" s="3">
        <v>0</v>
      </c>
      <c r="AR188" s="3">
        <v>0</v>
      </c>
      <c r="AS188" s="3">
        <v>0</v>
      </c>
      <c r="AT188" s="3">
        <v>0</v>
      </c>
      <c r="AU188" s="3">
        <v>0</v>
      </c>
      <c r="AV188" s="3">
        <v>0</v>
      </c>
      <c r="AW188" s="3">
        <v>0</v>
      </c>
      <c r="AX188" s="3">
        <v>0</v>
      </c>
      <c r="AY188" s="3">
        <v>0</v>
      </c>
      <c r="AZ188" s="3">
        <v>0</v>
      </c>
      <c r="BA188" s="3">
        <v>0</v>
      </c>
      <c r="BB188" s="3">
        <v>1</v>
      </c>
      <c r="BC188" s="3">
        <v>0</v>
      </c>
      <c r="BD188" s="3">
        <v>0</v>
      </c>
      <c r="BE188" s="3">
        <v>0</v>
      </c>
      <c r="BF188" s="3">
        <v>0</v>
      </c>
      <c r="BG188" s="3">
        <v>0</v>
      </c>
      <c r="BH188" s="3">
        <v>0</v>
      </c>
      <c r="BI188" s="3">
        <v>0</v>
      </c>
      <c r="BJ188" s="3">
        <v>0</v>
      </c>
      <c r="BK188" s="3">
        <v>0</v>
      </c>
      <c r="BL188" s="3">
        <v>0</v>
      </c>
      <c r="BM188" s="3">
        <v>1</v>
      </c>
      <c r="BN188" s="3">
        <f t="shared" si="14"/>
        <v>56.766666666666673</v>
      </c>
      <c r="BO188">
        <v>1472</v>
      </c>
      <c r="BP188" s="3">
        <v>10</v>
      </c>
      <c r="BQ188" s="1">
        <f t="shared" si="11"/>
        <v>6.793478260869565E-3</v>
      </c>
      <c r="BR188" s="6">
        <v>0.17399999999999999</v>
      </c>
      <c r="BS188" s="6">
        <v>4.2999999999999997E-2</v>
      </c>
      <c r="BT188" s="6">
        <v>1.7000000000000001E-2</v>
      </c>
      <c r="BU188" s="6">
        <v>9.4E-2</v>
      </c>
      <c r="BV188" s="6">
        <v>2.8000000000000001E-2</v>
      </c>
      <c r="BW188" s="6"/>
      <c r="BX188" s="3">
        <v>0</v>
      </c>
      <c r="BY188" s="3">
        <v>0</v>
      </c>
      <c r="BZ188" s="3">
        <v>1628</v>
      </c>
      <c r="CA188" s="3">
        <v>0</v>
      </c>
      <c r="CB188" s="3">
        <v>0</v>
      </c>
      <c r="CC188" s="3">
        <v>126</v>
      </c>
      <c r="CD188" s="3">
        <v>0</v>
      </c>
      <c r="CE188" s="4">
        <f t="shared" si="7"/>
        <v>10.871589359643135</v>
      </c>
      <c r="CF188" s="4">
        <f t="shared" si="8"/>
        <v>0.89874705954910172</v>
      </c>
      <c r="CG188" s="15">
        <f t="shared" si="9"/>
        <v>5118.1965172132677</v>
      </c>
      <c r="CH188" s="6">
        <f t="shared" si="10"/>
        <v>0.1241593458510563</v>
      </c>
      <c r="CJ188" s="6"/>
      <c r="CK188">
        <v>10.340795652133865</v>
      </c>
      <c r="CL188">
        <v>0.91116720701438458</v>
      </c>
      <c r="CM188">
        <v>4971.4500155437518</v>
      </c>
      <c r="CN188">
        <v>0.11216862750866434</v>
      </c>
    </row>
    <row r="189" spans="1:92" s="8" customFormat="1">
      <c r="A189" t="s">
        <v>325</v>
      </c>
      <c r="B189" t="s">
        <v>313</v>
      </c>
      <c r="C189" s="5">
        <v>0.85948753462603633</v>
      </c>
      <c r="D189" s="16">
        <v>0.04</v>
      </c>
      <c r="E189">
        <v>761</v>
      </c>
      <c r="F189" s="3">
        <f t="shared" si="6"/>
        <v>345.18420408052185</v>
      </c>
      <c r="G189">
        <v>0</v>
      </c>
      <c r="H189">
        <v>0</v>
      </c>
      <c r="I189">
        <v>0</v>
      </c>
      <c r="J189">
        <v>0</v>
      </c>
      <c r="K189">
        <v>0</v>
      </c>
      <c r="L189">
        <v>0</v>
      </c>
      <c r="M189">
        <v>0</v>
      </c>
      <c r="N189">
        <v>0</v>
      </c>
      <c r="O189">
        <v>1</v>
      </c>
      <c r="P189">
        <v>0</v>
      </c>
      <c r="Q189">
        <v>0</v>
      </c>
      <c r="R189" s="3">
        <f t="shared" si="12"/>
        <v>548</v>
      </c>
      <c r="S189" s="3">
        <f t="shared" si="13"/>
        <v>583</v>
      </c>
      <c r="T189">
        <v>126484633</v>
      </c>
      <c r="U189" s="6">
        <v>6.1699999999999998E-2</v>
      </c>
      <c r="V189" s="90">
        <v>3.0800000000000003E-3</v>
      </c>
      <c r="W189" s="12">
        <v>0.04</v>
      </c>
      <c r="X189" s="6">
        <f t="shared" si="15"/>
        <v>3.2866</v>
      </c>
      <c r="Y189">
        <v>18.2</v>
      </c>
      <c r="Z189" s="5">
        <v>5</v>
      </c>
      <c r="AA189" s="3">
        <v>148959</v>
      </c>
      <c r="AB189" s="15">
        <v>4600</v>
      </c>
      <c r="AC189" s="15">
        <v>52610</v>
      </c>
      <c r="AD189" s="3">
        <v>74970</v>
      </c>
      <c r="AE189" s="5">
        <v>1.3194221508828252</v>
      </c>
      <c r="AF189" s="15">
        <v>52830</v>
      </c>
      <c r="AG189">
        <v>830</v>
      </c>
      <c r="AH189" s="15">
        <v>57910</v>
      </c>
      <c r="AI189">
        <v>70</v>
      </c>
      <c r="AJ189" s="15">
        <v>43540</v>
      </c>
      <c r="AK189">
        <v>260</v>
      </c>
      <c r="AL189" s="15">
        <v>41810</v>
      </c>
      <c r="AM189">
        <v>54020</v>
      </c>
      <c r="AN189"/>
      <c r="AO189" s="3">
        <v>0</v>
      </c>
      <c r="AP189" s="3">
        <v>0</v>
      </c>
      <c r="AQ189" s="3">
        <v>0</v>
      </c>
      <c r="AR189" s="3">
        <v>1</v>
      </c>
      <c r="AS189" s="3">
        <v>1</v>
      </c>
      <c r="AT189" s="3">
        <v>0</v>
      </c>
      <c r="AU189" s="3">
        <v>0</v>
      </c>
      <c r="AV189" s="3">
        <v>0</v>
      </c>
      <c r="AW189" s="3">
        <v>0</v>
      </c>
      <c r="AX189" s="3">
        <v>0</v>
      </c>
      <c r="AY189" s="3">
        <v>0</v>
      </c>
      <c r="AZ189" s="3">
        <v>0</v>
      </c>
      <c r="BA189" s="3">
        <v>0</v>
      </c>
      <c r="BB189" s="3">
        <v>1</v>
      </c>
      <c r="BC189" s="3">
        <v>0</v>
      </c>
      <c r="BD189" s="3">
        <v>0</v>
      </c>
      <c r="BE189" s="3">
        <v>0</v>
      </c>
      <c r="BF189" s="3">
        <v>0</v>
      </c>
      <c r="BG189" s="3">
        <v>0</v>
      </c>
      <c r="BH189" s="3">
        <v>1</v>
      </c>
      <c r="BI189" s="3">
        <v>0</v>
      </c>
      <c r="BJ189" s="3">
        <v>0</v>
      </c>
      <c r="BK189" s="3">
        <v>0</v>
      </c>
      <c r="BL189" s="3">
        <v>0</v>
      </c>
      <c r="BM189" s="3">
        <v>1</v>
      </c>
      <c r="BN189" s="3">
        <f t="shared" si="14"/>
        <v>57.320000000000007</v>
      </c>
      <c r="BO189">
        <v>1245</v>
      </c>
      <c r="BP189">
        <v>11</v>
      </c>
      <c r="BQ189" s="1">
        <f t="shared" si="11"/>
        <v>8.8353413654618466E-3</v>
      </c>
      <c r="BR189" s="6">
        <v>0.17399999999999999</v>
      </c>
      <c r="BS189" s="6">
        <v>4.2999999999999997E-2</v>
      </c>
      <c r="BT189" s="6">
        <v>1.7000000000000001E-2</v>
      </c>
      <c r="BU189" s="6">
        <v>9.4E-2</v>
      </c>
      <c r="BV189" s="6">
        <v>2.8000000000000001E-2</v>
      </c>
      <c r="BW189" s="6"/>
      <c r="BX189" s="3">
        <v>0</v>
      </c>
      <c r="BY189" s="3">
        <v>0</v>
      </c>
      <c r="BZ189" s="3">
        <v>1706</v>
      </c>
      <c r="CA189" s="3">
        <v>0</v>
      </c>
      <c r="CB189" s="3">
        <v>0</v>
      </c>
      <c r="CC189" s="3">
        <v>1582</v>
      </c>
      <c r="CD189" s="3">
        <v>0</v>
      </c>
      <c r="CE189" s="4">
        <f t="shared" si="7"/>
        <v>10.364171926632514</v>
      </c>
      <c r="CF189" s="4">
        <f t="shared" si="8"/>
        <v>0.9106202209210027</v>
      </c>
      <c r="CG189" s="15">
        <f t="shared" si="9"/>
        <v>4977.9127645481431</v>
      </c>
      <c r="CH189" s="6">
        <f t="shared" si="10"/>
        <v>0.11269670144669766</v>
      </c>
      <c r="CJ189" s="6"/>
      <c r="CK189" s="8">
        <v>10.340795652133865</v>
      </c>
      <c r="CL189" s="8">
        <v>0.91116720701438458</v>
      </c>
      <c r="CM189" s="8">
        <v>4971.4500155437518</v>
      </c>
      <c r="CN189" s="8">
        <v>0.11216862750866434</v>
      </c>
    </row>
    <row r="190" spans="1:92">
      <c r="A190" t="s">
        <v>326</v>
      </c>
      <c r="B190" t="s">
        <v>37</v>
      </c>
      <c r="C190" s="5">
        <v>2.1747044334975358</v>
      </c>
      <c r="D190" s="16">
        <v>4.1660000000000003E-2</v>
      </c>
      <c r="E190">
        <v>1514</v>
      </c>
      <c r="F190" s="3">
        <f t="shared" si="6"/>
        <v>686.73966488555857</v>
      </c>
      <c r="G190">
        <v>0</v>
      </c>
      <c r="H190">
        <v>0</v>
      </c>
      <c r="I190">
        <v>0</v>
      </c>
      <c r="J190">
        <v>0</v>
      </c>
      <c r="K190">
        <v>0</v>
      </c>
      <c r="L190">
        <v>0</v>
      </c>
      <c r="M190">
        <v>0</v>
      </c>
      <c r="N190">
        <v>0</v>
      </c>
      <c r="O190">
        <v>0</v>
      </c>
      <c r="P190">
        <v>0</v>
      </c>
      <c r="Q190">
        <v>0</v>
      </c>
      <c r="R190" s="3">
        <v>862</v>
      </c>
      <c r="S190" s="3">
        <v>902</v>
      </c>
      <c r="T190">
        <v>9337434</v>
      </c>
      <c r="U190" s="6">
        <v>0.2576</v>
      </c>
      <c r="V190" s="90">
        <v>4.6800000000000001E-3</v>
      </c>
      <c r="W190" s="12">
        <v>5.2999999999999999E-2</v>
      </c>
      <c r="X190" s="6">
        <f t="shared" si="15"/>
        <v>3.2469000000000001</v>
      </c>
      <c r="Y190">
        <v>24.4</v>
      </c>
      <c r="Z190" s="5">
        <v>5.75</v>
      </c>
      <c r="AA190" s="3">
        <v>16635</v>
      </c>
      <c r="AB190" s="10">
        <f>AB239</f>
        <v>1760</v>
      </c>
      <c r="AC190" s="15">
        <v>55560</v>
      </c>
      <c r="AD190" s="3">
        <v>4030</v>
      </c>
      <c r="AE190" s="5">
        <v>1.2756302521008405</v>
      </c>
      <c r="AF190" s="15">
        <v>105170</v>
      </c>
      <c r="AG190">
        <v>240</v>
      </c>
      <c r="AH190" s="10">
        <v>60049.845201238393</v>
      </c>
      <c r="AI190" s="8">
        <v>0</v>
      </c>
      <c r="AJ190" s="10">
        <v>58063.089108910892</v>
      </c>
      <c r="AK190" s="8">
        <v>0</v>
      </c>
      <c r="AL190" s="15">
        <v>67020</v>
      </c>
      <c r="AM190">
        <v>500</v>
      </c>
      <c r="AN190" s="8"/>
      <c r="AO190" s="3">
        <v>0</v>
      </c>
      <c r="AP190" s="3">
        <v>0</v>
      </c>
      <c r="AQ190" s="3">
        <v>0</v>
      </c>
      <c r="AR190" s="3">
        <v>0</v>
      </c>
      <c r="AS190" s="3">
        <v>0</v>
      </c>
      <c r="AT190" s="3">
        <v>0</v>
      </c>
      <c r="AU190" s="3">
        <v>0</v>
      </c>
      <c r="AV190" s="3">
        <v>0</v>
      </c>
      <c r="AW190" s="3">
        <v>0</v>
      </c>
      <c r="AX190" s="3">
        <v>0</v>
      </c>
      <c r="AY190" s="3">
        <v>0</v>
      </c>
      <c r="AZ190" s="3">
        <v>0</v>
      </c>
      <c r="BA190" s="3">
        <v>0</v>
      </c>
      <c r="BB190" s="3">
        <v>0</v>
      </c>
      <c r="BC190" s="3">
        <v>0</v>
      </c>
      <c r="BD190" s="3">
        <v>0</v>
      </c>
      <c r="BE190" s="3">
        <v>0</v>
      </c>
      <c r="BF190" s="3">
        <v>0</v>
      </c>
      <c r="BG190" s="3">
        <v>0</v>
      </c>
      <c r="BH190" s="3">
        <v>0</v>
      </c>
      <c r="BI190" s="3">
        <v>0</v>
      </c>
      <c r="BJ190" s="3">
        <v>0</v>
      </c>
      <c r="BK190" s="3">
        <v>0</v>
      </c>
      <c r="BL190" s="3">
        <v>0</v>
      </c>
      <c r="BM190" s="3">
        <v>0</v>
      </c>
      <c r="BN190" s="21">
        <f>AVERAGE($BN$180,$BN$182:$BN$189,$BN$191:$BN$229)</f>
        <v>56.622103174603154</v>
      </c>
      <c r="BO190">
        <v>55</v>
      </c>
      <c r="BP190">
        <v>0</v>
      </c>
      <c r="BQ190" s="1">
        <f t="shared" si="11"/>
        <v>0</v>
      </c>
      <c r="BR190" s="6">
        <v>0.156</v>
      </c>
      <c r="BS190" s="6">
        <v>4.2000000000000003E-2</v>
      </c>
      <c r="BT190" s="6">
        <v>1.0999999999999999E-2</v>
      </c>
      <c r="BU190" s="6">
        <v>7.5999999999999998E-2</v>
      </c>
      <c r="BV190" s="6">
        <v>2.3E-2</v>
      </c>
      <c r="BW190" s="6"/>
      <c r="BX190" s="3">
        <v>0</v>
      </c>
      <c r="BY190" s="3">
        <v>0</v>
      </c>
      <c r="BZ190" s="3">
        <v>0</v>
      </c>
      <c r="CA190" s="3">
        <v>0</v>
      </c>
      <c r="CB190" s="3">
        <v>0</v>
      </c>
      <c r="CC190" s="3">
        <v>0</v>
      </c>
      <c r="CD190" s="3">
        <v>0</v>
      </c>
      <c r="CE190" s="4">
        <f t="shared" si="7"/>
        <v>0</v>
      </c>
      <c r="CF190" s="4">
        <f t="shared" si="8"/>
        <v>0</v>
      </c>
      <c r="CG190" s="15">
        <f t="shared" si="9"/>
        <v>0</v>
      </c>
      <c r="CH190" s="6">
        <f t="shared" si="10"/>
        <v>0</v>
      </c>
      <c r="CJ190" s="6"/>
      <c r="CK190">
        <v>0</v>
      </c>
      <c r="CL190">
        <v>0</v>
      </c>
      <c r="CM190">
        <v>0</v>
      </c>
      <c r="CN190">
        <v>0</v>
      </c>
    </row>
    <row r="191" spans="1:92">
      <c r="A191" t="s">
        <v>327</v>
      </c>
      <c r="B191" t="s">
        <v>315</v>
      </c>
      <c r="C191" s="5">
        <v>0.98792613636363635</v>
      </c>
      <c r="D191" s="16">
        <v>0.06</v>
      </c>
      <c r="E191">
        <v>309</v>
      </c>
      <c r="F191" s="3">
        <f t="shared" si="6"/>
        <v>140.16020901561268</v>
      </c>
      <c r="G191">
        <v>0</v>
      </c>
      <c r="H191">
        <v>0</v>
      </c>
      <c r="I191">
        <v>0</v>
      </c>
      <c r="J191">
        <v>0</v>
      </c>
      <c r="K191">
        <v>0</v>
      </c>
      <c r="L191">
        <v>1</v>
      </c>
      <c r="M191">
        <v>0</v>
      </c>
      <c r="N191">
        <v>0</v>
      </c>
      <c r="O191">
        <v>0</v>
      </c>
      <c r="P191">
        <v>0</v>
      </c>
      <c r="Q191">
        <v>0</v>
      </c>
      <c r="R191" s="3">
        <f t="shared" si="12"/>
        <v>418</v>
      </c>
      <c r="S191" s="3">
        <f t="shared" si="13"/>
        <v>440</v>
      </c>
      <c r="T191">
        <v>16278410</v>
      </c>
      <c r="U191" s="6">
        <v>6.08E-2</v>
      </c>
      <c r="V191" s="90">
        <v>3.3399999999999997E-3</v>
      </c>
      <c r="W191" s="12">
        <v>6.0000000000000001E-3</v>
      </c>
      <c r="X191" s="6">
        <f t="shared" si="15"/>
        <v>3.2575000000000003</v>
      </c>
      <c r="Y191">
        <v>6.7</v>
      </c>
      <c r="Z191" s="5">
        <v>4.5</v>
      </c>
      <c r="AA191" s="3">
        <v>214045</v>
      </c>
      <c r="AB191" s="15">
        <v>2040</v>
      </c>
      <c r="AC191" s="15">
        <v>50910</v>
      </c>
      <c r="AD191" s="3">
        <v>14030</v>
      </c>
      <c r="AE191" s="5">
        <v>1.2756302521008405</v>
      </c>
      <c r="AF191" s="15">
        <v>72860</v>
      </c>
      <c r="AG191">
        <v>90</v>
      </c>
      <c r="AH191" s="10">
        <v>74961.666666666672</v>
      </c>
      <c r="AI191" s="8">
        <v>0</v>
      </c>
      <c r="AJ191" s="10">
        <v>68916.666666666672</v>
      </c>
      <c r="AK191" s="8">
        <v>0</v>
      </c>
      <c r="AL191" s="15">
        <v>41180</v>
      </c>
      <c r="AM191">
        <v>2510</v>
      </c>
      <c r="AN191" s="8"/>
      <c r="AO191" s="3">
        <v>0</v>
      </c>
      <c r="AP191" s="3">
        <v>0</v>
      </c>
      <c r="AQ191" s="3">
        <v>1</v>
      </c>
      <c r="AR191" s="3">
        <v>0</v>
      </c>
      <c r="AS191" s="3">
        <v>0</v>
      </c>
      <c r="AT191" s="3">
        <v>0</v>
      </c>
      <c r="AU191" s="3">
        <v>0</v>
      </c>
      <c r="AV191" s="3">
        <v>0</v>
      </c>
      <c r="AW191" s="3">
        <v>0</v>
      </c>
      <c r="AX191" s="3">
        <v>0</v>
      </c>
      <c r="AY191" s="3">
        <v>0</v>
      </c>
      <c r="AZ191" s="3">
        <v>0</v>
      </c>
      <c r="BA191" s="3">
        <v>0</v>
      </c>
      <c r="BB191" s="3">
        <v>0</v>
      </c>
      <c r="BC191" s="3">
        <v>0</v>
      </c>
      <c r="BD191" s="3">
        <v>0</v>
      </c>
      <c r="BE191" s="3">
        <v>0</v>
      </c>
      <c r="BF191" s="3">
        <v>0</v>
      </c>
      <c r="BG191" s="3">
        <v>1</v>
      </c>
      <c r="BH191" s="3">
        <v>0</v>
      </c>
      <c r="BI191" s="3">
        <v>0</v>
      </c>
      <c r="BJ191" s="3">
        <v>1</v>
      </c>
      <c r="BK191" s="3">
        <v>0</v>
      </c>
      <c r="BL191" s="3">
        <v>0</v>
      </c>
      <c r="BM191" s="3">
        <v>0</v>
      </c>
      <c r="BN191" s="3">
        <f t="shared" ref="BN191:BN229" si="16">SUMPRODUCT(AO191:BM191,$AO$178:$BM$178)/SUM(AO191:BM191)</f>
        <v>56</v>
      </c>
      <c r="BO191">
        <v>611</v>
      </c>
      <c r="BP191" s="3">
        <v>6</v>
      </c>
      <c r="BQ191" s="1">
        <f t="shared" si="11"/>
        <v>9.8199672667757774E-3</v>
      </c>
      <c r="BR191" s="6">
        <v>0.156</v>
      </c>
      <c r="BS191" s="6">
        <v>4.2000000000000003E-2</v>
      </c>
      <c r="BT191" s="6">
        <v>1.0999999999999999E-2</v>
      </c>
      <c r="BU191" s="6">
        <v>7.5999999999999998E-2</v>
      </c>
      <c r="BV191" s="6">
        <v>2.3E-2</v>
      </c>
      <c r="BW191" s="6"/>
      <c r="BX191" s="3">
        <v>123</v>
      </c>
      <c r="BY191" s="3">
        <v>0</v>
      </c>
      <c r="BZ191" s="3">
        <v>0</v>
      </c>
      <c r="CA191" s="3">
        <v>0</v>
      </c>
      <c r="CB191" s="3">
        <v>0</v>
      </c>
      <c r="CC191" s="3">
        <v>0</v>
      </c>
      <c r="CD191" s="3">
        <v>575</v>
      </c>
      <c r="CE191" s="4">
        <f t="shared" si="7"/>
        <v>11.564152810558321</v>
      </c>
      <c r="CF191" s="4">
        <f t="shared" si="8"/>
        <v>0.55199149058761632</v>
      </c>
      <c r="CG191" s="15">
        <f t="shared" si="9"/>
        <v>4908.1845153514614</v>
      </c>
      <c r="CH191" s="6">
        <f t="shared" si="10"/>
        <v>0.22729283626025293</v>
      </c>
      <c r="CJ191" s="6"/>
      <c r="CK191">
        <v>11.635494754230812</v>
      </c>
      <c r="CL191">
        <v>0.58285798496095031</v>
      </c>
      <c r="CM191">
        <v>5032.0199755015892</v>
      </c>
      <c r="CN191">
        <v>0.2015401475381976</v>
      </c>
    </row>
    <row r="192" spans="1:92">
      <c r="A192" t="s">
        <v>208</v>
      </c>
      <c r="B192" t="s">
        <v>201</v>
      </c>
      <c r="C192" s="5">
        <v>1.0778201634877393</v>
      </c>
      <c r="D192" s="16">
        <v>6.25E-2</v>
      </c>
      <c r="E192">
        <v>639</v>
      </c>
      <c r="F192" s="3">
        <f t="shared" si="6"/>
        <v>289.8458691293738</v>
      </c>
      <c r="G192">
        <v>0</v>
      </c>
      <c r="H192">
        <v>0</v>
      </c>
      <c r="I192">
        <v>0</v>
      </c>
      <c r="J192">
        <v>1</v>
      </c>
      <c r="K192">
        <v>0</v>
      </c>
      <c r="L192">
        <v>0</v>
      </c>
      <c r="M192">
        <v>1</v>
      </c>
      <c r="N192">
        <v>0</v>
      </c>
      <c r="O192">
        <v>0</v>
      </c>
      <c r="P192">
        <v>0</v>
      </c>
      <c r="Q192">
        <v>0</v>
      </c>
      <c r="R192" s="3">
        <f t="shared" si="12"/>
        <v>624.5</v>
      </c>
      <c r="S192" s="3">
        <f t="shared" si="13"/>
        <v>672</v>
      </c>
      <c r="T192">
        <v>185223322</v>
      </c>
      <c r="U192" s="6">
        <v>6.5199999999999994E-2</v>
      </c>
      <c r="V192" s="90">
        <v>3.0800000000000003E-3</v>
      </c>
      <c r="W192" s="12">
        <v>0.06</v>
      </c>
      <c r="X192" s="6">
        <f t="shared" si="15"/>
        <v>3.1806999999999999</v>
      </c>
      <c r="Y192">
        <v>11.5</v>
      </c>
      <c r="Z192" s="5">
        <v>4.25</v>
      </c>
      <c r="AA192" s="3">
        <v>143793</v>
      </c>
      <c r="AB192" s="15">
        <v>3820</v>
      </c>
      <c r="AC192" s="15">
        <v>55800</v>
      </c>
      <c r="AD192" s="3">
        <v>82630</v>
      </c>
      <c r="AE192" s="5">
        <v>1.277602523659306</v>
      </c>
      <c r="AF192" s="15">
        <v>58680</v>
      </c>
      <c r="AG192">
        <v>800</v>
      </c>
      <c r="AH192" s="10">
        <v>55722.07547169811</v>
      </c>
      <c r="AI192" s="8">
        <v>0</v>
      </c>
      <c r="AJ192" s="10">
        <v>58811.165048543691</v>
      </c>
      <c r="AK192" s="8">
        <v>0</v>
      </c>
      <c r="AL192" s="15">
        <v>45220</v>
      </c>
      <c r="AM192">
        <v>29780</v>
      </c>
      <c r="AN192" s="8"/>
      <c r="AO192" s="3">
        <v>0</v>
      </c>
      <c r="AP192" s="3">
        <v>0</v>
      </c>
      <c r="AQ192" s="3">
        <v>0</v>
      </c>
      <c r="AR192" s="3">
        <v>0</v>
      </c>
      <c r="AS192" s="3">
        <v>1</v>
      </c>
      <c r="AT192" s="3">
        <v>0</v>
      </c>
      <c r="AU192" s="3">
        <v>0</v>
      </c>
      <c r="AV192" s="3">
        <v>0</v>
      </c>
      <c r="AW192" s="3">
        <v>0</v>
      </c>
      <c r="AX192" s="3">
        <v>0</v>
      </c>
      <c r="AY192" s="3">
        <v>1</v>
      </c>
      <c r="AZ192" s="3">
        <v>0</v>
      </c>
      <c r="BA192" s="3">
        <v>1</v>
      </c>
      <c r="BB192" s="3">
        <v>0</v>
      </c>
      <c r="BC192" s="3">
        <v>0</v>
      </c>
      <c r="BD192" s="3">
        <v>0</v>
      </c>
      <c r="BE192" s="3">
        <v>1</v>
      </c>
      <c r="BF192" s="3">
        <v>0</v>
      </c>
      <c r="BG192" s="3">
        <v>0</v>
      </c>
      <c r="BH192" s="3">
        <v>0</v>
      </c>
      <c r="BI192" s="3">
        <v>0</v>
      </c>
      <c r="BJ192" s="3">
        <v>1</v>
      </c>
      <c r="BK192" s="3">
        <v>0</v>
      </c>
      <c r="BL192" s="3">
        <v>1</v>
      </c>
      <c r="BM192" s="3">
        <v>0</v>
      </c>
      <c r="BN192" s="3">
        <f t="shared" si="16"/>
        <v>57.083333333333336</v>
      </c>
      <c r="BO192">
        <v>2169</v>
      </c>
      <c r="BP192" s="3">
        <v>18</v>
      </c>
      <c r="BQ192" s="1">
        <f t="shared" si="11"/>
        <v>8.2987551867219917E-3</v>
      </c>
      <c r="BR192" s="6">
        <v>0.17699999999999999</v>
      </c>
      <c r="BS192" s="6">
        <v>3.7999999999999999E-2</v>
      </c>
      <c r="BT192" s="6">
        <v>1.6E-2</v>
      </c>
      <c r="BU192" s="6">
        <v>8.5000000000000006E-2</v>
      </c>
      <c r="BV192" s="6">
        <v>3.5999999999999997E-2</v>
      </c>
      <c r="BW192" s="6"/>
      <c r="BX192" s="3">
        <v>1176</v>
      </c>
      <c r="BY192" s="3">
        <v>340</v>
      </c>
      <c r="BZ192" s="3">
        <v>662</v>
      </c>
      <c r="CA192" s="3">
        <v>1270</v>
      </c>
      <c r="CB192" s="3">
        <v>340</v>
      </c>
      <c r="CC192" s="3">
        <v>847</v>
      </c>
      <c r="CD192" s="3">
        <v>1544</v>
      </c>
      <c r="CE192" s="4">
        <f t="shared" si="7"/>
        <v>11.137289845669594</v>
      </c>
      <c r="CF192" s="4">
        <f t="shared" si="8"/>
        <v>0.68075480928817067</v>
      </c>
      <c r="CG192" s="15">
        <f t="shared" si="9"/>
        <v>4242.0568535463644</v>
      </c>
      <c r="CH192" s="6">
        <f t="shared" si="10"/>
        <v>0.14156182857249366</v>
      </c>
      <c r="CJ192" s="6"/>
      <c r="CK192">
        <v>11.058023603800054</v>
      </c>
      <c r="CL192">
        <v>0.74390571565579056</v>
      </c>
      <c r="CM192">
        <v>4528.3595293898243</v>
      </c>
      <c r="CN192">
        <v>0.13077523214753198</v>
      </c>
    </row>
    <row r="193" spans="1:92">
      <c r="A193" t="s">
        <v>207</v>
      </c>
      <c r="B193" t="s">
        <v>201</v>
      </c>
      <c r="C193" s="5">
        <v>0.91588628762541779</v>
      </c>
      <c r="D193" s="16">
        <v>7.0000000000000007E-2</v>
      </c>
      <c r="E193">
        <v>1582</v>
      </c>
      <c r="F193" s="3">
        <f t="shared" si="6"/>
        <v>717.58398272718205</v>
      </c>
      <c r="G193">
        <v>0</v>
      </c>
      <c r="H193">
        <v>0</v>
      </c>
      <c r="I193">
        <v>0</v>
      </c>
      <c r="J193">
        <v>1</v>
      </c>
      <c r="K193">
        <v>0</v>
      </c>
      <c r="L193">
        <v>0</v>
      </c>
      <c r="M193">
        <v>1</v>
      </c>
      <c r="N193">
        <v>0</v>
      </c>
      <c r="O193">
        <v>0</v>
      </c>
      <c r="P193">
        <v>0</v>
      </c>
      <c r="Q193">
        <v>0</v>
      </c>
      <c r="R193" s="3">
        <f t="shared" si="12"/>
        <v>624.5</v>
      </c>
      <c r="S193" s="3">
        <f t="shared" si="13"/>
        <v>672</v>
      </c>
      <c r="T193">
        <v>98054905</v>
      </c>
      <c r="U193" s="6">
        <v>7.3599999999999999E-2</v>
      </c>
      <c r="V193" s="90">
        <v>3.0800000000000003E-3</v>
      </c>
      <c r="W193" s="12">
        <v>0.06</v>
      </c>
      <c r="X193" s="6">
        <f t="shared" si="15"/>
        <v>3.1806999999999999</v>
      </c>
      <c r="Y193">
        <v>11.4</v>
      </c>
      <c r="Z193" s="5">
        <v>4.25</v>
      </c>
      <c r="AA193" s="3">
        <v>92789</v>
      </c>
      <c r="AB193" s="15">
        <v>2850</v>
      </c>
      <c r="AC193" s="15">
        <v>54340</v>
      </c>
      <c r="AD193" s="3">
        <v>56350</v>
      </c>
      <c r="AE193" s="5">
        <v>1.277602523659306</v>
      </c>
      <c r="AF193" s="15">
        <v>56640</v>
      </c>
      <c r="AG193">
        <v>1600</v>
      </c>
      <c r="AH193" s="15">
        <v>54060</v>
      </c>
      <c r="AI193">
        <v>50</v>
      </c>
      <c r="AJ193" s="15">
        <v>55390</v>
      </c>
      <c r="AK193">
        <v>50</v>
      </c>
      <c r="AL193" s="15">
        <v>41400</v>
      </c>
      <c r="AM193">
        <v>27330</v>
      </c>
      <c r="AO193" s="3">
        <v>0</v>
      </c>
      <c r="AP193" s="3">
        <v>0</v>
      </c>
      <c r="AQ193" s="3">
        <v>0</v>
      </c>
      <c r="AR193" s="3">
        <v>0</v>
      </c>
      <c r="AS193" s="3">
        <v>0</v>
      </c>
      <c r="AT193" s="3">
        <v>0</v>
      </c>
      <c r="AU193" s="3">
        <v>0</v>
      </c>
      <c r="AV193" s="3">
        <v>0</v>
      </c>
      <c r="AW193" s="3">
        <v>0</v>
      </c>
      <c r="AX193" s="3">
        <v>0</v>
      </c>
      <c r="AY193" s="3">
        <v>0</v>
      </c>
      <c r="AZ193" s="3">
        <v>1</v>
      </c>
      <c r="BA193" s="3">
        <v>1</v>
      </c>
      <c r="BB193" s="3">
        <v>0</v>
      </c>
      <c r="BC193" s="3">
        <v>0</v>
      </c>
      <c r="BD193" s="3">
        <v>0</v>
      </c>
      <c r="BE193" s="3">
        <v>1</v>
      </c>
      <c r="BF193" s="3">
        <v>0</v>
      </c>
      <c r="BG193" s="3">
        <v>0</v>
      </c>
      <c r="BH193" s="3">
        <v>0</v>
      </c>
      <c r="BI193" s="3">
        <v>0</v>
      </c>
      <c r="BJ193" s="3">
        <v>1</v>
      </c>
      <c r="BK193" s="3">
        <v>0</v>
      </c>
      <c r="BL193" s="3">
        <v>1</v>
      </c>
      <c r="BM193" s="3">
        <v>0</v>
      </c>
      <c r="BN193" s="3">
        <f t="shared" si="16"/>
        <v>57.239999999999995</v>
      </c>
      <c r="BO193">
        <v>1169</v>
      </c>
      <c r="BP193" s="3">
        <v>7</v>
      </c>
      <c r="BQ193" s="1">
        <f t="shared" si="11"/>
        <v>5.9880239520958087E-3</v>
      </c>
      <c r="BR193" s="6">
        <v>0.17699999999999999</v>
      </c>
      <c r="BS193" s="6">
        <v>3.7999999999999999E-2</v>
      </c>
      <c r="BT193" s="6">
        <v>1.6E-2</v>
      </c>
      <c r="BU193" s="6">
        <v>8.5000000000000006E-2</v>
      </c>
      <c r="BV193" s="6">
        <v>3.5999999999999997E-2</v>
      </c>
      <c r="BW193" s="6"/>
      <c r="BX193" s="3">
        <v>0</v>
      </c>
      <c r="BY193" s="3">
        <v>0</v>
      </c>
      <c r="BZ193" s="3">
        <v>1145</v>
      </c>
      <c r="CA193" s="3">
        <v>103</v>
      </c>
      <c r="CB193" s="3">
        <v>0</v>
      </c>
      <c r="CC193" s="3">
        <v>1176</v>
      </c>
      <c r="CD193" s="3">
        <v>0</v>
      </c>
      <c r="CE193" s="4">
        <f t="shared" si="7"/>
        <v>10.346387641618094</v>
      </c>
      <c r="CF193" s="4">
        <f t="shared" si="8"/>
        <v>0.89916925030753991</v>
      </c>
      <c r="CG193" s="15">
        <f t="shared" si="9"/>
        <v>4835.5088428659319</v>
      </c>
      <c r="CH193" s="6">
        <f t="shared" si="10"/>
        <v>0.10998407807385167</v>
      </c>
      <c r="CJ193" s="6"/>
      <c r="CK193">
        <v>10.44684833869586</v>
      </c>
      <c r="CL193">
        <v>0.81559222440548085</v>
      </c>
      <c r="CM193">
        <v>3922.2298767430279</v>
      </c>
      <c r="CN193">
        <v>9.643635872897971E-2</v>
      </c>
    </row>
    <row r="194" spans="1:92">
      <c r="A194" t="s">
        <v>209</v>
      </c>
      <c r="B194" t="s">
        <v>201</v>
      </c>
      <c r="C194" s="5">
        <v>0.98783410138248995</v>
      </c>
      <c r="D194" s="16">
        <v>0.06</v>
      </c>
      <c r="E194">
        <v>789</v>
      </c>
      <c r="F194" s="3">
        <f t="shared" si="6"/>
        <v>357.88480554471977</v>
      </c>
      <c r="G194">
        <v>0</v>
      </c>
      <c r="H194">
        <v>0</v>
      </c>
      <c r="I194">
        <v>0</v>
      </c>
      <c r="J194">
        <v>1</v>
      </c>
      <c r="K194">
        <v>0</v>
      </c>
      <c r="L194">
        <v>0</v>
      </c>
      <c r="M194">
        <v>0</v>
      </c>
      <c r="N194">
        <v>1</v>
      </c>
      <c r="O194">
        <v>0</v>
      </c>
      <c r="P194">
        <v>0</v>
      </c>
      <c r="Q194">
        <v>0</v>
      </c>
      <c r="R194" s="3">
        <f t="shared" si="12"/>
        <v>699.5</v>
      </c>
      <c r="S194" s="3">
        <f t="shared" si="13"/>
        <v>734.5</v>
      </c>
      <c r="T194">
        <v>72982198</v>
      </c>
      <c r="U194" s="6">
        <v>6.6000000000000003E-2</v>
      </c>
      <c r="V194" s="90">
        <v>2.0899999999999998E-3</v>
      </c>
      <c r="W194" s="12">
        <v>0.05</v>
      </c>
      <c r="X194" s="6">
        <f t="shared" si="15"/>
        <v>3.1806999999999999</v>
      </c>
      <c r="Y194">
        <v>9.1</v>
      </c>
      <c r="Z194" s="5">
        <v>4.25</v>
      </c>
      <c r="AA194" s="3">
        <v>144669</v>
      </c>
      <c r="AB194" s="15">
        <v>3400</v>
      </c>
      <c r="AC194" s="15">
        <v>52010</v>
      </c>
      <c r="AD194" s="3">
        <v>38390</v>
      </c>
      <c r="AE194" s="5">
        <v>1.277602523659306</v>
      </c>
      <c r="AF194" s="15">
        <v>62220</v>
      </c>
      <c r="AG194">
        <v>280</v>
      </c>
      <c r="AH194" s="10">
        <v>55722.07547169811</v>
      </c>
      <c r="AI194" s="8">
        <v>0</v>
      </c>
      <c r="AJ194" s="10">
        <v>58811.165048543691</v>
      </c>
      <c r="AK194" s="8">
        <v>0</v>
      </c>
      <c r="AL194" s="15">
        <v>42780</v>
      </c>
      <c r="AM194">
        <v>9100</v>
      </c>
      <c r="AN194" s="8"/>
      <c r="AO194" s="3">
        <v>0</v>
      </c>
      <c r="AP194" s="3">
        <v>0</v>
      </c>
      <c r="AQ194" s="3">
        <v>0</v>
      </c>
      <c r="AR194" s="3">
        <v>0</v>
      </c>
      <c r="AS194" s="3">
        <v>0</v>
      </c>
      <c r="AT194" s="3">
        <v>0</v>
      </c>
      <c r="AU194" s="3">
        <v>0</v>
      </c>
      <c r="AV194" s="3">
        <v>1</v>
      </c>
      <c r="AW194" s="3">
        <v>0</v>
      </c>
      <c r="AX194" s="3">
        <v>0</v>
      </c>
      <c r="AY194" s="3">
        <v>0</v>
      </c>
      <c r="AZ194" s="3">
        <v>0</v>
      </c>
      <c r="BA194" s="3">
        <v>0</v>
      </c>
      <c r="BB194" s="3">
        <v>0</v>
      </c>
      <c r="BC194" s="3">
        <v>0</v>
      </c>
      <c r="BD194" s="3">
        <v>0</v>
      </c>
      <c r="BE194" s="3">
        <v>1</v>
      </c>
      <c r="BF194" s="3">
        <v>0</v>
      </c>
      <c r="BG194" s="3">
        <v>0</v>
      </c>
      <c r="BH194" s="3">
        <v>0</v>
      </c>
      <c r="BI194" s="3">
        <v>0</v>
      </c>
      <c r="BJ194" s="3">
        <v>0</v>
      </c>
      <c r="BK194" s="3">
        <v>0</v>
      </c>
      <c r="BL194" s="3">
        <v>0</v>
      </c>
      <c r="BM194" s="3">
        <v>0</v>
      </c>
      <c r="BN194" s="3">
        <f t="shared" si="16"/>
        <v>57.25</v>
      </c>
      <c r="BO194">
        <v>782</v>
      </c>
      <c r="BP194" s="3">
        <v>9</v>
      </c>
      <c r="BQ194" s="1">
        <f t="shared" si="11"/>
        <v>1.1508951406649617E-2</v>
      </c>
      <c r="BR194" s="6">
        <v>0.17699999999999999</v>
      </c>
      <c r="BS194" s="6">
        <v>3.7999999999999999E-2</v>
      </c>
      <c r="BT194" s="6">
        <v>1.6E-2</v>
      </c>
      <c r="BU194" s="6">
        <v>8.5000000000000006E-2</v>
      </c>
      <c r="BV194" s="6">
        <v>3.5999999999999997E-2</v>
      </c>
      <c r="BW194" s="6"/>
      <c r="BX194" s="3">
        <v>706</v>
      </c>
      <c r="BY194" s="3">
        <v>721</v>
      </c>
      <c r="BZ194" s="3">
        <v>0</v>
      </c>
      <c r="CA194" s="3">
        <v>608</v>
      </c>
      <c r="CB194" s="3">
        <v>721</v>
      </c>
      <c r="CC194" s="3">
        <v>395</v>
      </c>
      <c r="CD194" s="3">
        <v>1521</v>
      </c>
      <c r="CE194" s="4">
        <f t="shared" si="7"/>
        <v>11.450199833348037</v>
      </c>
      <c r="CF194" s="4">
        <f t="shared" si="8"/>
        <v>0.64140591510423439</v>
      </c>
      <c r="CG194" s="15">
        <f t="shared" si="9"/>
        <v>4283.1906054498895</v>
      </c>
      <c r="CH194" s="6">
        <f t="shared" si="10"/>
        <v>0.14821945337197784</v>
      </c>
      <c r="CJ194" s="6"/>
      <c r="CK194">
        <v>11.416637579633148</v>
      </c>
      <c r="CL194">
        <v>0.6602749699764936</v>
      </c>
      <c r="CM194">
        <v>4306.8142863128596</v>
      </c>
      <c r="CN194">
        <v>0.14007853446696578</v>
      </c>
    </row>
    <row r="195" spans="1:92">
      <c r="A195" t="s">
        <v>328</v>
      </c>
      <c r="B195" t="s">
        <v>314</v>
      </c>
      <c r="C195" s="5">
        <v>0.91100000000000092</v>
      </c>
      <c r="D195" s="16">
        <v>6.5000000000000002E-2</v>
      </c>
      <c r="E195">
        <v>845</v>
      </c>
      <c r="F195" s="3">
        <f t="shared" si="6"/>
        <v>383.2860084731156</v>
      </c>
      <c r="G195">
        <v>0</v>
      </c>
      <c r="H195">
        <v>0</v>
      </c>
      <c r="I195">
        <v>0</v>
      </c>
      <c r="J195">
        <v>0</v>
      </c>
      <c r="K195">
        <v>0</v>
      </c>
      <c r="L195">
        <v>0</v>
      </c>
      <c r="M195">
        <v>0</v>
      </c>
      <c r="N195">
        <v>1</v>
      </c>
      <c r="O195">
        <v>0</v>
      </c>
      <c r="P195">
        <v>0</v>
      </c>
      <c r="Q195">
        <v>0</v>
      </c>
      <c r="R195" s="3">
        <f t="shared" si="12"/>
        <v>672</v>
      </c>
      <c r="S195" s="3">
        <f t="shared" si="13"/>
        <v>703</v>
      </c>
      <c r="T195">
        <v>62197529</v>
      </c>
      <c r="U195" s="6">
        <v>7.3499999999999996E-2</v>
      </c>
      <c r="V195" s="90">
        <v>2.0899999999999998E-3</v>
      </c>
      <c r="W195" s="12">
        <v>0.05</v>
      </c>
      <c r="X195" s="6">
        <f t="shared" si="15"/>
        <v>3.0587999999999997</v>
      </c>
      <c r="Y195">
        <v>12.9</v>
      </c>
      <c r="Z195" s="5">
        <v>4.75</v>
      </c>
      <c r="AA195" s="3">
        <v>211754</v>
      </c>
      <c r="AB195" s="15">
        <v>2150</v>
      </c>
      <c r="AC195" s="15">
        <v>51670</v>
      </c>
      <c r="AD195" s="3">
        <v>22970</v>
      </c>
      <c r="AE195" s="5">
        <v>1.277602523659306</v>
      </c>
      <c r="AF195" s="15">
        <v>59050</v>
      </c>
      <c r="AG195">
        <v>460</v>
      </c>
      <c r="AH195" s="10">
        <v>60536.415094339623</v>
      </c>
      <c r="AI195" s="8">
        <v>0</v>
      </c>
      <c r="AJ195" s="15">
        <v>51760</v>
      </c>
      <c r="AK195">
        <v>70</v>
      </c>
      <c r="AL195" s="15">
        <v>44110</v>
      </c>
      <c r="AM195">
        <v>7760</v>
      </c>
      <c r="AO195" s="3">
        <v>0</v>
      </c>
      <c r="AP195" s="3">
        <v>0</v>
      </c>
      <c r="AQ195" s="3">
        <v>0</v>
      </c>
      <c r="AR195" s="3">
        <v>0</v>
      </c>
      <c r="AS195" s="3">
        <v>0</v>
      </c>
      <c r="AT195" s="3">
        <v>0</v>
      </c>
      <c r="AU195" s="3">
        <v>0</v>
      </c>
      <c r="AV195" s="3">
        <v>1</v>
      </c>
      <c r="AW195" s="3">
        <v>0</v>
      </c>
      <c r="AX195" s="3">
        <v>0</v>
      </c>
      <c r="AY195" s="3">
        <v>0</v>
      </c>
      <c r="AZ195" s="3">
        <v>0</v>
      </c>
      <c r="BA195" s="3">
        <v>1</v>
      </c>
      <c r="BB195" s="3">
        <v>0</v>
      </c>
      <c r="BC195" s="3">
        <v>0</v>
      </c>
      <c r="BD195" s="3">
        <v>0</v>
      </c>
      <c r="BE195" s="3">
        <v>0</v>
      </c>
      <c r="BF195" s="3">
        <v>0</v>
      </c>
      <c r="BG195" s="3">
        <v>0</v>
      </c>
      <c r="BH195" s="3">
        <v>0</v>
      </c>
      <c r="BI195" s="3">
        <v>0</v>
      </c>
      <c r="BJ195" s="3">
        <v>0</v>
      </c>
      <c r="BK195" s="3">
        <v>0</v>
      </c>
      <c r="BL195" s="3">
        <v>0</v>
      </c>
      <c r="BM195" s="3">
        <v>0</v>
      </c>
      <c r="BN195" s="3">
        <f t="shared" si="16"/>
        <v>56.8</v>
      </c>
      <c r="BO195">
        <v>874</v>
      </c>
      <c r="BP195" s="3">
        <v>5</v>
      </c>
      <c r="BQ195" s="1">
        <f t="shared" si="11"/>
        <v>5.7208237986270021E-3</v>
      </c>
      <c r="BR195" s="6">
        <v>0.17699999999999999</v>
      </c>
      <c r="BS195" s="6">
        <v>3.7999999999999999E-2</v>
      </c>
      <c r="BT195" s="6">
        <v>1.6E-2</v>
      </c>
      <c r="BU195" s="6">
        <v>8.5000000000000006E-2</v>
      </c>
      <c r="BV195" s="6">
        <v>3.5999999999999997E-2</v>
      </c>
      <c r="BW195" s="6"/>
      <c r="BX195" s="3">
        <v>1632</v>
      </c>
      <c r="BY195" s="3">
        <v>21</v>
      </c>
      <c r="BZ195" s="3">
        <v>0</v>
      </c>
      <c r="CA195" s="3">
        <v>0</v>
      </c>
      <c r="CB195" s="3">
        <v>21</v>
      </c>
      <c r="CC195" s="3">
        <v>3</v>
      </c>
      <c r="CD195" s="3">
        <v>2172</v>
      </c>
      <c r="CE195" s="4">
        <f t="shared" si="7"/>
        <v>11.622890270522365</v>
      </c>
      <c r="CF195" s="4">
        <f t="shared" si="8"/>
        <v>0.57758575421151326</v>
      </c>
      <c r="CG195" s="15">
        <f t="shared" si="9"/>
        <v>4995.1691511115059</v>
      </c>
      <c r="CH195" s="6">
        <f t="shared" si="10"/>
        <v>0.20584590623768831</v>
      </c>
      <c r="CJ195" s="6"/>
      <c r="CK195">
        <v>11.867196819436927</v>
      </c>
      <c r="CL195">
        <v>0.56362569583031785</v>
      </c>
      <c r="CM195">
        <v>4328.3223746622243</v>
      </c>
      <c r="CN195">
        <v>0.16507697727340312</v>
      </c>
    </row>
    <row r="196" spans="1:92">
      <c r="A196" t="s">
        <v>329</v>
      </c>
      <c r="B196" t="s">
        <v>201</v>
      </c>
      <c r="C196" s="5">
        <v>0.91385204081632732</v>
      </c>
      <c r="D196" s="16">
        <v>0.06</v>
      </c>
      <c r="E196">
        <v>1750</v>
      </c>
      <c r="F196" s="3">
        <f t="shared" si="6"/>
        <v>793.78759151236954</v>
      </c>
      <c r="G196">
        <v>0</v>
      </c>
      <c r="H196">
        <v>0</v>
      </c>
      <c r="I196">
        <v>0</v>
      </c>
      <c r="J196">
        <v>1</v>
      </c>
      <c r="K196">
        <v>0</v>
      </c>
      <c r="L196">
        <v>0</v>
      </c>
      <c r="M196">
        <v>1</v>
      </c>
      <c r="N196">
        <v>0</v>
      </c>
      <c r="O196">
        <v>1</v>
      </c>
      <c r="P196">
        <v>0</v>
      </c>
      <c r="Q196">
        <v>0</v>
      </c>
      <c r="R196" s="3">
        <f t="shared" si="12"/>
        <v>599</v>
      </c>
      <c r="S196" s="3">
        <f t="shared" si="13"/>
        <v>642.33333333333337</v>
      </c>
      <c r="T196">
        <v>69147329</v>
      </c>
      <c r="U196" s="6">
        <v>5.57E-2</v>
      </c>
      <c r="V196" s="90">
        <v>3.0800000000000003E-3</v>
      </c>
      <c r="W196" s="12">
        <v>0.04</v>
      </c>
      <c r="X196" s="6">
        <f t="shared" si="15"/>
        <v>3.1806999999999999</v>
      </c>
      <c r="Y196">
        <v>13.7</v>
      </c>
      <c r="Z196" s="5">
        <v>4.5</v>
      </c>
      <c r="AA196" s="3">
        <v>102269</v>
      </c>
      <c r="AB196" s="15">
        <v>3400</v>
      </c>
      <c r="AC196" s="15">
        <v>52910</v>
      </c>
      <c r="AD196" s="3">
        <v>28210</v>
      </c>
      <c r="AE196" s="5">
        <v>1.3194221508828252</v>
      </c>
      <c r="AF196" s="15">
        <v>53500</v>
      </c>
      <c r="AG196">
        <v>620</v>
      </c>
      <c r="AH196" s="15">
        <v>47610</v>
      </c>
      <c r="AI196">
        <v>150</v>
      </c>
      <c r="AJ196" s="15">
        <v>39440</v>
      </c>
      <c r="AK196">
        <v>80</v>
      </c>
      <c r="AL196" s="15">
        <v>45770</v>
      </c>
      <c r="AM196">
        <v>13240</v>
      </c>
      <c r="AO196" s="3">
        <v>0</v>
      </c>
      <c r="AP196" s="3">
        <v>0</v>
      </c>
      <c r="AQ196" s="3">
        <v>0</v>
      </c>
      <c r="AR196" s="3">
        <v>0</v>
      </c>
      <c r="AS196" s="3">
        <v>1</v>
      </c>
      <c r="AT196" s="3">
        <v>0</v>
      </c>
      <c r="AU196" s="3">
        <v>0</v>
      </c>
      <c r="AV196" s="3">
        <v>0</v>
      </c>
      <c r="AW196" s="3">
        <v>0</v>
      </c>
      <c r="AX196" s="3">
        <v>0</v>
      </c>
      <c r="AY196" s="3">
        <v>0</v>
      </c>
      <c r="AZ196" s="3">
        <v>1</v>
      </c>
      <c r="BA196" s="3">
        <v>0</v>
      </c>
      <c r="BB196" s="3">
        <v>1</v>
      </c>
      <c r="BC196" s="3">
        <v>0</v>
      </c>
      <c r="BD196" s="3">
        <v>0</v>
      </c>
      <c r="BE196" s="3">
        <v>0</v>
      </c>
      <c r="BF196" s="3">
        <v>0</v>
      </c>
      <c r="BG196" s="3">
        <v>0</v>
      </c>
      <c r="BH196" s="3">
        <v>0</v>
      </c>
      <c r="BI196" s="3">
        <v>0</v>
      </c>
      <c r="BJ196" s="3">
        <v>0</v>
      </c>
      <c r="BK196" s="3">
        <v>0</v>
      </c>
      <c r="BL196" s="3">
        <v>0</v>
      </c>
      <c r="BM196" s="3">
        <v>0</v>
      </c>
      <c r="BN196" s="3">
        <f t="shared" si="16"/>
        <v>57.266666666666673</v>
      </c>
      <c r="BO196">
        <v>762</v>
      </c>
      <c r="BP196" s="3">
        <v>9</v>
      </c>
      <c r="BQ196" s="1">
        <f t="shared" si="11"/>
        <v>1.1811023622047244E-2</v>
      </c>
      <c r="BR196" s="6">
        <v>0.17399999999999999</v>
      </c>
      <c r="BS196" s="6">
        <v>4.2999999999999997E-2</v>
      </c>
      <c r="BT196" s="6">
        <v>1.7000000000000001E-2</v>
      </c>
      <c r="BU196" s="6">
        <v>9.4E-2</v>
      </c>
      <c r="BV196" s="6">
        <v>2.8000000000000001E-2</v>
      </c>
      <c r="BW196" s="6"/>
      <c r="BX196" s="3">
        <v>99</v>
      </c>
      <c r="BY196" s="3">
        <v>0</v>
      </c>
      <c r="BZ196" s="3">
        <v>1685</v>
      </c>
      <c r="CA196" s="3">
        <v>98</v>
      </c>
      <c r="CB196" s="3">
        <v>0</v>
      </c>
      <c r="CC196" s="3">
        <v>429</v>
      </c>
      <c r="CD196" s="3">
        <v>12</v>
      </c>
      <c r="CE196" s="4">
        <f t="shared" si="7"/>
        <v>10.755348096058578</v>
      </c>
      <c r="CF196" s="4">
        <f t="shared" si="8"/>
        <v>0.87732672716706583</v>
      </c>
      <c r="CG196" s="15">
        <f t="shared" si="9"/>
        <v>4941.3711712359964</v>
      </c>
      <c r="CH196" s="6">
        <f t="shared" si="10"/>
        <v>0.12052945405909267</v>
      </c>
      <c r="CJ196" s="6"/>
      <c r="CK196">
        <v>10.44684833869586</v>
      </c>
      <c r="CL196">
        <v>0.81559222440548085</v>
      </c>
      <c r="CM196">
        <v>3922.2298767430279</v>
      </c>
      <c r="CN196">
        <v>9.643635872897971E-2</v>
      </c>
    </row>
    <row r="197" spans="1:92">
      <c r="A197" t="s">
        <v>204</v>
      </c>
      <c r="B197" t="s">
        <v>314</v>
      </c>
      <c r="C197" s="5">
        <v>0.88749034749034439</v>
      </c>
      <c r="D197" s="16">
        <v>4.4499999999999998E-2</v>
      </c>
      <c r="E197">
        <v>1006</v>
      </c>
      <c r="F197" s="3">
        <f t="shared" si="6"/>
        <v>456.31446689225356</v>
      </c>
      <c r="G197">
        <v>0</v>
      </c>
      <c r="H197">
        <v>0</v>
      </c>
      <c r="I197">
        <v>0</v>
      </c>
      <c r="J197">
        <v>1</v>
      </c>
      <c r="K197">
        <v>0</v>
      </c>
      <c r="L197">
        <v>0</v>
      </c>
      <c r="M197">
        <v>0</v>
      </c>
      <c r="N197">
        <v>1</v>
      </c>
      <c r="O197">
        <v>0</v>
      </c>
      <c r="P197">
        <v>0</v>
      </c>
      <c r="Q197">
        <v>0</v>
      </c>
      <c r="R197" s="3">
        <f t="shared" si="12"/>
        <v>699.5</v>
      </c>
      <c r="S197" s="3">
        <f t="shared" si="13"/>
        <v>734.5</v>
      </c>
      <c r="T197">
        <v>105504849</v>
      </c>
      <c r="U197" s="6">
        <v>5.2300000000000006E-2</v>
      </c>
      <c r="V197" s="90">
        <v>3.7000000000000002E-3</v>
      </c>
      <c r="W197" s="12">
        <v>3.4000000000000002E-2</v>
      </c>
      <c r="X197" s="6">
        <f t="shared" si="15"/>
        <v>3.0587999999999997</v>
      </c>
      <c r="Y197">
        <v>19.7</v>
      </c>
      <c r="Z197" s="5">
        <v>5</v>
      </c>
      <c r="AA197" s="3">
        <v>111898</v>
      </c>
      <c r="AB197" s="15">
        <v>3190</v>
      </c>
      <c r="AC197" s="15">
        <v>48170</v>
      </c>
      <c r="AD197" s="3">
        <v>23650</v>
      </c>
      <c r="AE197" s="5">
        <v>1.3194221508828252</v>
      </c>
      <c r="AF197" s="15">
        <v>61710</v>
      </c>
      <c r="AG197">
        <v>1810</v>
      </c>
      <c r="AH197" s="10">
        <v>60536.415094339623</v>
      </c>
      <c r="AI197" s="8">
        <v>0</v>
      </c>
      <c r="AJ197" s="15">
        <v>54950</v>
      </c>
      <c r="AK197">
        <v>1090</v>
      </c>
      <c r="AL197" s="15">
        <v>42780</v>
      </c>
      <c r="AM197">
        <v>7540</v>
      </c>
      <c r="AO197" s="3">
        <v>0</v>
      </c>
      <c r="AP197" s="3">
        <v>1</v>
      </c>
      <c r="AQ197" s="3">
        <v>0</v>
      </c>
      <c r="AR197" s="3">
        <v>1</v>
      </c>
      <c r="AS197" s="3">
        <v>0</v>
      </c>
      <c r="AT197" s="3">
        <v>0</v>
      </c>
      <c r="AU197" s="3">
        <v>0</v>
      </c>
      <c r="AV197" s="3">
        <v>0</v>
      </c>
      <c r="AW197" s="3">
        <v>0</v>
      </c>
      <c r="AX197" s="3">
        <v>0</v>
      </c>
      <c r="AY197" s="3">
        <v>1</v>
      </c>
      <c r="AZ197" s="3">
        <v>0</v>
      </c>
      <c r="BA197" s="3">
        <v>0</v>
      </c>
      <c r="BB197" s="3">
        <v>0</v>
      </c>
      <c r="BC197" s="3">
        <v>0</v>
      </c>
      <c r="BD197" s="3">
        <v>0</v>
      </c>
      <c r="BE197" s="3">
        <v>0</v>
      </c>
      <c r="BF197" s="3">
        <v>0</v>
      </c>
      <c r="BG197" s="3">
        <v>0</v>
      </c>
      <c r="BH197" s="3">
        <v>0</v>
      </c>
      <c r="BI197" s="3">
        <v>0</v>
      </c>
      <c r="BJ197" s="3">
        <v>0</v>
      </c>
      <c r="BK197" s="3">
        <v>0</v>
      </c>
      <c r="BL197" s="3">
        <v>0</v>
      </c>
      <c r="BM197" s="3">
        <v>0</v>
      </c>
      <c r="BN197" s="3">
        <f t="shared" si="16"/>
        <v>57.866666666666667</v>
      </c>
      <c r="BO197">
        <v>904</v>
      </c>
      <c r="BP197" s="3">
        <v>8</v>
      </c>
      <c r="BQ197" s="1">
        <f t="shared" si="11"/>
        <v>8.8495575221238937E-3</v>
      </c>
      <c r="BR197" s="6">
        <v>0.17399999999999999</v>
      </c>
      <c r="BS197" s="6">
        <v>4.2999999999999997E-2</v>
      </c>
      <c r="BT197" s="6">
        <v>1.7000000000000001E-2</v>
      </c>
      <c r="BU197" s="6">
        <v>9.4E-2</v>
      </c>
      <c r="BV197" s="6">
        <v>2.8000000000000001E-2</v>
      </c>
      <c r="BW197" s="6"/>
      <c r="BX197" s="3">
        <v>362</v>
      </c>
      <c r="BY197" s="3">
        <v>744</v>
      </c>
      <c r="BZ197" s="3">
        <v>43</v>
      </c>
      <c r="CA197" s="3">
        <v>239</v>
      </c>
      <c r="CB197" s="3">
        <v>744</v>
      </c>
      <c r="CC197" s="3">
        <v>76</v>
      </c>
      <c r="CD197" s="3">
        <v>1143</v>
      </c>
      <c r="CE197" s="4">
        <f t="shared" si="7"/>
        <v>11.664867063731426</v>
      </c>
      <c r="CF197" s="4">
        <f t="shared" si="8"/>
        <v>0.63322715230276361</v>
      </c>
      <c r="CG197" s="15">
        <f t="shared" si="9"/>
        <v>4354.3343702056627</v>
      </c>
      <c r="CH197" s="6">
        <f t="shared" si="10"/>
        <v>0.14920752432701959</v>
      </c>
      <c r="CJ197" s="6"/>
      <c r="CK197">
        <v>11.157022579066394</v>
      </c>
      <c r="CL197">
        <v>0.68960896011789929</v>
      </c>
      <c r="CM197">
        <v>4125.2761257026259</v>
      </c>
      <c r="CN197">
        <v>0.13075666800119143</v>
      </c>
    </row>
    <row r="198" spans="1:92">
      <c r="A198" t="s">
        <v>330</v>
      </c>
      <c r="B198" t="s">
        <v>313</v>
      </c>
      <c r="C198" s="5">
        <v>1.0765116279069789</v>
      </c>
      <c r="D198" s="16">
        <v>5.5E-2</v>
      </c>
      <c r="E198">
        <v>481</v>
      </c>
      <c r="F198" s="3">
        <f t="shared" si="6"/>
        <v>218.17818943854272</v>
      </c>
      <c r="G198">
        <v>0</v>
      </c>
      <c r="H198">
        <v>0</v>
      </c>
      <c r="I198">
        <v>1</v>
      </c>
      <c r="J198">
        <v>0</v>
      </c>
      <c r="K198">
        <v>0</v>
      </c>
      <c r="L198">
        <v>0</v>
      </c>
      <c r="M198">
        <v>0</v>
      </c>
      <c r="N198">
        <v>0</v>
      </c>
      <c r="O198">
        <v>0</v>
      </c>
      <c r="P198">
        <v>0</v>
      </c>
      <c r="Q198">
        <v>0</v>
      </c>
      <c r="R198" s="3">
        <f t="shared" si="12"/>
        <v>376</v>
      </c>
      <c r="S198" s="3">
        <f t="shared" si="13"/>
        <v>400</v>
      </c>
      <c r="T198">
        <v>12763920</v>
      </c>
      <c r="U198" s="6">
        <v>9.2200000000000004E-2</v>
      </c>
      <c r="V198" s="90">
        <v>2.82E-3</v>
      </c>
      <c r="W198" s="12">
        <v>8.5999999999999993E-2</v>
      </c>
      <c r="X198" s="6">
        <f t="shared" si="15"/>
        <v>3.2866</v>
      </c>
      <c r="Y198">
        <v>5.8</v>
      </c>
      <c r="Z198" s="5">
        <v>4</v>
      </c>
      <c r="AA198" s="3">
        <v>79883</v>
      </c>
      <c r="AB198" s="15">
        <v>8290</v>
      </c>
      <c r="AC198" s="15">
        <v>48380</v>
      </c>
      <c r="AD198" s="3">
        <v>9910</v>
      </c>
      <c r="AE198" s="5">
        <v>1.2645259938837918</v>
      </c>
      <c r="AF198" s="15">
        <v>55440</v>
      </c>
      <c r="AG198">
        <v>330</v>
      </c>
      <c r="AH198" s="10">
        <v>55982.7</v>
      </c>
      <c r="AI198" s="8">
        <v>0</v>
      </c>
      <c r="AJ198" s="15">
        <v>50230</v>
      </c>
      <c r="AK198">
        <v>80</v>
      </c>
      <c r="AL198" s="15">
        <v>44510</v>
      </c>
      <c r="AM198">
        <v>2490</v>
      </c>
      <c r="AO198" s="3">
        <v>0</v>
      </c>
      <c r="AP198" s="3">
        <v>0</v>
      </c>
      <c r="AQ198" s="3">
        <v>0</v>
      </c>
      <c r="AR198" s="3">
        <v>0</v>
      </c>
      <c r="AS198" s="3">
        <v>0</v>
      </c>
      <c r="AT198" s="3">
        <v>0</v>
      </c>
      <c r="AU198" s="3">
        <v>0</v>
      </c>
      <c r="AV198" s="3">
        <v>0</v>
      </c>
      <c r="AW198" s="3">
        <v>0</v>
      </c>
      <c r="AX198" s="3">
        <v>0</v>
      </c>
      <c r="AY198" s="3">
        <v>0</v>
      </c>
      <c r="AZ198" s="3">
        <v>0</v>
      </c>
      <c r="BA198" s="3">
        <v>0</v>
      </c>
      <c r="BB198" s="3">
        <v>0</v>
      </c>
      <c r="BC198" s="3">
        <v>0</v>
      </c>
      <c r="BD198" s="3">
        <v>0</v>
      </c>
      <c r="BE198" s="3">
        <v>0</v>
      </c>
      <c r="BF198" s="3">
        <v>0</v>
      </c>
      <c r="BG198" s="3">
        <v>0</v>
      </c>
      <c r="BH198" s="3">
        <v>0</v>
      </c>
      <c r="BI198" s="3">
        <v>0</v>
      </c>
      <c r="BJ198" s="3">
        <v>0</v>
      </c>
      <c r="BK198" s="3">
        <v>0</v>
      </c>
      <c r="BL198" s="3">
        <v>0</v>
      </c>
      <c r="BM198" s="3">
        <v>1</v>
      </c>
      <c r="BN198" s="3">
        <f t="shared" si="16"/>
        <v>56.2</v>
      </c>
      <c r="BO198">
        <v>367</v>
      </c>
      <c r="BP198" s="3">
        <v>3</v>
      </c>
      <c r="BQ198" s="1">
        <f t="shared" si="11"/>
        <v>8.1743869209809257E-3</v>
      </c>
      <c r="BR198" s="6">
        <v>0.17499999999999999</v>
      </c>
      <c r="BS198" s="6">
        <v>0.04</v>
      </c>
      <c r="BT198" s="6">
        <v>1.7999999999999999E-2</v>
      </c>
      <c r="BU198" s="6">
        <v>8.4000000000000005E-2</v>
      </c>
      <c r="BV198" s="6">
        <v>4.8000000000000001E-2</v>
      </c>
      <c r="BW198" s="6"/>
      <c r="BX198" s="3">
        <v>0</v>
      </c>
      <c r="BY198" s="3">
        <v>205</v>
      </c>
      <c r="BZ198" s="3">
        <v>557</v>
      </c>
      <c r="CA198" s="3">
        <v>0</v>
      </c>
      <c r="CB198" s="3">
        <v>205</v>
      </c>
      <c r="CC198" s="3">
        <v>0</v>
      </c>
      <c r="CD198" s="3">
        <v>0</v>
      </c>
      <c r="CE198" s="4">
        <f t="shared" si="7"/>
        <v>11.415570152295984</v>
      </c>
      <c r="CF198" s="4">
        <f t="shared" si="8"/>
        <v>0.80821354657506095</v>
      </c>
      <c r="CG198" s="15">
        <f t="shared" si="9"/>
        <v>4713.4662391921747</v>
      </c>
      <c r="CH198" s="6">
        <f t="shared" si="10"/>
        <v>0.11177032057678424</v>
      </c>
      <c r="CJ198" s="6"/>
      <c r="CK198">
        <v>11.736607098251113</v>
      </c>
      <c r="CL198">
        <v>0.85094165079640038</v>
      </c>
      <c r="CM198">
        <v>5339.4275951066811</v>
      </c>
      <c r="CN198">
        <v>9.226202162185744E-2</v>
      </c>
    </row>
    <row r="199" spans="1:92">
      <c r="A199" t="s">
        <v>331</v>
      </c>
      <c r="B199" t="s">
        <v>313</v>
      </c>
      <c r="C199" s="5">
        <v>0.99459770114942603</v>
      </c>
      <c r="D199" s="16">
        <v>0.06</v>
      </c>
      <c r="E199">
        <v>666</v>
      </c>
      <c r="F199" s="3">
        <f t="shared" si="6"/>
        <v>302.09287768413606</v>
      </c>
      <c r="G199">
        <v>0</v>
      </c>
      <c r="H199">
        <v>0</v>
      </c>
      <c r="I199">
        <v>0</v>
      </c>
      <c r="J199">
        <v>0</v>
      </c>
      <c r="K199">
        <v>0</v>
      </c>
      <c r="L199">
        <v>0</v>
      </c>
      <c r="M199">
        <v>1</v>
      </c>
      <c r="N199">
        <v>0</v>
      </c>
      <c r="O199">
        <v>0</v>
      </c>
      <c r="P199">
        <v>0</v>
      </c>
      <c r="Q199">
        <v>0</v>
      </c>
      <c r="R199" s="3">
        <f t="shared" si="12"/>
        <v>522</v>
      </c>
      <c r="S199" s="3">
        <f t="shared" si="13"/>
        <v>578</v>
      </c>
      <c r="T199">
        <v>37139365</v>
      </c>
      <c r="U199" s="6">
        <v>7.8E-2</v>
      </c>
      <c r="V199" s="90">
        <v>3.0800000000000003E-3</v>
      </c>
      <c r="W199" s="12">
        <v>0.04</v>
      </c>
      <c r="X199" s="6">
        <f t="shared" si="15"/>
        <v>3.2866</v>
      </c>
      <c r="Y199">
        <v>13.3</v>
      </c>
      <c r="Z199" s="5">
        <v>4.25</v>
      </c>
      <c r="AA199" s="3">
        <v>25142</v>
      </c>
      <c r="AB199" s="15">
        <v>8290</v>
      </c>
      <c r="AC199" s="15">
        <v>55800</v>
      </c>
      <c r="AD199" s="3">
        <v>26150</v>
      </c>
      <c r="AE199" s="5">
        <v>1.2645259938837918</v>
      </c>
      <c r="AF199" s="15">
        <v>63580</v>
      </c>
      <c r="AG199">
        <v>390</v>
      </c>
      <c r="AH199" s="10">
        <v>55982.7</v>
      </c>
      <c r="AI199" s="8">
        <v>0</v>
      </c>
      <c r="AJ199" s="15">
        <v>47120</v>
      </c>
      <c r="AK199">
        <v>70</v>
      </c>
      <c r="AL199" s="15">
        <v>43620</v>
      </c>
      <c r="AM199">
        <v>11130</v>
      </c>
      <c r="AO199" s="3">
        <v>0</v>
      </c>
      <c r="AP199" s="3">
        <v>0</v>
      </c>
      <c r="AQ199" s="3">
        <v>0</v>
      </c>
      <c r="AR199" s="3">
        <v>0</v>
      </c>
      <c r="AS199" s="3">
        <v>0</v>
      </c>
      <c r="AT199" s="3">
        <v>0</v>
      </c>
      <c r="AU199" s="3">
        <v>0</v>
      </c>
      <c r="AV199" s="3">
        <v>0</v>
      </c>
      <c r="AW199" s="3">
        <v>0</v>
      </c>
      <c r="AX199" s="3">
        <v>0</v>
      </c>
      <c r="AY199" s="3">
        <v>0</v>
      </c>
      <c r="AZ199" s="3">
        <v>0</v>
      </c>
      <c r="BA199" s="3">
        <v>1</v>
      </c>
      <c r="BB199" s="3">
        <v>0</v>
      </c>
      <c r="BC199" s="3">
        <v>0</v>
      </c>
      <c r="BD199" s="3">
        <v>0</v>
      </c>
      <c r="BE199" s="3">
        <v>0</v>
      </c>
      <c r="BF199" s="3">
        <v>1</v>
      </c>
      <c r="BG199" s="3">
        <v>0</v>
      </c>
      <c r="BH199" s="3">
        <v>0</v>
      </c>
      <c r="BI199" s="3">
        <v>0</v>
      </c>
      <c r="BJ199" s="3">
        <v>0</v>
      </c>
      <c r="BK199" s="3">
        <v>0</v>
      </c>
      <c r="BL199" s="3">
        <v>0</v>
      </c>
      <c r="BM199" s="3">
        <v>1</v>
      </c>
      <c r="BN199" s="3">
        <f t="shared" si="16"/>
        <v>56.533333333333339</v>
      </c>
      <c r="BO199">
        <v>481</v>
      </c>
      <c r="BP199" s="3">
        <v>9</v>
      </c>
      <c r="BQ199" s="1">
        <f t="shared" si="11"/>
        <v>1.8711018711018712E-2</v>
      </c>
      <c r="BR199" s="6">
        <v>0.17499999999999999</v>
      </c>
      <c r="BS199" s="6">
        <v>0.04</v>
      </c>
      <c r="BT199" s="6">
        <v>1.7999999999999999E-2</v>
      </c>
      <c r="BU199" s="6">
        <v>8.4000000000000005E-2</v>
      </c>
      <c r="BV199" s="6">
        <v>4.8000000000000001E-2</v>
      </c>
      <c r="BW199" s="6"/>
      <c r="BX199" s="3">
        <v>0</v>
      </c>
      <c r="BY199" s="3">
        <v>0</v>
      </c>
      <c r="BZ199" s="3">
        <v>460</v>
      </c>
      <c r="CA199" s="3">
        <v>0</v>
      </c>
      <c r="CB199" s="3">
        <v>0</v>
      </c>
      <c r="CC199" s="3">
        <v>59</v>
      </c>
      <c r="CD199" s="3">
        <v>0</v>
      </c>
      <c r="CE199" s="4">
        <f t="shared" si="7"/>
        <v>10.819715059977327</v>
      </c>
      <c r="CF199" s="4">
        <f t="shared" si="8"/>
        <v>0.89996087659778345</v>
      </c>
      <c r="CG199" s="15">
        <f t="shared" si="9"/>
        <v>5103.8550284299245</v>
      </c>
      <c r="CH199" s="6">
        <f t="shared" si="10"/>
        <v>0.12298749677352988</v>
      </c>
      <c r="CJ199" s="6"/>
      <c r="CK199">
        <v>10.340795652133865</v>
      </c>
      <c r="CL199">
        <v>0.91116720701438458</v>
      </c>
      <c r="CM199">
        <v>4971.4500155437518</v>
      </c>
      <c r="CN199">
        <v>0.11216862750866434</v>
      </c>
    </row>
    <row r="200" spans="1:92">
      <c r="A200" t="s">
        <v>332</v>
      </c>
      <c r="B200" t="s">
        <v>313</v>
      </c>
      <c r="C200" s="5">
        <v>1.1800000000000035</v>
      </c>
      <c r="D200" s="16">
        <v>6.25E-2</v>
      </c>
      <c r="E200">
        <v>952</v>
      </c>
      <c r="F200" s="3">
        <f t="shared" si="6"/>
        <v>431.82044978272904</v>
      </c>
      <c r="G200">
        <v>0</v>
      </c>
      <c r="H200">
        <v>0</v>
      </c>
      <c r="I200">
        <v>1</v>
      </c>
      <c r="J200">
        <v>0</v>
      </c>
      <c r="K200">
        <v>0</v>
      </c>
      <c r="L200">
        <v>0</v>
      </c>
      <c r="M200">
        <v>0</v>
      </c>
      <c r="N200">
        <v>0</v>
      </c>
      <c r="O200">
        <v>0</v>
      </c>
      <c r="P200">
        <v>0</v>
      </c>
      <c r="Q200">
        <v>0</v>
      </c>
      <c r="R200" s="3">
        <f t="shared" si="12"/>
        <v>376</v>
      </c>
      <c r="S200" s="3">
        <f t="shared" si="13"/>
        <v>400</v>
      </c>
      <c r="T200">
        <v>21026161</v>
      </c>
      <c r="U200" s="6">
        <v>0.14760000000000001</v>
      </c>
      <c r="V200" s="90">
        <v>2.82E-3</v>
      </c>
      <c r="W200" s="12">
        <v>8.5999999999999993E-2</v>
      </c>
      <c r="X200" s="6">
        <f t="shared" si="15"/>
        <v>3.2866</v>
      </c>
      <c r="Y200">
        <v>9.8000000000000007</v>
      </c>
      <c r="Z200" s="5">
        <v>4.25</v>
      </c>
      <c r="AA200" s="3">
        <v>20202</v>
      </c>
      <c r="AB200" s="15">
        <v>8290</v>
      </c>
      <c r="AC200" s="15">
        <v>56810</v>
      </c>
      <c r="AD200" s="3">
        <v>30430</v>
      </c>
      <c r="AE200" s="5">
        <v>1.2645259938837918</v>
      </c>
      <c r="AF200" s="15">
        <v>72600</v>
      </c>
      <c r="AG200">
        <v>410</v>
      </c>
      <c r="AH200" s="10">
        <v>55982.7</v>
      </c>
      <c r="AI200" s="8">
        <v>0</v>
      </c>
      <c r="AJ200" s="10">
        <v>50229.389671361503</v>
      </c>
      <c r="AK200" s="8">
        <v>0</v>
      </c>
      <c r="AL200" s="15">
        <v>45470</v>
      </c>
      <c r="AM200">
        <v>6380</v>
      </c>
      <c r="AN200" s="8"/>
      <c r="AO200" s="3">
        <v>0</v>
      </c>
      <c r="AP200" s="3">
        <v>0</v>
      </c>
      <c r="AQ200" s="3">
        <v>0</v>
      </c>
      <c r="AR200" s="3">
        <v>0</v>
      </c>
      <c r="AS200" s="3">
        <v>0</v>
      </c>
      <c r="AT200" s="3">
        <v>0</v>
      </c>
      <c r="AU200" s="3">
        <v>0</v>
      </c>
      <c r="AV200" s="3">
        <v>0</v>
      </c>
      <c r="AW200" s="3">
        <v>0</v>
      </c>
      <c r="AX200" s="3">
        <v>0</v>
      </c>
      <c r="AY200" s="3">
        <v>0</v>
      </c>
      <c r="AZ200" s="3">
        <v>0</v>
      </c>
      <c r="BA200" s="3">
        <v>0</v>
      </c>
      <c r="BB200" s="3">
        <v>0</v>
      </c>
      <c r="BC200" s="3">
        <v>0</v>
      </c>
      <c r="BD200" s="3">
        <v>0</v>
      </c>
      <c r="BE200" s="3">
        <v>0</v>
      </c>
      <c r="BF200" s="3">
        <v>0</v>
      </c>
      <c r="BG200" s="3">
        <v>0</v>
      </c>
      <c r="BH200" s="3">
        <v>0</v>
      </c>
      <c r="BI200" s="3">
        <v>0</v>
      </c>
      <c r="BJ200" s="3">
        <v>1</v>
      </c>
      <c r="BK200" s="3">
        <v>1</v>
      </c>
      <c r="BL200" s="3">
        <v>0</v>
      </c>
      <c r="BM200" s="3">
        <v>1</v>
      </c>
      <c r="BN200" s="3">
        <f t="shared" si="16"/>
        <v>55.566666666666663</v>
      </c>
      <c r="BO200">
        <v>566</v>
      </c>
      <c r="BP200" s="3">
        <v>9</v>
      </c>
      <c r="BQ200" s="1">
        <f t="shared" si="11"/>
        <v>1.5901060070671377E-2</v>
      </c>
      <c r="BR200" s="6">
        <v>0.17499999999999999</v>
      </c>
      <c r="BS200" s="6">
        <v>0.04</v>
      </c>
      <c r="BT200" s="6">
        <v>1.7999999999999999E-2</v>
      </c>
      <c r="BU200" s="6">
        <v>8.4000000000000005E-2</v>
      </c>
      <c r="BV200" s="6">
        <v>4.8000000000000001E-2</v>
      </c>
      <c r="BW200" s="6"/>
      <c r="BX200" s="3">
        <v>0</v>
      </c>
      <c r="BY200" s="3">
        <v>0</v>
      </c>
      <c r="BZ200" s="3">
        <v>507</v>
      </c>
      <c r="CA200" s="3">
        <v>0</v>
      </c>
      <c r="CB200" s="3">
        <v>0</v>
      </c>
      <c r="CC200" s="3">
        <v>0</v>
      </c>
      <c r="CD200" s="3">
        <v>0</v>
      </c>
      <c r="CE200" s="4">
        <f t="shared" si="7"/>
        <v>10.960643963033506</v>
      </c>
      <c r="CF200" s="4">
        <f t="shared" si="8"/>
        <v>0.89666325318342188</v>
      </c>
      <c r="CG200" s="15">
        <f t="shared" si="9"/>
        <v>5142.8171020473019</v>
      </c>
      <c r="CH200" s="6">
        <f t="shared" si="10"/>
        <v>0.12617110418812871</v>
      </c>
      <c r="CJ200" s="6"/>
      <c r="CK200">
        <v>10.960643963033506</v>
      </c>
      <c r="CL200">
        <v>0.89666325318342188</v>
      </c>
      <c r="CM200">
        <v>5142.8171020473019</v>
      </c>
      <c r="CN200">
        <v>0.12617110418812871</v>
      </c>
    </row>
    <row r="201" spans="1:92">
      <c r="A201" t="s">
        <v>333</v>
      </c>
      <c r="B201" t="s">
        <v>201</v>
      </c>
      <c r="C201" s="5">
        <v>1.0209189189189156</v>
      </c>
      <c r="D201" s="16">
        <v>0.06</v>
      </c>
      <c r="E201">
        <v>1096</v>
      </c>
      <c r="F201" s="3">
        <f t="shared" si="6"/>
        <v>497.13782874146113</v>
      </c>
      <c r="G201">
        <v>0</v>
      </c>
      <c r="H201">
        <v>0</v>
      </c>
      <c r="I201">
        <v>0</v>
      </c>
      <c r="J201">
        <v>1</v>
      </c>
      <c r="K201">
        <v>0</v>
      </c>
      <c r="L201">
        <v>0</v>
      </c>
      <c r="M201">
        <v>1</v>
      </c>
      <c r="N201">
        <v>0</v>
      </c>
      <c r="O201">
        <v>0</v>
      </c>
      <c r="P201">
        <v>0</v>
      </c>
      <c r="Q201">
        <v>0</v>
      </c>
      <c r="R201" s="3">
        <f t="shared" si="12"/>
        <v>624.5</v>
      </c>
      <c r="S201" s="3">
        <f t="shared" si="13"/>
        <v>672</v>
      </c>
      <c r="T201">
        <v>117497052</v>
      </c>
      <c r="U201" s="6">
        <v>7.0699999999999999E-2</v>
      </c>
      <c r="V201" s="90">
        <v>3.0800000000000003E-3</v>
      </c>
      <c r="W201" s="12">
        <v>0.06</v>
      </c>
      <c r="X201" s="6">
        <f t="shared" si="15"/>
        <v>3.1806999999999999</v>
      </c>
      <c r="Y201">
        <v>7.5</v>
      </c>
      <c r="Z201" s="5">
        <v>4</v>
      </c>
      <c r="AA201" s="3">
        <v>146435</v>
      </c>
      <c r="AB201" s="15">
        <v>3100</v>
      </c>
      <c r="AC201" s="15">
        <v>52180</v>
      </c>
      <c r="AD201" s="3">
        <v>54280</v>
      </c>
      <c r="AE201" s="5">
        <v>1.277602523659306</v>
      </c>
      <c r="AF201" s="15">
        <v>63350</v>
      </c>
      <c r="AG201">
        <v>1160</v>
      </c>
      <c r="AH201" s="15">
        <v>89870</v>
      </c>
      <c r="AI201">
        <v>90</v>
      </c>
      <c r="AJ201" s="15">
        <v>67130</v>
      </c>
      <c r="AK201">
        <v>40</v>
      </c>
      <c r="AL201" s="15">
        <v>43720</v>
      </c>
      <c r="AM201">
        <v>24840</v>
      </c>
      <c r="AO201" s="3">
        <v>0</v>
      </c>
      <c r="AP201" s="3">
        <v>0</v>
      </c>
      <c r="AQ201" s="3">
        <v>0</v>
      </c>
      <c r="AR201" s="3">
        <v>0</v>
      </c>
      <c r="AS201" s="3">
        <v>0</v>
      </c>
      <c r="AT201" s="3">
        <v>0</v>
      </c>
      <c r="AU201" s="3">
        <v>0</v>
      </c>
      <c r="AV201" s="3">
        <v>0</v>
      </c>
      <c r="AW201" s="3">
        <v>0</v>
      </c>
      <c r="AX201" s="3">
        <v>0</v>
      </c>
      <c r="AY201" s="3">
        <v>0</v>
      </c>
      <c r="AZ201" s="3">
        <v>0</v>
      </c>
      <c r="BA201" s="3">
        <v>0</v>
      </c>
      <c r="BB201" s="3">
        <v>1</v>
      </c>
      <c r="BC201" s="3">
        <v>0</v>
      </c>
      <c r="BD201" s="3">
        <v>0</v>
      </c>
      <c r="BE201" s="3">
        <v>0</v>
      </c>
      <c r="BF201" s="3">
        <v>0</v>
      </c>
      <c r="BG201" s="3">
        <v>0</v>
      </c>
      <c r="BH201" s="3">
        <v>0</v>
      </c>
      <c r="BI201" s="3">
        <v>0</v>
      </c>
      <c r="BJ201" s="3">
        <v>0</v>
      </c>
      <c r="BK201" s="3">
        <v>0</v>
      </c>
      <c r="BL201" s="3">
        <v>1</v>
      </c>
      <c r="BM201" s="3">
        <v>0</v>
      </c>
      <c r="BN201" s="3">
        <f t="shared" si="16"/>
        <v>56.7</v>
      </c>
      <c r="BO201">
        <v>1241</v>
      </c>
      <c r="BP201" s="3">
        <v>9</v>
      </c>
      <c r="BQ201" s="1">
        <f t="shared" si="11"/>
        <v>7.2522159548751011E-3</v>
      </c>
      <c r="BR201" s="6">
        <v>0.17699999999999999</v>
      </c>
      <c r="BS201" s="6">
        <v>3.7999999999999999E-2</v>
      </c>
      <c r="BT201" s="6">
        <v>1.6E-2</v>
      </c>
      <c r="BU201" s="6">
        <v>8.5000000000000006E-2</v>
      </c>
      <c r="BV201" s="6">
        <v>3.5999999999999997E-2</v>
      </c>
      <c r="BW201" s="6"/>
      <c r="BX201" s="3">
        <v>0</v>
      </c>
      <c r="BY201" s="3">
        <v>1</v>
      </c>
      <c r="BZ201" s="3">
        <v>363</v>
      </c>
      <c r="CA201" s="3">
        <v>871</v>
      </c>
      <c r="CB201" s="3">
        <v>1</v>
      </c>
      <c r="CC201" s="3">
        <v>115</v>
      </c>
      <c r="CD201" s="3">
        <v>0</v>
      </c>
      <c r="CE201" s="4">
        <f t="shared" si="7"/>
        <v>10.662204732691555</v>
      </c>
      <c r="CF201" s="4">
        <f t="shared" si="8"/>
        <v>0.72332069202340943</v>
      </c>
      <c r="CG201" s="15">
        <f t="shared" si="9"/>
        <v>2972.34140673812</v>
      </c>
      <c r="CH201" s="6">
        <f t="shared" si="10"/>
        <v>8.4281337574200671E-2</v>
      </c>
      <c r="CJ201" s="6"/>
      <c r="CK201">
        <v>10.769288028584674</v>
      </c>
      <c r="CL201">
        <v>0.82442958100321073</v>
      </c>
      <c r="CM201">
        <v>4276.5293063339413</v>
      </c>
      <c r="CN201">
        <v>9.5392774452199153E-2</v>
      </c>
    </row>
    <row r="202" spans="1:92">
      <c r="A202" t="s">
        <v>334</v>
      </c>
      <c r="B202" t="s">
        <v>201</v>
      </c>
      <c r="C202" s="5">
        <v>1.1018495297805686</v>
      </c>
      <c r="D202" s="16">
        <v>6.8750000000000006E-2</v>
      </c>
      <c r="E202">
        <v>833</v>
      </c>
      <c r="F202" s="3">
        <f t="shared" si="6"/>
        <v>377.8428935598879</v>
      </c>
      <c r="G202">
        <v>0</v>
      </c>
      <c r="H202">
        <v>0</v>
      </c>
      <c r="I202">
        <v>0</v>
      </c>
      <c r="J202">
        <v>1</v>
      </c>
      <c r="K202">
        <v>0</v>
      </c>
      <c r="L202">
        <v>0</v>
      </c>
      <c r="M202">
        <v>0</v>
      </c>
      <c r="N202">
        <v>0</v>
      </c>
      <c r="O202">
        <v>0</v>
      </c>
      <c r="P202">
        <v>0</v>
      </c>
      <c r="Q202">
        <v>0</v>
      </c>
      <c r="R202" s="3">
        <f t="shared" si="12"/>
        <v>727</v>
      </c>
      <c r="S202" s="3">
        <f t="shared" si="13"/>
        <v>766</v>
      </c>
      <c r="T202">
        <v>58966891</v>
      </c>
      <c r="U202" s="6">
        <v>7.5300000000000006E-2</v>
      </c>
      <c r="V202" s="90">
        <v>2.0899999999999998E-3</v>
      </c>
      <c r="W202" s="12">
        <v>0.05</v>
      </c>
      <c r="X202" s="6">
        <f t="shared" si="15"/>
        <v>3.1806999999999999</v>
      </c>
      <c r="Y202">
        <v>5.4</v>
      </c>
      <c r="Z202" s="5">
        <v>4</v>
      </c>
      <c r="AA202" s="3">
        <v>206232</v>
      </c>
      <c r="AB202" s="15">
        <v>2100</v>
      </c>
      <c r="AC202" s="15">
        <v>57400</v>
      </c>
      <c r="AD202" s="3">
        <v>35590</v>
      </c>
      <c r="AE202" s="5">
        <v>1.277602523659306</v>
      </c>
      <c r="AF202" s="15">
        <v>74210</v>
      </c>
      <c r="AG202">
        <v>200</v>
      </c>
      <c r="AH202" s="10">
        <v>55722.07547169811</v>
      </c>
      <c r="AI202" s="8">
        <v>0</v>
      </c>
      <c r="AJ202" s="15">
        <v>55430</v>
      </c>
      <c r="AK202">
        <v>180</v>
      </c>
      <c r="AL202" s="15">
        <v>48000</v>
      </c>
      <c r="AM202">
        <v>7010</v>
      </c>
      <c r="AO202" s="3">
        <v>0</v>
      </c>
      <c r="AP202" s="3">
        <v>0</v>
      </c>
      <c r="AQ202" s="3">
        <v>0</v>
      </c>
      <c r="AR202" s="3">
        <v>0</v>
      </c>
      <c r="AS202" s="3">
        <v>0</v>
      </c>
      <c r="AT202" s="3">
        <v>0</v>
      </c>
      <c r="AU202" s="3">
        <v>0</v>
      </c>
      <c r="AV202" s="3">
        <v>1</v>
      </c>
      <c r="AW202" s="3">
        <v>0</v>
      </c>
      <c r="AX202" s="3">
        <v>0</v>
      </c>
      <c r="AY202" s="3">
        <v>0</v>
      </c>
      <c r="AZ202" s="3">
        <v>0</v>
      </c>
      <c r="BA202" s="3">
        <v>0</v>
      </c>
      <c r="BB202" s="3">
        <v>0</v>
      </c>
      <c r="BC202" s="3">
        <v>0</v>
      </c>
      <c r="BD202" s="3">
        <v>0</v>
      </c>
      <c r="BE202" s="3">
        <v>0</v>
      </c>
      <c r="BF202" s="3">
        <v>0</v>
      </c>
      <c r="BG202" s="3">
        <v>0</v>
      </c>
      <c r="BH202" s="3">
        <v>0</v>
      </c>
      <c r="BI202" s="3">
        <v>0</v>
      </c>
      <c r="BJ202" s="3">
        <v>1</v>
      </c>
      <c r="BK202" s="3">
        <v>0</v>
      </c>
      <c r="BL202" s="3">
        <v>1</v>
      </c>
      <c r="BM202" s="3">
        <v>0</v>
      </c>
      <c r="BN202" s="3">
        <f t="shared" si="16"/>
        <v>56.866666666666674</v>
      </c>
      <c r="BO202">
        <v>912</v>
      </c>
      <c r="BP202" s="3">
        <v>5</v>
      </c>
      <c r="BQ202" s="1">
        <f t="shared" si="11"/>
        <v>5.4824561403508769E-3</v>
      </c>
      <c r="BR202" s="6">
        <v>0.17699999999999999</v>
      </c>
      <c r="BS202" s="6">
        <v>3.7999999999999999E-2</v>
      </c>
      <c r="BT202" s="6">
        <v>1.6E-2</v>
      </c>
      <c r="BU202" s="6">
        <v>8.5000000000000006E-2</v>
      </c>
      <c r="BV202" s="6">
        <v>3.5999999999999997E-2</v>
      </c>
      <c r="BW202" s="6"/>
      <c r="BX202" s="3">
        <v>1686</v>
      </c>
      <c r="BY202" s="3">
        <v>1804</v>
      </c>
      <c r="BZ202" s="3">
        <v>0</v>
      </c>
      <c r="CA202" s="3">
        <v>479</v>
      </c>
      <c r="CB202" s="3">
        <v>1804</v>
      </c>
      <c r="CC202" s="3">
        <v>0</v>
      </c>
      <c r="CD202" s="3">
        <v>665</v>
      </c>
      <c r="CE202" s="4">
        <f t="shared" si="7"/>
        <v>11.803419309571856</v>
      </c>
      <c r="CF202" s="4">
        <f t="shared" si="8"/>
        <v>0.65246394072713221</v>
      </c>
      <c r="CG202" s="15">
        <f t="shared" si="9"/>
        <v>4318.2358966658849</v>
      </c>
      <c r="CH202" s="6">
        <f t="shared" si="10"/>
        <v>0.1237991850148949</v>
      </c>
      <c r="CJ202" s="6"/>
      <c r="CK202">
        <v>11.416637579633148</v>
      </c>
      <c r="CL202">
        <v>0.6602749699764936</v>
      </c>
      <c r="CM202">
        <v>4306.8142863128596</v>
      </c>
      <c r="CN202">
        <v>0.14007853446696578</v>
      </c>
    </row>
    <row r="203" spans="1:92">
      <c r="A203" t="s">
        <v>205</v>
      </c>
      <c r="B203" t="s">
        <v>314</v>
      </c>
      <c r="C203" s="5">
        <v>0.79808235294117491</v>
      </c>
      <c r="D203" s="16">
        <v>7.0000000000000007E-2</v>
      </c>
      <c r="E203">
        <v>886</v>
      </c>
      <c r="F203" s="3">
        <f t="shared" si="6"/>
        <v>401.88331775997682</v>
      </c>
      <c r="G203">
        <v>0</v>
      </c>
      <c r="H203">
        <v>0</v>
      </c>
      <c r="I203">
        <v>0</v>
      </c>
      <c r="J203">
        <v>1</v>
      </c>
      <c r="K203">
        <v>0</v>
      </c>
      <c r="L203">
        <v>0</v>
      </c>
      <c r="M203">
        <v>0</v>
      </c>
      <c r="N203">
        <v>0</v>
      </c>
      <c r="O203">
        <v>1</v>
      </c>
      <c r="P203">
        <v>0</v>
      </c>
      <c r="Q203">
        <v>0</v>
      </c>
      <c r="R203" s="3">
        <f t="shared" si="12"/>
        <v>637.5</v>
      </c>
      <c r="S203" s="3">
        <f t="shared" si="13"/>
        <v>674.5</v>
      </c>
      <c r="T203">
        <v>67781240</v>
      </c>
      <c r="U203" s="6">
        <v>5.8499999999999996E-2</v>
      </c>
      <c r="V203" s="90">
        <v>3.0800000000000003E-3</v>
      </c>
      <c r="W203" s="12">
        <v>0.04</v>
      </c>
      <c r="X203" s="6">
        <f t="shared" si="15"/>
        <v>3.0587999999999997</v>
      </c>
      <c r="Y203">
        <v>18.100000000000001</v>
      </c>
      <c r="Z203" s="5">
        <v>5</v>
      </c>
      <c r="AA203" s="3">
        <v>121531</v>
      </c>
      <c r="AB203" s="15">
        <v>2770</v>
      </c>
      <c r="AC203" s="15">
        <v>52090</v>
      </c>
      <c r="AD203" s="3">
        <v>23780</v>
      </c>
      <c r="AE203" s="5">
        <v>1.3194221508828252</v>
      </c>
      <c r="AF203" s="15">
        <v>57190</v>
      </c>
      <c r="AG203">
        <v>450</v>
      </c>
      <c r="AH203" s="10">
        <v>60536.415094339623</v>
      </c>
      <c r="AI203" s="8">
        <v>0</v>
      </c>
      <c r="AJ203" s="15">
        <v>47540</v>
      </c>
      <c r="AK203" s="8">
        <v>0</v>
      </c>
      <c r="AL203" s="15">
        <v>37900</v>
      </c>
      <c r="AM203">
        <v>8390</v>
      </c>
      <c r="AN203" s="8"/>
      <c r="AO203" s="3">
        <v>0</v>
      </c>
      <c r="AP203" s="3">
        <v>1</v>
      </c>
      <c r="AQ203" s="3">
        <v>0</v>
      </c>
      <c r="AR203" s="3">
        <v>1</v>
      </c>
      <c r="AS203" s="3">
        <v>0</v>
      </c>
      <c r="AT203" s="3">
        <v>0</v>
      </c>
      <c r="AU203" s="3">
        <v>0</v>
      </c>
      <c r="AV203" s="3">
        <v>0</v>
      </c>
      <c r="AW203" s="3">
        <v>0</v>
      </c>
      <c r="AX203" s="3">
        <v>0</v>
      </c>
      <c r="AY203" s="3">
        <v>1</v>
      </c>
      <c r="AZ203" s="3">
        <v>0</v>
      </c>
      <c r="BA203" s="3">
        <v>0</v>
      </c>
      <c r="BB203" s="3">
        <v>0</v>
      </c>
      <c r="BC203" s="3">
        <v>0</v>
      </c>
      <c r="BD203" s="3">
        <v>0</v>
      </c>
      <c r="BE203" s="3">
        <v>0</v>
      </c>
      <c r="BF203" s="3">
        <v>0</v>
      </c>
      <c r="BG203" s="3">
        <v>0</v>
      </c>
      <c r="BH203" s="3">
        <v>0</v>
      </c>
      <c r="BI203" s="3">
        <v>0</v>
      </c>
      <c r="BJ203" s="3">
        <v>0</v>
      </c>
      <c r="BK203" s="3">
        <v>0</v>
      </c>
      <c r="BL203" s="3">
        <v>0</v>
      </c>
      <c r="BM203" s="3">
        <v>0</v>
      </c>
      <c r="BN203" s="3">
        <f t="shared" si="16"/>
        <v>57.866666666666667</v>
      </c>
      <c r="BO203">
        <v>685</v>
      </c>
      <c r="BP203" s="3">
        <v>7</v>
      </c>
      <c r="BQ203" s="1">
        <f t="shared" si="11"/>
        <v>1.0218978102189781E-2</v>
      </c>
      <c r="BR203" s="6">
        <v>0.17399999999999999</v>
      </c>
      <c r="BS203" s="6">
        <v>4.2999999999999997E-2</v>
      </c>
      <c r="BT203" s="6">
        <v>1.7000000000000001E-2</v>
      </c>
      <c r="BU203" s="6">
        <v>9.4E-2</v>
      </c>
      <c r="BV203" s="6">
        <v>2.8000000000000001E-2</v>
      </c>
      <c r="BW203" s="6"/>
      <c r="BX203" s="3">
        <v>179</v>
      </c>
      <c r="BY203" s="3">
        <v>576</v>
      </c>
      <c r="BZ203" s="3">
        <v>94</v>
      </c>
      <c r="CA203" s="3">
        <v>757</v>
      </c>
      <c r="CB203" s="3">
        <v>576</v>
      </c>
      <c r="CC203" s="3">
        <v>211</v>
      </c>
      <c r="CD203" s="3">
        <v>0</v>
      </c>
      <c r="CE203" s="4">
        <f t="shared" si="7"/>
        <v>11.331146737739243</v>
      </c>
      <c r="CF203" s="4">
        <f t="shared" si="8"/>
        <v>0.69277252491853725</v>
      </c>
      <c r="CG203" s="15">
        <f t="shared" si="9"/>
        <v>3581.185790194354</v>
      </c>
      <c r="CH203" s="6">
        <f t="shared" si="10"/>
        <v>9.0654250120960331E-2</v>
      </c>
      <c r="CJ203" s="6"/>
      <c r="CK203">
        <v>10.771552352249621</v>
      </c>
      <c r="CL203">
        <v>0.76932504345617736</v>
      </c>
      <c r="CM203">
        <v>4247.4855602738135</v>
      </c>
      <c r="CN203">
        <v>0.11277017278526946</v>
      </c>
    </row>
    <row r="204" spans="1:92">
      <c r="A204" t="s">
        <v>335</v>
      </c>
      <c r="B204" t="s">
        <v>201</v>
      </c>
      <c r="C204" s="5">
        <v>0.94890350877192675</v>
      </c>
      <c r="D204" s="16">
        <v>4.2250000000000003E-2</v>
      </c>
      <c r="E204">
        <v>1584</v>
      </c>
      <c r="F204" s="3">
        <f t="shared" si="6"/>
        <v>718.49116854605336</v>
      </c>
      <c r="G204">
        <v>0</v>
      </c>
      <c r="H204">
        <v>0</v>
      </c>
      <c r="I204">
        <v>0</v>
      </c>
      <c r="J204">
        <v>1</v>
      </c>
      <c r="K204">
        <v>0</v>
      </c>
      <c r="L204">
        <v>0</v>
      </c>
      <c r="M204">
        <v>0</v>
      </c>
      <c r="N204">
        <v>1</v>
      </c>
      <c r="O204">
        <v>1</v>
      </c>
      <c r="P204">
        <v>0</v>
      </c>
      <c r="Q204">
        <v>0</v>
      </c>
      <c r="R204" s="3">
        <f t="shared" si="12"/>
        <v>649</v>
      </c>
      <c r="S204" s="3">
        <f t="shared" si="13"/>
        <v>684</v>
      </c>
      <c r="T204">
        <v>79361031</v>
      </c>
      <c r="U204" s="6">
        <v>7.1099999999999997E-2</v>
      </c>
      <c r="V204" s="90">
        <v>2.0899999999999998E-3</v>
      </c>
      <c r="W204" s="12">
        <v>0.05</v>
      </c>
      <c r="X204" s="6">
        <f t="shared" si="15"/>
        <v>3.1806999999999999</v>
      </c>
      <c r="Y204">
        <v>13</v>
      </c>
      <c r="Z204" s="5">
        <v>4.5</v>
      </c>
      <c r="AA204" s="3">
        <v>178040</v>
      </c>
      <c r="AB204" s="15">
        <v>2500</v>
      </c>
      <c r="AC204" s="15">
        <v>51900</v>
      </c>
      <c r="AD204" s="3">
        <v>44940</v>
      </c>
      <c r="AE204" s="5">
        <v>1.277602523659306</v>
      </c>
      <c r="AF204" s="15">
        <v>73020</v>
      </c>
      <c r="AG204">
        <v>950</v>
      </c>
      <c r="AH204" s="15">
        <v>48050</v>
      </c>
      <c r="AI204">
        <v>170</v>
      </c>
      <c r="AJ204" s="15">
        <v>63630</v>
      </c>
      <c r="AK204">
        <v>500</v>
      </c>
      <c r="AL204" s="15">
        <v>43490</v>
      </c>
      <c r="AM204">
        <v>15030</v>
      </c>
      <c r="AO204" s="3">
        <v>0</v>
      </c>
      <c r="AP204" s="3">
        <v>0</v>
      </c>
      <c r="AQ204" s="3">
        <v>0</v>
      </c>
      <c r="AR204" s="3">
        <v>0</v>
      </c>
      <c r="AS204" s="3">
        <v>0</v>
      </c>
      <c r="AT204" s="3">
        <v>0</v>
      </c>
      <c r="AU204" s="3">
        <v>0</v>
      </c>
      <c r="AV204" s="3">
        <v>1</v>
      </c>
      <c r="AW204" s="3">
        <v>0</v>
      </c>
      <c r="AX204" s="3">
        <v>0</v>
      </c>
      <c r="AY204" s="3">
        <v>1</v>
      </c>
      <c r="AZ204" s="3">
        <v>0</v>
      </c>
      <c r="BA204" s="3">
        <v>1</v>
      </c>
      <c r="BB204" s="3">
        <v>0</v>
      </c>
      <c r="BC204" s="3">
        <v>0</v>
      </c>
      <c r="BD204" s="3">
        <v>0</v>
      </c>
      <c r="BE204" s="3">
        <v>0</v>
      </c>
      <c r="BF204" s="3">
        <v>0</v>
      </c>
      <c r="BG204" s="3">
        <v>0</v>
      </c>
      <c r="BH204" s="3">
        <v>0</v>
      </c>
      <c r="BI204" s="3">
        <v>0</v>
      </c>
      <c r="BJ204" s="3">
        <v>0</v>
      </c>
      <c r="BK204" s="3">
        <v>0</v>
      </c>
      <c r="BL204" s="3">
        <v>0</v>
      </c>
      <c r="BM204" s="3">
        <v>0</v>
      </c>
      <c r="BN204" s="3">
        <f t="shared" si="16"/>
        <v>56.866666666666667</v>
      </c>
      <c r="BO204">
        <v>1180</v>
      </c>
      <c r="BP204" s="3">
        <v>13</v>
      </c>
      <c r="BQ204" s="1">
        <f t="shared" si="11"/>
        <v>1.1016949152542373E-2</v>
      </c>
      <c r="BR204" s="6">
        <v>0.17699999999999999</v>
      </c>
      <c r="BS204" s="6">
        <v>3.7999999999999999E-2</v>
      </c>
      <c r="BT204" s="6">
        <v>1.6E-2</v>
      </c>
      <c r="BU204" s="6">
        <v>8.5000000000000006E-2</v>
      </c>
      <c r="BV204" s="6">
        <v>3.5999999999999997E-2</v>
      </c>
      <c r="BW204" s="6"/>
      <c r="BX204" s="3">
        <v>1952</v>
      </c>
      <c r="BY204" s="3">
        <v>606</v>
      </c>
      <c r="BZ204" s="3">
        <v>1</v>
      </c>
      <c r="CA204" s="3">
        <v>0</v>
      </c>
      <c r="CB204" s="3">
        <v>606</v>
      </c>
      <c r="CC204" s="3">
        <v>579</v>
      </c>
      <c r="CD204" s="3">
        <v>1533</v>
      </c>
      <c r="CE204" s="4">
        <f t="shared" si="7"/>
        <v>11.5254837083168</v>
      </c>
      <c r="CF204" s="4">
        <f t="shared" si="8"/>
        <v>0.64847649642926686</v>
      </c>
      <c r="CG204" s="15">
        <f t="shared" si="9"/>
        <v>4814.6450466779925</v>
      </c>
      <c r="CH204" s="6">
        <f t="shared" si="10"/>
        <v>0.16191450491222095</v>
      </c>
      <c r="CJ204" s="6"/>
      <c r="CK204">
        <v>11.411828979559223</v>
      </c>
      <c r="CL204">
        <v>0.69349797982654027</v>
      </c>
      <c r="CM204">
        <v>4624.8955296267104</v>
      </c>
      <c r="CN204">
        <v>0.13713182085425335</v>
      </c>
    </row>
    <row r="205" spans="1:92">
      <c r="A205" t="s">
        <v>336</v>
      </c>
      <c r="B205" t="s">
        <v>315</v>
      </c>
      <c r="C205" s="5">
        <v>1.0839335180055403</v>
      </c>
      <c r="D205" s="16">
        <v>0</v>
      </c>
      <c r="E205">
        <v>1109</v>
      </c>
      <c r="F205" s="3">
        <f t="shared" si="6"/>
        <v>503.03453656412449</v>
      </c>
      <c r="G205">
        <v>0</v>
      </c>
      <c r="H205">
        <v>0</v>
      </c>
      <c r="I205">
        <v>0</v>
      </c>
      <c r="J205">
        <v>1</v>
      </c>
      <c r="K205">
        <v>0</v>
      </c>
      <c r="L205">
        <v>1</v>
      </c>
      <c r="M205">
        <v>0</v>
      </c>
      <c r="N205">
        <v>1</v>
      </c>
      <c r="O205">
        <v>0</v>
      </c>
      <c r="P205">
        <v>0</v>
      </c>
      <c r="Q205">
        <v>0</v>
      </c>
      <c r="R205" s="3">
        <f t="shared" si="12"/>
        <v>605.66666666666663</v>
      </c>
      <c r="S205" s="3">
        <f t="shared" si="13"/>
        <v>636.33333333333337</v>
      </c>
      <c r="T205">
        <v>27088740</v>
      </c>
      <c r="U205" s="6">
        <v>5.45E-2</v>
      </c>
      <c r="V205" s="90">
        <v>3.3399999999999997E-3</v>
      </c>
      <c r="W205" s="12">
        <v>6.0000000000000001E-3</v>
      </c>
      <c r="X205" s="6">
        <f t="shared" si="15"/>
        <v>3.2575000000000003</v>
      </c>
      <c r="Y205">
        <v>5.9</v>
      </c>
      <c r="Z205" s="5">
        <v>4</v>
      </c>
      <c r="AA205" s="3">
        <v>376962</v>
      </c>
      <c r="AB205" s="15">
        <v>800</v>
      </c>
      <c r="AC205" s="15">
        <v>52770</v>
      </c>
      <c r="AD205" s="3">
        <v>7100</v>
      </c>
      <c r="AE205" s="5">
        <v>1.2756302521008405</v>
      </c>
      <c r="AF205" s="15">
        <v>67090</v>
      </c>
      <c r="AG205">
        <v>120</v>
      </c>
      <c r="AH205" s="15">
        <v>78760</v>
      </c>
      <c r="AI205">
        <v>40</v>
      </c>
      <c r="AJ205" s="15">
        <v>64030</v>
      </c>
      <c r="AK205">
        <v>110</v>
      </c>
      <c r="AL205" s="15">
        <v>43040</v>
      </c>
      <c r="AM205">
        <v>1020</v>
      </c>
      <c r="AO205" s="3">
        <v>0</v>
      </c>
      <c r="AP205" s="3">
        <v>0</v>
      </c>
      <c r="AQ205" s="3">
        <v>1</v>
      </c>
      <c r="AR205" s="3">
        <v>0</v>
      </c>
      <c r="AS205" s="3">
        <v>0</v>
      </c>
      <c r="AT205" s="3">
        <v>0</v>
      </c>
      <c r="AU205" s="3">
        <v>0</v>
      </c>
      <c r="AV205" s="3">
        <v>0</v>
      </c>
      <c r="AW205" s="3">
        <v>0</v>
      </c>
      <c r="AX205" s="3">
        <v>0</v>
      </c>
      <c r="AY205" s="3">
        <v>0</v>
      </c>
      <c r="AZ205" s="3">
        <v>0</v>
      </c>
      <c r="BA205" s="3">
        <v>0</v>
      </c>
      <c r="BB205" s="3">
        <v>0</v>
      </c>
      <c r="BC205" s="3">
        <v>0</v>
      </c>
      <c r="BD205" s="3">
        <v>0</v>
      </c>
      <c r="BE205" s="3">
        <v>0</v>
      </c>
      <c r="BF205" s="3">
        <v>0</v>
      </c>
      <c r="BG205" s="3">
        <v>0</v>
      </c>
      <c r="BH205" s="3">
        <v>0</v>
      </c>
      <c r="BI205" s="3">
        <v>0</v>
      </c>
      <c r="BJ205" s="3">
        <v>1</v>
      </c>
      <c r="BK205" s="3">
        <v>0</v>
      </c>
      <c r="BL205" s="3">
        <v>1</v>
      </c>
      <c r="BM205" s="3">
        <v>0</v>
      </c>
      <c r="BN205" s="3">
        <f t="shared" si="16"/>
        <v>56.833333333333336</v>
      </c>
      <c r="BO205">
        <v>1191</v>
      </c>
      <c r="BP205" s="3">
        <v>13</v>
      </c>
      <c r="BQ205" s="1">
        <f t="shared" si="11"/>
        <v>1.09151973131822E-2</v>
      </c>
      <c r="BR205" s="6">
        <v>0.156</v>
      </c>
      <c r="BS205" s="6">
        <v>4.2000000000000003E-2</v>
      </c>
      <c r="BT205" s="6">
        <v>1.0999999999999999E-2</v>
      </c>
      <c r="BU205" s="6">
        <v>7.5999999999999998E-2</v>
      </c>
      <c r="BV205" s="6">
        <v>2.3E-2</v>
      </c>
      <c r="BW205" s="6"/>
      <c r="BX205" s="3">
        <v>2312</v>
      </c>
      <c r="BY205" s="3">
        <v>0</v>
      </c>
      <c r="BZ205" s="3">
        <v>0</v>
      </c>
      <c r="CA205" s="3">
        <v>0</v>
      </c>
      <c r="CB205" s="3">
        <v>0</v>
      </c>
      <c r="CC205" s="3">
        <v>0</v>
      </c>
      <c r="CD205" s="3">
        <v>126</v>
      </c>
      <c r="CE205" s="4">
        <f t="shared" si="7"/>
        <v>11.734276883088352</v>
      </c>
      <c r="CF205" s="4">
        <f t="shared" si="8"/>
        <v>0.62559663024603396</v>
      </c>
      <c r="CG205" s="15">
        <f t="shared" si="9"/>
        <v>5203.4861530680246</v>
      </c>
      <c r="CH205" s="6">
        <f t="shared" si="10"/>
        <v>0.16588222619744589</v>
      </c>
      <c r="CJ205" s="6"/>
      <c r="CK205">
        <v>11.635494754230812</v>
      </c>
      <c r="CL205">
        <v>0.58285798496095031</v>
      </c>
      <c r="CM205">
        <v>5032.0199755015892</v>
      </c>
      <c r="CN205">
        <v>0.2015401475381976</v>
      </c>
    </row>
    <row r="206" spans="1:92">
      <c r="A206" t="s">
        <v>337</v>
      </c>
      <c r="B206" t="s">
        <v>315</v>
      </c>
      <c r="C206" s="5">
        <v>0.91314393939393623</v>
      </c>
      <c r="D206" s="16">
        <v>5.5E-2</v>
      </c>
      <c r="E206">
        <v>1199</v>
      </c>
      <c r="F206" s="3">
        <f t="shared" si="6"/>
        <v>543.85789841333201</v>
      </c>
      <c r="G206">
        <v>0</v>
      </c>
      <c r="H206">
        <v>0</v>
      </c>
      <c r="I206">
        <v>0</v>
      </c>
      <c r="J206">
        <v>0</v>
      </c>
      <c r="K206">
        <v>0</v>
      </c>
      <c r="L206">
        <v>0</v>
      </c>
      <c r="M206">
        <v>0</v>
      </c>
      <c r="N206">
        <v>1</v>
      </c>
      <c r="O206">
        <v>0</v>
      </c>
      <c r="P206">
        <v>0</v>
      </c>
      <c r="Q206">
        <v>0</v>
      </c>
      <c r="R206" s="3">
        <f t="shared" si="12"/>
        <v>672</v>
      </c>
      <c r="S206" s="3">
        <f t="shared" si="13"/>
        <v>703</v>
      </c>
      <c r="T206">
        <v>40692718</v>
      </c>
      <c r="U206" s="6">
        <v>7.6499999999999999E-2</v>
      </c>
      <c r="V206" s="90">
        <v>2.0899999999999998E-3</v>
      </c>
      <c r="W206" s="12">
        <v>0.05</v>
      </c>
      <c r="X206" s="6">
        <f t="shared" si="15"/>
        <v>3.2575000000000003</v>
      </c>
      <c r="Y206">
        <v>9.6999999999999993</v>
      </c>
      <c r="Z206" s="5">
        <v>4.5</v>
      </c>
      <c r="AA206" s="3">
        <v>198974</v>
      </c>
      <c r="AB206" s="15">
        <v>1440</v>
      </c>
      <c r="AC206" s="15">
        <v>63560</v>
      </c>
      <c r="AD206" s="3">
        <v>24470</v>
      </c>
      <c r="AE206" s="5">
        <v>1.277602523659306</v>
      </c>
      <c r="AF206" s="15">
        <v>59440</v>
      </c>
      <c r="AG206">
        <v>390</v>
      </c>
      <c r="AH206" s="15">
        <v>60920</v>
      </c>
      <c r="AI206">
        <v>100</v>
      </c>
      <c r="AJ206" s="10">
        <v>68916.666666666672</v>
      </c>
      <c r="AK206" s="8">
        <v>0</v>
      </c>
      <c r="AL206" s="15">
        <v>41900</v>
      </c>
      <c r="AM206">
        <v>4070</v>
      </c>
      <c r="AN206" s="8"/>
      <c r="AO206" s="3">
        <v>0</v>
      </c>
      <c r="AP206" s="3">
        <v>0</v>
      </c>
      <c r="AQ206" s="3">
        <v>0</v>
      </c>
      <c r="AR206" s="3">
        <v>0</v>
      </c>
      <c r="AS206" s="3">
        <v>0</v>
      </c>
      <c r="AT206" s="3">
        <v>0</v>
      </c>
      <c r="AU206" s="3">
        <v>0</v>
      </c>
      <c r="AV206" s="3">
        <v>0</v>
      </c>
      <c r="AW206" s="3">
        <v>0</v>
      </c>
      <c r="AX206" s="3">
        <v>0</v>
      </c>
      <c r="AY206" s="3">
        <v>0</v>
      </c>
      <c r="AZ206" s="3">
        <v>0</v>
      </c>
      <c r="BA206" s="3">
        <v>0</v>
      </c>
      <c r="BB206" s="3">
        <v>0</v>
      </c>
      <c r="BC206" s="3">
        <v>1</v>
      </c>
      <c r="BD206" s="3">
        <v>0</v>
      </c>
      <c r="BE206" s="3">
        <v>1</v>
      </c>
      <c r="BF206" s="3">
        <v>0</v>
      </c>
      <c r="BG206" s="3">
        <v>0</v>
      </c>
      <c r="BH206" s="3">
        <v>0</v>
      </c>
      <c r="BI206" s="3">
        <v>0</v>
      </c>
      <c r="BJ206" s="3">
        <v>0</v>
      </c>
      <c r="BK206" s="3">
        <v>0</v>
      </c>
      <c r="BL206" s="3">
        <v>0</v>
      </c>
      <c r="BM206" s="3">
        <v>0</v>
      </c>
      <c r="BN206" s="3">
        <f t="shared" si="16"/>
        <v>56.1</v>
      </c>
      <c r="BO206">
        <v>482</v>
      </c>
      <c r="BP206" s="3">
        <v>2</v>
      </c>
      <c r="BQ206" s="1">
        <f t="shared" si="11"/>
        <v>4.1493775933609959E-3</v>
      </c>
      <c r="BR206" s="6">
        <v>0.17699999999999999</v>
      </c>
      <c r="BS206" s="6">
        <v>3.7999999999999999E-2</v>
      </c>
      <c r="BT206" s="6">
        <v>1.6E-2</v>
      </c>
      <c r="BU206" s="6">
        <v>8.5000000000000006E-2</v>
      </c>
      <c r="BV206" s="6">
        <v>3.5999999999999997E-2</v>
      </c>
      <c r="BW206" s="6"/>
      <c r="BX206" s="3">
        <v>1522</v>
      </c>
      <c r="BY206" s="3">
        <v>0</v>
      </c>
      <c r="BZ206" s="3">
        <v>0</v>
      </c>
      <c r="CA206" s="3">
        <v>12</v>
      </c>
      <c r="CB206" s="3">
        <v>0</v>
      </c>
      <c r="CC206" s="3">
        <v>0</v>
      </c>
      <c r="CD206" s="3">
        <v>1065</v>
      </c>
      <c r="CE206" s="4">
        <f t="shared" si="7"/>
        <v>11.650357790924875</v>
      </c>
      <c r="CF206" s="4">
        <f t="shared" si="8"/>
        <v>0.59143134084457649</v>
      </c>
      <c r="CG206" s="15">
        <f t="shared" si="9"/>
        <v>5050.8328073004704</v>
      </c>
      <c r="CH206" s="6">
        <f t="shared" si="10"/>
        <v>0.19391681575391984</v>
      </c>
      <c r="CJ206" s="6"/>
      <c r="CK206">
        <v>11.30998107342716</v>
      </c>
      <c r="CL206">
        <v>0.59671940970319126</v>
      </c>
      <c r="CM206">
        <v>3962.6098500482531</v>
      </c>
      <c r="CN206">
        <v>0.15601737208200189</v>
      </c>
    </row>
    <row r="207" spans="1:92">
      <c r="A207" t="s">
        <v>338</v>
      </c>
      <c r="B207" t="s">
        <v>315</v>
      </c>
      <c r="C207" s="5">
        <v>1.1502293577981673</v>
      </c>
      <c r="D207" s="16">
        <v>6.8500000000000005E-2</v>
      </c>
      <c r="E207">
        <v>698</v>
      </c>
      <c r="F207" s="3">
        <f t="shared" si="6"/>
        <v>316.60785078607654</v>
      </c>
      <c r="G207">
        <v>1</v>
      </c>
      <c r="H207">
        <v>0</v>
      </c>
      <c r="I207">
        <v>0</v>
      </c>
      <c r="J207">
        <v>0</v>
      </c>
      <c r="K207">
        <v>0</v>
      </c>
      <c r="L207">
        <v>1</v>
      </c>
      <c r="M207">
        <v>0</v>
      </c>
      <c r="N207">
        <v>0</v>
      </c>
      <c r="O207">
        <v>0</v>
      </c>
      <c r="P207">
        <v>1</v>
      </c>
      <c r="Q207">
        <v>0</v>
      </c>
      <c r="R207" s="3">
        <f t="shared" si="12"/>
        <v>458</v>
      </c>
      <c r="S207" s="3">
        <f t="shared" si="13"/>
        <v>494.33333333333331</v>
      </c>
      <c r="T207">
        <v>42591838</v>
      </c>
      <c r="U207" s="6">
        <v>6.1399999999999996E-2</v>
      </c>
      <c r="V207" s="90">
        <v>3.3399999999999997E-3</v>
      </c>
      <c r="W207" s="12">
        <v>6.0000000000000001E-3</v>
      </c>
      <c r="X207" s="6">
        <f t="shared" si="15"/>
        <v>3.2575000000000003</v>
      </c>
      <c r="Y207">
        <v>10.8</v>
      </c>
      <c r="Z207" s="5">
        <v>5.25</v>
      </c>
      <c r="AA207" s="3">
        <v>284332</v>
      </c>
      <c r="AB207" s="10">
        <f>AB239</f>
        <v>1760</v>
      </c>
      <c r="AC207" s="15">
        <v>52980</v>
      </c>
      <c r="AD207" s="3">
        <v>16830</v>
      </c>
      <c r="AE207" s="5">
        <v>1.2756302521008405</v>
      </c>
      <c r="AF207" s="15">
        <v>103350</v>
      </c>
      <c r="AG207">
        <v>300</v>
      </c>
      <c r="AH207" s="10">
        <v>74961.666666666672</v>
      </c>
      <c r="AI207" s="8">
        <v>0</v>
      </c>
      <c r="AJ207" s="10">
        <v>68916.666666666672</v>
      </c>
      <c r="AK207" s="8">
        <v>0</v>
      </c>
      <c r="AL207" s="15">
        <v>47180</v>
      </c>
      <c r="AM207">
        <v>7080</v>
      </c>
      <c r="AN207" s="8"/>
      <c r="AO207" s="3">
        <v>0</v>
      </c>
      <c r="AP207" s="3">
        <v>0</v>
      </c>
      <c r="AQ207" s="3">
        <v>1</v>
      </c>
      <c r="AR207" s="3">
        <v>0</v>
      </c>
      <c r="AS207" s="3">
        <v>0</v>
      </c>
      <c r="AT207" s="3">
        <v>0</v>
      </c>
      <c r="AU207" s="3">
        <v>0</v>
      </c>
      <c r="AV207" s="3">
        <v>0</v>
      </c>
      <c r="AW207" s="3">
        <v>0</v>
      </c>
      <c r="AX207" s="3">
        <v>0</v>
      </c>
      <c r="AY207" s="3">
        <v>0</v>
      </c>
      <c r="AZ207" s="3">
        <v>0</v>
      </c>
      <c r="BA207" s="3">
        <v>0</v>
      </c>
      <c r="BB207" s="3">
        <v>0</v>
      </c>
      <c r="BC207" s="3">
        <v>0</v>
      </c>
      <c r="BD207" s="3">
        <v>0</v>
      </c>
      <c r="BE207" s="3">
        <v>1</v>
      </c>
      <c r="BF207" s="3">
        <v>0</v>
      </c>
      <c r="BG207" s="3">
        <v>0</v>
      </c>
      <c r="BH207" s="3">
        <v>0</v>
      </c>
      <c r="BI207" s="3">
        <v>0</v>
      </c>
      <c r="BJ207" s="3">
        <v>0</v>
      </c>
      <c r="BK207" s="3">
        <v>0</v>
      </c>
      <c r="BL207" s="3">
        <v>0</v>
      </c>
      <c r="BM207" s="3">
        <v>0</v>
      </c>
      <c r="BN207" s="3">
        <f t="shared" si="16"/>
        <v>57.2</v>
      </c>
      <c r="BO207">
        <v>560</v>
      </c>
      <c r="BP207" s="3">
        <v>6</v>
      </c>
      <c r="BQ207" s="1">
        <f t="shared" si="11"/>
        <v>1.0714285714285714E-2</v>
      </c>
      <c r="BR207" s="6">
        <v>0.156</v>
      </c>
      <c r="BS207" s="6">
        <v>4.2000000000000003E-2</v>
      </c>
      <c r="BT207" s="6">
        <v>1.0999999999999999E-2</v>
      </c>
      <c r="BU207" s="6">
        <v>7.5999999999999998E-2</v>
      </c>
      <c r="BV207" s="6">
        <v>2.3E-2</v>
      </c>
      <c r="BW207" s="6"/>
      <c r="BX207" s="3">
        <v>798</v>
      </c>
      <c r="BY207" s="3">
        <v>0</v>
      </c>
      <c r="BZ207" s="3">
        <v>0</v>
      </c>
      <c r="CA207" s="3">
        <v>0</v>
      </c>
      <c r="CB207" s="3">
        <v>0</v>
      </c>
      <c r="CC207" s="3">
        <v>0</v>
      </c>
      <c r="CD207" s="3">
        <v>1193</v>
      </c>
      <c r="CE207" s="4">
        <f t="shared" si="7"/>
        <v>11.613637894723714</v>
      </c>
      <c r="CF207" s="4">
        <f t="shared" si="8"/>
        <v>0.57340149139957919</v>
      </c>
      <c r="CG207" s="15">
        <f t="shared" si="9"/>
        <v>4994.0808037441766</v>
      </c>
      <c r="CH207" s="6">
        <f t="shared" si="10"/>
        <v>0.20942993677511537</v>
      </c>
      <c r="CJ207" s="6"/>
      <c r="CK207">
        <v>11.525325115550723</v>
      </c>
      <c r="CL207">
        <v>0.53519246931363373</v>
      </c>
      <c r="CM207">
        <v>4840.7873401370107</v>
      </c>
      <c r="CN207">
        <v>0.24130868012225648</v>
      </c>
    </row>
    <row r="208" spans="1:92">
      <c r="A208" t="s">
        <v>339</v>
      </c>
      <c r="B208" t="s">
        <v>313</v>
      </c>
      <c r="C208" s="5">
        <v>1.0799999999999985</v>
      </c>
      <c r="D208" s="16">
        <v>0</v>
      </c>
      <c r="E208">
        <v>298</v>
      </c>
      <c r="F208" s="3">
        <f t="shared" si="6"/>
        <v>135.17068701182063</v>
      </c>
      <c r="G208">
        <v>0</v>
      </c>
      <c r="H208">
        <v>0</v>
      </c>
      <c r="I208">
        <v>1</v>
      </c>
      <c r="J208">
        <v>0</v>
      </c>
      <c r="K208">
        <v>0</v>
      </c>
      <c r="L208">
        <v>0</v>
      </c>
      <c r="M208">
        <v>0</v>
      </c>
      <c r="N208">
        <v>0</v>
      </c>
      <c r="O208">
        <v>0</v>
      </c>
      <c r="P208">
        <v>0</v>
      </c>
      <c r="Q208">
        <v>0</v>
      </c>
      <c r="R208" s="3">
        <f t="shared" si="12"/>
        <v>376</v>
      </c>
      <c r="S208" s="3">
        <f t="shared" si="13"/>
        <v>400</v>
      </c>
      <c r="T208">
        <v>18764393</v>
      </c>
      <c r="U208" s="6">
        <v>0.13089999999999999</v>
      </c>
      <c r="V208" s="90">
        <v>2.82E-3</v>
      </c>
      <c r="W208" s="12">
        <v>8.5999999999999993E-2</v>
      </c>
      <c r="X208" s="6">
        <f t="shared" si="15"/>
        <v>3.2866</v>
      </c>
      <c r="Y208">
        <v>7.1</v>
      </c>
      <c r="Z208" s="5">
        <v>4</v>
      </c>
      <c r="AA208" s="3">
        <v>23187</v>
      </c>
      <c r="AB208" s="15">
        <v>8290</v>
      </c>
      <c r="AC208" s="15">
        <v>54360</v>
      </c>
      <c r="AD208" s="3">
        <v>7560</v>
      </c>
      <c r="AE208" s="5">
        <v>1.2645259938837918</v>
      </c>
      <c r="AF208" s="15">
        <v>67270</v>
      </c>
      <c r="AG208">
        <v>60</v>
      </c>
      <c r="AH208" s="15">
        <v>63320</v>
      </c>
      <c r="AI208">
        <v>30</v>
      </c>
      <c r="AJ208" s="10">
        <v>50229.389671361503</v>
      </c>
      <c r="AK208" s="8">
        <v>0</v>
      </c>
      <c r="AL208" s="15">
        <v>46120</v>
      </c>
      <c r="AM208">
        <v>1590</v>
      </c>
      <c r="AN208" s="8"/>
      <c r="AO208" s="3">
        <v>0</v>
      </c>
      <c r="AP208" s="3">
        <v>0</v>
      </c>
      <c r="AQ208" s="3">
        <v>0</v>
      </c>
      <c r="AR208" s="3">
        <v>0</v>
      </c>
      <c r="AS208" s="3">
        <v>0</v>
      </c>
      <c r="AT208" s="3">
        <v>0</v>
      </c>
      <c r="AU208" s="3">
        <v>0</v>
      </c>
      <c r="AV208" s="3">
        <v>0</v>
      </c>
      <c r="AW208" s="3">
        <v>0</v>
      </c>
      <c r="AX208" s="3">
        <v>0</v>
      </c>
      <c r="AY208" s="3">
        <v>0</v>
      </c>
      <c r="AZ208" s="3">
        <v>0</v>
      </c>
      <c r="BA208" s="3">
        <v>0</v>
      </c>
      <c r="BB208" s="3">
        <v>0</v>
      </c>
      <c r="BC208" s="3">
        <v>0</v>
      </c>
      <c r="BD208" s="3">
        <v>0</v>
      </c>
      <c r="BE208" s="3">
        <v>0</v>
      </c>
      <c r="BF208" s="3">
        <v>0</v>
      </c>
      <c r="BG208" s="3">
        <v>0</v>
      </c>
      <c r="BH208" s="3">
        <v>0</v>
      </c>
      <c r="BI208" s="3">
        <v>0</v>
      </c>
      <c r="BJ208" s="3">
        <v>0</v>
      </c>
      <c r="BK208" s="3">
        <v>0</v>
      </c>
      <c r="BL208" s="3">
        <v>0</v>
      </c>
      <c r="BM208" s="3">
        <v>1</v>
      </c>
      <c r="BN208" s="3">
        <f t="shared" si="16"/>
        <v>56.2</v>
      </c>
      <c r="BO208">
        <v>224</v>
      </c>
      <c r="BP208" s="3">
        <v>2</v>
      </c>
      <c r="BQ208" s="1">
        <f t="shared" si="11"/>
        <v>8.9285714285714281E-3</v>
      </c>
      <c r="BR208" s="6">
        <v>0.17499999999999999</v>
      </c>
      <c r="BS208" s="6">
        <v>0.04</v>
      </c>
      <c r="BT208" s="6">
        <v>1.7999999999999999E-2</v>
      </c>
      <c r="BU208" s="6">
        <v>8.4000000000000005E-2</v>
      </c>
      <c r="BV208" s="6">
        <v>4.8000000000000001E-2</v>
      </c>
      <c r="BW208" s="6"/>
      <c r="BX208" s="3">
        <v>0</v>
      </c>
      <c r="BY208" s="3">
        <v>24</v>
      </c>
      <c r="BZ208" s="3">
        <v>24</v>
      </c>
      <c r="CA208" s="3">
        <v>24</v>
      </c>
      <c r="CB208" s="3">
        <v>24</v>
      </c>
      <c r="CC208" s="3">
        <v>121</v>
      </c>
      <c r="CD208" s="3">
        <v>0</v>
      </c>
      <c r="CE208" s="4">
        <f t="shared" si="7"/>
        <v>10.473354680369715</v>
      </c>
      <c r="CF208" s="4">
        <f t="shared" si="8"/>
        <v>0.83658621751135565</v>
      </c>
      <c r="CG208" s="15">
        <f t="shared" si="9"/>
        <v>4360.6318418274741</v>
      </c>
      <c r="CH208" s="6">
        <f t="shared" si="10"/>
        <v>9.6273909030852783E-2</v>
      </c>
      <c r="CJ208" s="6"/>
      <c r="CK208">
        <v>0</v>
      </c>
      <c r="CL208">
        <v>0</v>
      </c>
      <c r="CM208">
        <v>0</v>
      </c>
      <c r="CN208">
        <v>0</v>
      </c>
    </row>
    <row r="209" spans="1:92">
      <c r="A209" t="s">
        <v>340</v>
      </c>
      <c r="B209" t="s">
        <v>313</v>
      </c>
      <c r="C209" s="5">
        <v>1.1915825688073409</v>
      </c>
      <c r="D209" s="16">
        <v>6.6250000000000003E-2</v>
      </c>
      <c r="E209">
        <v>537</v>
      </c>
      <c r="F209" s="3">
        <f t="shared" si="6"/>
        <v>243.57939236693855</v>
      </c>
      <c r="G209">
        <v>0</v>
      </c>
      <c r="H209">
        <v>0</v>
      </c>
      <c r="I209">
        <v>0</v>
      </c>
      <c r="J209">
        <v>0</v>
      </c>
      <c r="K209">
        <v>0</v>
      </c>
      <c r="L209">
        <v>0</v>
      </c>
      <c r="M209">
        <v>1</v>
      </c>
      <c r="N209">
        <v>0</v>
      </c>
      <c r="O209">
        <v>0</v>
      </c>
      <c r="P209">
        <v>0</v>
      </c>
      <c r="Q209">
        <v>0</v>
      </c>
      <c r="R209" s="3">
        <f t="shared" si="12"/>
        <v>522</v>
      </c>
      <c r="S209" s="3">
        <f t="shared" si="13"/>
        <v>578</v>
      </c>
      <c r="T209">
        <v>65060636</v>
      </c>
      <c r="U209" s="6">
        <v>0.1016</v>
      </c>
      <c r="V209" s="90">
        <v>2.82E-3</v>
      </c>
      <c r="W209" s="12">
        <v>8.5999999999999993E-2</v>
      </c>
      <c r="X209" s="6">
        <f t="shared" si="15"/>
        <v>3.2866</v>
      </c>
      <c r="Y209">
        <v>12.4</v>
      </c>
      <c r="Z209" s="5">
        <v>4.25</v>
      </c>
      <c r="AA209" s="3">
        <v>19047</v>
      </c>
      <c r="AB209" s="15">
        <v>16600</v>
      </c>
      <c r="AC209" s="15">
        <v>59380</v>
      </c>
      <c r="AD209" s="3">
        <v>49730</v>
      </c>
      <c r="AE209" s="5">
        <v>1.2645259938837918</v>
      </c>
      <c r="AF209" s="15">
        <v>97930</v>
      </c>
      <c r="AG209">
        <v>640</v>
      </c>
      <c r="AH209" s="10">
        <v>55982.7</v>
      </c>
      <c r="AI209" s="8">
        <v>0</v>
      </c>
      <c r="AJ209" s="10">
        <v>50229.389671361503</v>
      </c>
      <c r="AK209" s="8">
        <v>0</v>
      </c>
      <c r="AL209" s="15">
        <v>44840</v>
      </c>
      <c r="AM209">
        <v>19370</v>
      </c>
      <c r="AN209" s="8"/>
      <c r="AO209" s="3">
        <v>0</v>
      </c>
      <c r="AP209" s="3">
        <v>0</v>
      </c>
      <c r="AQ209" s="3">
        <v>0</v>
      </c>
      <c r="AR209" s="3">
        <v>0</v>
      </c>
      <c r="AS209" s="3">
        <v>0</v>
      </c>
      <c r="AT209" s="3">
        <v>0</v>
      </c>
      <c r="AU209" s="3">
        <v>0</v>
      </c>
      <c r="AV209" s="3">
        <v>0</v>
      </c>
      <c r="AW209" s="3">
        <v>0</v>
      </c>
      <c r="AX209" s="3">
        <v>0</v>
      </c>
      <c r="AY209" s="3">
        <v>0</v>
      </c>
      <c r="AZ209" s="3">
        <v>0</v>
      </c>
      <c r="BA209" s="3">
        <v>0</v>
      </c>
      <c r="BB209" s="3">
        <v>0</v>
      </c>
      <c r="BC209" s="3">
        <v>0</v>
      </c>
      <c r="BD209" s="3">
        <v>0</v>
      </c>
      <c r="BE209" s="3">
        <v>1</v>
      </c>
      <c r="BF209" s="3">
        <v>0</v>
      </c>
      <c r="BG209" s="3">
        <v>0</v>
      </c>
      <c r="BH209" s="3">
        <v>0</v>
      </c>
      <c r="BI209" s="3">
        <v>0</v>
      </c>
      <c r="BJ209" s="3">
        <v>0</v>
      </c>
      <c r="BK209" s="3">
        <v>0</v>
      </c>
      <c r="BL209" s="3">
        <v>0</v>
      </c>
      <c r="BM209" s="3">
        <v>1</v>
      </c>
      <c r="BN209" s="3">
        <f t="shared" si="16"/>
        <v>56.95</v>
      </c>
      <c r="BO209">
        <v>431</v>
      </c>
      <c r="BP209" s="3">
        <v>5</v>
      </c>
      <c r="BQ209" s="1">
        <f t="shared" si="11"/>
        <v>1.1600928074245939E-2</v>
      </c>
      <c r="BR209" s="6">
        <v>0.17499999999999999</v>
      </c>
      <c r="BS209" s="6">
        <v>0.04</v>
      </c>
      <c r="BT209" s="6">
        <v>1.7999999999999999E-2</v>
      </c>
      <c r="BU209" s="6">
        <v>8.4000000000000005E-2</v>
      </c>
      <c r="BV209" s="6">
        <v>4.8000000000000001E-2</v>
      </c>
      <c r="BW209" s="6"/>
      <c r="BX209" s="3">
        <v>0</v>
      </c>
      <c r="BY209" s="3">
        <v>68</v>
      </c>
      <c r="BZ209" s="3">
        <v>647</v>
      </c>
      <c r="CA209" s="3">
        <v>0</v>
      </c>
      <c r="CB209" s="3">
        <v>68</v>
      </c>
      <c r="CC209" s="3">
        <v>933</v>
      </c>
      <c r="CD209" s="3">
        <v>0</v>
      </c>
      <c r="CE209" s="4">
        <f t="shared" si="7"/>
        <v>10.371649569187078</v>
      </c>
      <c r="CF209" s="4">
        <f t="shared" si="8"/>
        <v>0.89590169354733906</v>
      </c>
      <c r="CG209" s="15">
        <f t="shared" si="9"/>
        <v>4876.2145466487436</v>
      </c>
      <c r="CH209" s="6">
        <f t="shared" si="10"/>
        <v>0.10825278782181148</v>
      </c>
      <c r="CJ209" s="6"/>
      <c r="CK209">
        <v>10.340795652133865</v>
      </c>
      <c r="CL209">
        <v>0.91116720701438458</v>
      </c>
      <c r="CM209">
        <v>4971.4500155437518</v>
      </c>
      <c r="CN209">
        <v>0.11216862750866434</v>
      </c>
    </row>
    <row r="210" spans="1:92">
      <c r="A210" t="s">
        <v>341</v>
      </c>
      <c r="B210" t="s">
        <v>315</v>
      </c>
      <c r="C210" s="5">
        <v>0.93268749999999834</v>
      </c>
      <c r="D210" s="16">
        <v>5.1249999999999997E-2</v>
      </c>
      <c r="E210">
        <v>975</v>
      </c>
      <c r="F210" s="3">
        <f t="shared" si="6"/>
        <v>442.25308669974874</v>
      </c>
      <c r="G210">
        <v>0</v>
      </c>
      <c r="H210">
        <v>0</v>
      </c>
      <c r="I210">
        <v>0</v>
      </c>
      <c r="J210">
        <v>0</v>
      </c>
      <c r="K210">
        <v>0</v>
      </c>
      <c r="L210">
        <v>0</v>
      </c>
      <c r="M210">
        <v>0</v>
      </c>
      <c r="N210">
        <v>0</v>
      </c>
      <c r="O210">
        <v>0</v>
      </c>
      <c r="P210">
        <v>1</v>
      </c>
      <c r="Q210">
        <v>0</v>
      </c>
      <c r="R210" s="3">
        <f t="shared" si="12"/>
        <v>563</v>
      </c>
      <c r="S210" s="3">
        <f t="shared" si="13"/>
        <v>604</v>
      </c>
      <c r="T210">
        <v>40889036</v>
      </c>
      <c r="U210" s="6">
        <v>5.4800000000000001E-2</v>
      </c>
      <c r="V210" s="90">
        <v>3.3399999999999997E-3</v>
      </c>
      <c r="W210" s="12">
        <v>6.0000000000000001E-3</v>
      </c>
      <c r="X210" s="6">
        <f t="shared" si="15"/>
        <v>3.2575000000000003</v>
      </c>
      <c r="Y210">
        <v>12.8</v>
      </c>
      <c r="Z210" s="5">
        <v>5.75</v>
      </c>
      <c r="AA210" s="3">
        <v>314161</v>
      </c>
      <c r="AB210" s="15">
        <v>490</v>
      </c>
      <c r="AC210" s="15">
        <v>47790</v>
      </c>
      <c r="AD210" s="3">
        <v>11040</v>
      </c>
      <c r="AE210" s="5">
        <v>1.3228476821192052</v>
      </c>
      <c r="AF210" s="15">
        <v>71660</v>
      </c>
      <c r="AG210">
        <v>120</v>
      </c>
      <c r="AH210" s="15">
        <v>84150</v>
      </c>
      <c r="AI210">
        <v>40</v>
      </c>
      <c r="AJ210" s="10">
        <v>68916.666666666672</v>
      </c>
      <c r="AK210" s="8">
        <v>0</v>
      </c>
      <c r="AL210" s="15">
        <v>45020</v>
      </c>
      <c r="AM210">
        <v>2110</v>
      </c>
      <c r="AN210" s="8"/>
      <c r="AO210" s="3">
        <v>0</v>
      </c>
      <c r="AP210" s="3">
        <v>1</v>
      </c>
      <c r="AQ210" s="3">
        <v>0</v>
      </c>
      <c r="AR210" s="3">
        <v>0</v>
      </c>
      <c r="AS210" s="3">
        <v>0</v>
      </c>
      <c r="AT210" s="3">
        <v>1</v>
      </c>
      <c r="AU210" s="3">
        <v>0</v>
      </c>
      <c r="AV210" s="3">
        <v>0</v>
      </c>
      <c r="AW210" s="3">
        <v>1</v>
      </c>
      <c r="AX210" s="3">
        <v>0</v>
      </c>
      <c r="AY210" s="3">
        <v>0</v>
      </c>
      <c r="AZ210" s="3">
        <v>0</v>
      </c>
      <c r="BA210" s="3">
        <v>0</v>
      </c>
      <c r="BB210" s="3">
        <v>0</v>
      </c>
      <c r="BC210" s="3">
        <v>0</v>
      </c>
      <c r="BD210" s="3">
        <v>0</v>
      </c>
      <c r="BE210" s="3">
        <v>0</v>
      </c>
      <c r="BF210" s="3">
        <v>0</v>
      </c>
      <c r="BG210" s="3">
        <v>0</v>
      </c>
      <c r="BH210" s="3">
        <v>0</v>
      </c>
      <c r="BI210" s="3">
        <v>0</v>
      </c>
      <c r="BJ210" s="3">
        <v>0</v>
      </c>
      <c r="BK210" s="3">
        <v>0</v>
      </c>
      <c r="BL210" s="3">
        <v>0</v>
      </c>
      <c r="BM210" s="3">
        <v>0</v>
      </c>
      <c r="BN210" s="3">
        <f t="shared" si="16"/>
        <v>58.300000000000004</v>
      </c>
      <c r="BO210">
        <v>1000</v>
      </c>
      <c r="BP210" s="3">
        <v>9</v>
      </c>
      <c r="BQ210" s="1">
        <f t="shared" si="11"/>
        <v>8.9999999999999993E-3</v>
      </c>
      <c r="BR210" s="6">
        <v>0.17</v>
      </c>
      <c r="BS210" s="6">
        <v>4.4999999999999998E-2</v>
      </c>
      <c r="BT210" s="6">
        <v>1.4999999999999999E-2</v>
      </c>
      <c r="BU210" s="6">
        <v>9.1999999999999998E-2</v>
      </c>
      <c r="BV210" s="6">
        <v>0.03</v>
      </c>
      <c r="BW210" s="6"/>
      <c r="BX210" s="3">
        <v>1380</v>
      </c>
      <c r="BY210" s="3">
        <v>0</v>
      </c>
      <c r="BZ210" s="3">
        <v>0</v>
      </c>
      <c r="CA210" s="3">
        <v>0</v>
      </c>
      <c r="CB210" s="3">
        <v>0</v>
      </c>
      <c r="CC210" s="3">
        <v>0</v>
      </c>
      <c r="CD210" s="3">
        <v>618</v>
      </c>
      <c r="CE210" s="4">
        <f t="shared" si="7"/>
        <v>11.677511403216915</v>
      </c>
      <c r="CF210" s="4">
        <f t="shared" si="8"/>
        <v>0.60103672516277984</v>
      </c>
      <c r="CG210" s="15">
        <f t="shared" si="9"/>
        <v>5104.952542142134</v>
      </c>
      <c r="CH210" s="6">
        <f t="shared" si="10"/>
        <v>0.18637316964577877</v>
      </c>
      <c r="CJ210" s="6"/>
      <c r="CK210">
        <v>11.635494754230812</v>
      </c>
      <c r="CL210">
        <v>0.58285798496095031</v>
      </c>
      <c r="CM210">
        <v>5032.0199755015892</v>
      </c>
      <c r="CN210">
        <v>0.2015401475381976</v>
      </c>
    </row>
    <row r="211" spans="1:92">
      <c r="A211" t="s">
        <v>342</v>
      </c>
      <c r="B211" t="s">
        <v>313</v>
      </c>
      <c r="C211" s="5">
        <v>1.1269142857142898</v>
      </c>
      <c r="D211" s="16">
        <v>0.04</v>
      </c>
      <c r="E211">
        <v>541</v>
      </c>
      <c r="F211" s="3">
        <f t="shared" si="6"/>
        <v>245.39376400468109</v>
      </c>
      <c r="G211">
        <v>0</v>
      </c>
      <c r="H211">
        <v>0</v>
      </c>
      <c r="I211">
        <v>0</v>
      </c>
      <c r="J211">
        <v>0</v>
      </c>
      <c r="K211">
        <v>1</v>
      </c>
      <c r="L211">
        <v>0</v>
      </c>
      <c r="M211">
        <v>0</v>
      </c>
      <c r="N211">
        <v>0</v>
      </c>
      <c r="O211">
        <v>0</v>
      </c>
      <c r="P211">
        <v>0</v>
      </c>
      <c r="Q211">
        <v>0</v>
      </c>
      <c r="R211" s="3">
        <f t="shared" si="12"/>
        <v>300</v>
      </c>
      <c r="S211" s="3">
        <f t="shared" si="13"/>
        <v>323</v>
      </c>
      <c r="T211">
        <v>125185363</v>
      </c>
      <c r="U211" s="6">
        <v>5.6100000000000004E-2</v>
      </c>
      <c r="V211" s="90">
        <v>2.82E-3</v>
      </c>
      <c r="W211" s="12">
        <v>8.5999999999999993E-2</v>
      </c>
      <c r="X211" s="6">
        <f t="shared" si="15"/>
        <v>3.2866</v>
      </c>
      <c r="Y211">
        <v>8.1</v>
      </c>
      <c r="Z211" s="5">
        <v>4</v>
      </c>
      <c r="AA211" s="3">
        <v>122057</v>
      </c>
      <c r="AB211" s="15">
        <v>1670</v>
      </c>
      <c r="AC211" s="15">
        <v>58110</v>
      </c>
      <c r="AD211" s="3">
        <v>63200</v>
      </c>
      <c r="AE211" s="5">
        <v>1.2645259938837918</v>
      </c>
      <c r="AF211" s="15">
        <v>136330</v>
      </c>
      <c r="AG211">
        <v>1180</v>
      </c>
      <c r="AH211" s="10">
        <v>55982.7</v>
      </c>
      <c r="AI211" s="8">
        <v>0</v>
      </c>
      <c r="AJ211" s="15">
        <v>49330</v>
      </c>
      <c r="AK211">
        <v>220</v>
      </c>
      <c r="AL211" s="15">
        <v>48470</v>
      </c>
      <c r="AM211">
        <v>19360</v>
      </c>
      <c r="AO211" s="3">
        <v>0</v>
      </c>
      <c r="AP211" s="3">
        <v>0</v>
      </c>
      <c r="AQ211" s="3">
        <v>0</v>
      </c>
      <c r="AR211" s="3">
        <v>0</v>
      </c>
      <c r="AS211" s="3">
        <v>0</v>
      </c>
      <c r="AT211" s="3">
        <v>0</v>
      </c>
      <c r="AU211" s="3">
        <v>0</v>
      </c>
      <c r="AV211" s="3">
        <v>0</v>
      </c>
      <c r="AW211" s="3">
        <v>0</v>
      </c>
      <c r="AX211" s="3">
        <v>0</v>
      </c>
      <c r="AY211" s="3">
        <v>0</v>
      </c>
      <c r="AZ211" s="3">
        <v>0</v>
      </c>
      <c r="BA211" s="3">
        <v>0</v>
      </c>
      <c r="BB211" s="3">
        <v>0</v>
      </c>
      <c r="BC211" s="3">
        <v>0</v>
      </c>
      <c r="BD211" s="3">
        <v>0</v>
      </c>
      <c r="BE211" s="3">
        <v>0</v>
      </c>
      <c r="BF211" s="3">
        <v>1</v>
      </c>
      <c r="BG211" s="3">
        <v>0</v>
      </c>
      <c r="BH211" s="3">
        <v>0</v>
      </c>
      <c r="BI211" s="3">
        <v>1</v>
      </c>
      <c r="BJ211" s="3">
        <v>1</v>
      </c>
      <c r="BK211" s="3">
        <v>0</v>
      </c>
      <c r="BL211" s="3">
        <v>0</v>
      </c>
      <c r="BM211" s="3">
        <v>1</v>
      </c>
      <c r="BN211" s="3">
        <f t="shared" si="16"/>
        <v>56</v>
      </c>
      <c r="BO211">
        <v>1674</v>
      </c>
      <c r="BP211" s="3">
        <v>15</v>
      </c>
      <c r="BQ211" s="1">
        <f t="shared" si="11"/>
        <v>8.9605734767025085E-3</v>
      </c>
      <c r="BR211" s="6">
        <v>0.17499999999999999</v>
      </c>
      <c r="BS211" s="6">
        <v>0.04</v>
      </c>
      <c r="BT211" s="6">
        <v>1.7999999999999999E-2</v>
      </c>
      <c r="BU211" s="6">
        <v>8.4000000000000005E-2</v>
      </c>
      <c r="BV211" s="6">
        <v>4.8000000000000001E-2</v>
      </c>
      <c r="BW211" s="6"/>
      <c r="BX211" s="3">
        <v>0</v>
      </c>
      <c r="BY211" s="3">
        <v>414</v>
      </c>
      <c r="BZ211" s="3">
        <v>1292</v>
      </c>
      <c r="CA211" s="3">
        <v>3</v>
      </c>
      <c r="CB211" s="3">
        <v>414</v>
      </c>
      <c r="CC211" s="3">
        <v>840</v>
      </c>
      <c r="CD211" s="3">
        <v>0</v>
      </c>
      <c r="CE211" s="4">
        <f t="shared" si="7"/>
        <v>10.908723847426597</v>
      </c>
      <c r="CF211" s="4">
        <f t="shared" si="8"/>
        <v>0.84631541380490505</v>
      </c>
      <c r="CG211" s="15">
        <f t="shared" si="9"/>
        <v>4759.3140732452384</v>
      </c>
      <c r="CH211" s="6">
        <f t="shared" si="10"/>
        <v>0.10867849791916542</v>
      </c>
      <c r="CJ211" s="6"/>
      <c r="CK211">
        <v>10.769288028584674</v>
      </c>
      <c r="CL211">
        <v>0.82442958100321073</v>
      </c>
      <c r="CM211">
        <v>4276.5293063339413</v>
      </c>
      <c r="CN211">
        <v>9.5392774452199153E-2</v>
      </c>
    </row>
    <row r="212" spans="1:92">
      <c r="A212" t="s">
        <v>343</v>
      </c>
      <c r="B212" t="s">
        <v>313</v>
      </c>
      <c r="C212" s="5">
        <v>0.87910569105691927</v>
      </c>
      <c r="D212" s="16">
        <v>4.7500000000000001E-2</v>
      </c>
      <c r="E212">
        <v>676</v>
      </c>
      <c r="F212" s="3">
        <f t="shared" ref="F212:F229" si="17">(E212/$A$48)</f>
        <v>306.62880677849245</v>
      </c>
      <c r="G212">
        <v>0</v>
      </c>
      <c r="H212">
        <v>0</v>
      </c>
      <c r="I212">
        <v>0</v>
      </c>
      <c r="J212">
        <v>0</v>
      </c>
      <c r="K212">
        <v>0</v>
      </c>
      <c r="L212">
        <v>0</v>
      </c>
      <c r="M212">
        <v>1</v>
      </c>
      <c r="N212">
        <v>0</v>
      </c>
      <c r="O212">
        <v>1</v>
      </c>
      <c r="P212">
        <v>0</v>
      </c>
      <c r="Q212">
        <v>0</v>
      </c>
      <c r="R212" s="3">
        <f t="shared" si="12"/>
        <v>535</v>
      </c>
      <c r="S212" s="3">
        <f t="shared" si="13"/>
        <v>580.5</v>
      </c>
      <c r="T212">
        <v>134257088</v>
      </c>
      <c r="U212" s="6">
        <v>6.3E-2</v>
      </c>
      <c r="V212" s="90">
        <v>3.0800000000000003E-3</v>
      </c>
      <c r="W212" s="12">
        <v>0.04</v>
      </c>
      <c r="X212" s="6">
        <f t="shared" si="15"/>
        <v>3.2866</v>
      </c>
      <c r="Y212">
        <v>15.6</v>
      </c>
      <c r="Z212" s="5">
        <v>4.75</v>
      </c>
      <c r="AA212" s="3">
        <v>125920</v>
      </c>
      <c r="AB212" s="15">
        <v>5550</v>
      </c>
      <c r="AC212" s="15">
        <v>50930</v>
      </c>
      <c r="AD212" s="3">
        <v>65240</v>
      </c>
      <c r="AE212" s="5">
        <v>1.3194221508828252</v>
      </c>
      <c r="AF212" s="15">
        <v>57080</v>
      </c>
      <c r="AG212">
        <v>1000</v>
      </c>
      <c r="AH212" s="10">
        <v>55982.7</v>
      </c>
      <c r="AI212" s="8">
        <v>0</v>
      </c>
      <c r="AJ212" s="10">
        <v>50229.389671361503</v>
      </c>
      <c r="AK212" s="8">
        <v>0</v>
      </c>
      <c r="AL212" s="15">
        <v>39790</v>
      </c>
      <c r="AM212">
        <v>23000</v>
      </c>
      <c r="AN212" s="8"/>
      <c r="AO212" s="3">
        <v>0</v>
      </c>
      <c r="AP212" s="3">
        <v>0</v>
      </c>
      <c r="AQ212" s="3">
        <v>0</v>
      </c>
      <c r="AR212" s="3">
        <v>0</v>
      </c>
      <c r="AS212" s="3">
        <v>0</v>
      </c>
      <c r="AT212" s="3">
        <v>0</v>
      </c>
      <c r="AU212" s="3">
        <v>1</v>
      </c>
      <c r="AV212" s="3">
        <v>0</v>
      </c>
      <c r="AW212" s="3">
        <v>1</v>
      </c>
      <c r="AX212" s="3">
        <v>0</v>
      </c>
      <c r="AY212" s="3">
        <v>0</v>
      </c>
      <c r="AZ212" s="3">
        <v>0</v>
      </c>
      <c r="BA212" s="3">
        <v>0</v>
      </c>
      <c r="BB212" s="3">
        <v>0</v>
      </c>
      <c r="BC212" s="3">
        <v>0</v>
      </c>
      <c r="BD212" s="3">
        <v>1</v>
      </c>
      <c r="BE212" s="3">
        <v>0</v>
      </c>
      <c r="BF212" s="3">
        <v>0</v>
      </c>
      <c r="BG212" s="3">
        <v>0</v>
      </c>
      <c r="BH212" s="3">
        <v>1</v>
      </c>
      <c r="BI212" s="3">
        <v>1</v>
      </c>
      <c r="BJ212" s="3">
        <v>0</v>
      </c>
      <c r="BK212" s="3">
        <v>0</v>
      </c>
      <c r="BL212" s="3">
        <v>0</v>
      </c>
      <c r="BM212" s="3">
        <v>1</v>
      </c>
      <c r="BN212" s="3">
        <f t="shared" si="16"/>
        <v>55.766666666666673</v>
      </c>
      <c r="BO212">
        <v>1020</v>
      </c>
      <c r="BP212" s="3">
        <v>8</v>
      </c>
      <c r="BQ212" s="1">
        <f t="shared" si="11"/>
        <v>7.8431372549019607E-3</v>
      </c>
      <c r="BR212" s="6">
        <v>0.17399999999999999</v>
      </c>
      <c r="BS212" s="6">
        <v>4.2999999999999997E-2</v>
      </c>
      <c r="BT212" s="6">
        <v>1.7000000000000001E-2</v>
      </c>
      <c r="BU212" s="6">
        <v>9.4E-2</v>
      </c>
      <c r="BV212" s="6">
        <v>2.8000000000000001E-2</v>
      </c>
      <c r="BW212" s="6"/>
      <c r="BX212" s="3">
        <v>0</v>
      </c>
      <c r="BY212" s="3">
        <v>0</v>
      </c>
      <c r="BZ212" s="3">
        <v>1111</v>
      </c>
      <c r="CA212" s="3">
        <v>0</v>
      </c>
      <c r="CB212" s="3">
        <v>0</v>
      </c>
      <c r="CC212" s="3">
        <v>1213</v>
      </c>
      <c r="CD212" s="3">
        <v>0</v>
      </c>
      <c r="CE212" s="4">
        <f t="shared" ref="CE212:CE229" si="18">IF(SUM(BX212:CD212)=0,0,SUMPRODUCT(BX212:CD212,$BX$178:$CD$178)/SUM(BX212:CD212))</f>
        <v>10.31359060578629</v>
      </c>
      <c r="CF212" s="4">
        <f t="shared" ref="CF212:CF229" si="19">IF(SUM(BX212:CD212)=0,0,SUMPRODUCT(BX212:CD212,$BX$177:$CD$177)/SUM(BX212:CD212))</f>
        <v>0.91180378330128564</v>
      </c>
      <c r="CG212" s="15">
        <f t="shared" ref="CG212:CG229" si="20">IF(SUM(BX212:CD212)=0,0,SUMPRODUCT(BX212:CD212,$BX$175:$CD$175)/SUM(BX212:CD212))</f>
        <v>4963.9287406627873</v>
      </c>
      <c r="CH212" s="6">
        <f t="shared" ref="CH212:CH229" si="21">IF(SUM(BX212:CD212)=0,0,SUMPRODUCT(BX212:CD212,$BX$176:$CD$176)/SUM(BX212:CD212))</f>
        <v>0.111554060976261</v>
      </c>
      <c r="CJ212" s="6"/>
      <c r="CK212">
        <v>10.340795652133865</v>
      </c>
      <c r="CL212">
        <v>0.91116720701438458</v>
      </c>
      <c r="CM212">
        <v>4971.4500155437518</v>
      </c>
      <c r="CN212">
        <v>0.11216862750866434</v>
      </c>
    </row>
    <row r="213" spans="1:92">
      <c r="A213" t="s">
        <v>344</v>
      </c>
      <c r="B213" t="s">
        <v>315</v>
      </c>
      <c r="C213" s="5">
        <v>1.1184758364312319</v>
      </c>
      <c r="D213" s="16">
        <v>0.05</v>
      </c>
      <c r="E213">
        <v>1428</v>
      </c>
      <c r="F213" s="3">
        <f t="shared" si="17"/>
        <v>647.73067467409351</v>
      </c>
      <c r="G213">
        <v>0</v>
      </c>
      <c r="H213">
        <v>0</v>
      </c>
      <c r="I213">
        <v>0</v>
      </c>
      <c r="J213">
        <v>1</v>
      </c>
      <c r="K213">
        <v>0</v>
      </c>
      <c r="L213">
        <v>0</v>
      </c>
      <c r="M213">
        <v>0</v>
      </c>
      <c r="N213">
        <v>1</v>
      </c>
      <c r="O213">
        <v>0</v>
      </c>
      <c r="P213">
        <v>0</v>
      </c>
      <c r="Q213">
        <v>0</v>
      </c>
      <c r="R213" s="3">
        <f t="shared" si="12"/>
        <v>699.5</v>
      </c>
      <c r="S213" s="3">
        <f t="shared" si="13"/>
        <v>734.5</v>
      </c>
      <c r="T213">
        <v>44400956</v>
      </c>
      <c r="U213" s="6">
        <v>7.9399999999999998E-2</v>
      </c>
      <c r="V213" s="90">
        <v>2.0899999999999998E-3</v>
      </c>
      <c r="W213" s="12">
        <v>0.05</v>
      </c>
      <c r="X213" s="6">
        <f t="shared" si="15"/>
        <v>3.2575000000000003</v>
      </c>
      <c r="Y213">
        <v>5</v>
      </c>
      <c r="Z213" s="5">
        <v>4</v>
      </c>
      <c r="AA213" s="3">
        <v>178711</v>
      </c>
      <c r="AB213" s="15">
        <v>1070</v>
      </c>
      <c r="AC213" s="15">
        <v>56570</v>
      </c>
      <c r="AD213" s="3">
        <v>10360</v>
      </c>
      <c r="AE213" s="5">
        <v>1.277602523659306</v>
      </c>
      <c r="AF213" s="15">
        <v>78890</v>
      </c>
      <c r="AG213">
        <v>320</v>
      </c>
      <c r="AH213" s="15">
        <v>84660</v>
      </c>
      <c r="AI213">
        <v>80</v>
      </c>
      <c r="AJ213" s="15">
        <v>75050</v>
      </c>
      <c r="AK213">
        <v>280</v>
      </c>
      <c r="AL213" s="15">
        <v>46590</v>
      </c>
      <c r="AM213">
        <v>1040</v>
      </c>
      <c r="AO213" s="3">
        <v>0</v>
      </c>
      <c r="AP213" s="3">
        <v>0</v>
      </c>
      <c r="AQ213" s="3">
        <v>0</v>
      </c>
      <c r="AR213" s="3">
        <v>0</v>
      </c>
      <c r="AS213" s="3">
        <v>0</v>
      </c>
      <c r="AT213" s="3">
        <v>0</v>
      </c>
      <c r="AU213" s="3">
        <v>0</v>
      </c>
      <c r="AV213" s="3">
        <v>0</v>
      </c>
      <c r="AW213" s="3">
        <v>0</v>
      </c>
      <c r="AX213" s="3">
        <v>0</v>
      </c>
      <c r="AY213" s="3">
        <v>0</v>
      </c>
      <c r="AZ213" s="3">
        <v>0</v>
      </c>
      <c r="BA213" s="3">
        <v>0</v>
      </c>
      <c r="BB213" s="3">
        <v>0</v>
      </c>
      <c r="BC213" s="3">
        <v>0</v>
      </c>
      <c r="BD213" s="3">
        <v>0</v>
      </c>
      <c r="BE213" s="3">
        <v>0</v>
      </c>
      <c r="BF213" s="3">
        <v>0</v>
      </c>
      <c r="BG213" s="3">
        <v>0</v>
      </c>
      <c r="BH213" s="3">
        <v>0</v>
      </c>
      <c r="BI213" s="3">
        <v>0</v>
      </c>
      <c r="BJ213" s="3">
        <v>0</v>
      </c>
      <c r="BK213" s="3">
        <v>0</v>
      </c>
      <c r="BL213" s="3">
        <v>1</v>
      </c>
      <c r="BM213" s="3">
        <v>0</v>
      </c>
      <c r="BN213" s="3">
        <f t="shared" si="16"/>
        <v>56.7</v>
      </c>
      <c r="BO213">
        <v>572</v>
      </c>
      <c r="BP213" s="3">
        <v>4</v>
      </c>
      <c r="BQ213" s="1">
        <f t="shared" si="11"/>
        <v>6.993006993006993E-3</v>
      </c>
      <c r="BR213" s="6">
        <v>0.17699999999999999</v>
      </c>
      <c r="BS213" s="6">
        <v>3.7999999999999999E-2</v>
      </c>
      <c r="BT213" s="6">
        <v>1.6E-2</v>
      </c>
      <c r="BU213" s="6">
        <v>8.5000000000000006E-2</v>
      </c>
      <c r="BV213" s="6">
        <v>3.5999999999999997E-2</v>
      </c>
      <c r="BW213" s="6"/>
      <c r="BX213" s="3">
        <v>1552</v>
      </c>
      <c r="BY213" s="3">
        <v>501</v>
      </c>
      <c r="BZ213" s="3">
        <v>0</v>
      </c>
      <c r="CA213" s="3">
        <v>0</v>
      </c>
      <c r="CB213" s="3">
        <v>501</v>
      </c>
      <c r="CC213" s="3">
        <v>0</v>
      </c>
      <c r="CD213" s="3">
        <v>0</v>
      </c>
      <c r="CE213" s="4">
        <f t="shared" si="18"/>
        <v>11.858630528541878</v>
      </c>
      <c r="CF213" s="4">
        <f t="shared" si="19"/>
        <v>0.65309317145462886</v>
      </c>
      <c r="CG213" s="15">
        <f t="shared" si="20"/>
        <v>4794.4110379316635</v>
      </c>
      <c r="CH213" s="6">
        <f t="shared" si="21"/>
        <v>0.13447936110024461</v>
      </c>
      <c r="CJ213" s="6"/>
      <c r="CK213">
        <v>11.669198868904246</v>
      </c>
      <c r="CL213">
        <v>0.67221920690610037</v>
      </c>
      <c r="CM213">
        <v>5134.4891820366202</v>
      </c>
      <c r="CN213">
        <v>0.16511410556608422</v>
      </c>
    </row>
    <row r="214" spans="1:92">
      <c r="A214" t="s">
        <v>345</v>
      </c>
      <c r="B214" t="s">
        <v>313</v>
      </c>
      <c r="C214" s="5">
        <v>0.96136170212765282</v>
      </c>
      <c r="D214" s="16">
        <v>5.7500000000000002E-2</v>
      </c>
      <c r="E214">
        <v>1162</v>
      </c>
      <c r="F214" s="3">
        <f t="shared" si="17"/>
        <v>527.07496076421342</v>
      </c>
      <c r="G214">
        <v>0</v>
      </c>
      <c r="H214">
        <v>0</v>
      </c>
      <c r="I214">
        <v>0</v>
      </c>
      <c r="J214">
        <v>0</v>
      </c>
      <c r="K214">
        <v>0</v>
      </c>
      <c r="L214">
        <v>0</v>
      </c>
      <c r="M214">
        <v>1</v>
      </c>
      <c r="N214">
        <v>0</v>
      </c>
      <c r="O214">
        <v>0</v>
      </c>
      <c r="P214">
        <v>0</v>
      </c>
      <c r="Q214">
        <v>0</v>
      </c>
      <c r="R214" s="3">
        <f t="shared" si="12"/>
        <v>522</v>
      </c>
      <c r="S214" s="3">
        <f t="shared" si="13"/>
        <v>578</v>
      </c>
      <c r="T214">
        <v>135810459</v>
      </c>
      <c r="U214" s="6">
        <v>6.5500000000000003E-2</v>
      </c>
      <c r="V214" s="90">
        <v>3.0800000000000003E-3</v>
      </c>
      <c r="W214" s="12">
        <v>0.06</v>
      </c>
      <c r="X214" s="6">
        <f t="shared" si="15"/>
        <v>3.2866</v>
      </c>
      <c r="Y214">
        <v>11.1</v>
      </c>
      <c r="Z214" s="5">
        <v>4.25</v>
      </c>
      <c r="AA214" s="3">
        <v>105829</v>
      </c>
      <c r="AB214" s="15">
        <v>3700</v>
      </c>
      <c r="AC214" s="15">
        <v>52870</v>
      </c>
      <c r="AD214" s="3">
        <v>91240</v>
      </c>
      <c r="AE214" s="5">
        <v>1.277602523659306</v>
      </c>
      <c r="AF214" s="15">
        <v>66020</v>
      </c>
      <c r="AG214">
        <v>2060</v>
      </c>
      <c r="AH214" s="15">
        <v>84190</v>
      </c>
      <c r="AI214">
        <v>170</v>
      </c>
      <c r="AJ214" s="15">
        <v>62840</v>
      </c>
      <c r="AK214">
        <v>330</v>
      </c>
      <c r="AL214" s="15">
        <v>44910</v>
      </c>
      <c r="AM214">
        <v>42030</v>
      </c>
      <c r="AO214" s="3">
        <v>0</v>
      </c>
      <c r="AP214" s="3">
        <v>0</v>
      </c>
      <c r="AQ214" s="3">
        <v>0</v>
      </c>
      <c r="AR214" s="3">
        <v>0</v>
      </c>
      <c r="AS214" s="3">
        <v>0</v>
      </c>
      <c r="AT214" s="3">
        <v>0</v>
      </c>
      <c r="AU214" s="3">
        <v>0</v>
      </c>
      <c r="AV214" s="3">
        <v>0</v>
      </c>
      <c r="AW214" s="3">
        <v>0</v>
      </c>
      <c r="AX214" s="3">
        <v>0</v>
      </c>
      <c r="AY214" s="3">
        <v>0</v>
      </c>
      <c r="AZ214" s="3">
        <v>0</v>
      </c>
      <c r="BA214" s="3">
        <v>1</v>
      </c>
      <c r="BB214" s="3">
        <v>1</v>
      </c>
      <c r="BC214" s="3">
        <v>0</v>
      </c>
      <c r="BD214" s="3">
        <v>1</v>
      </c>
      <c r="BE214" s="3">
        <v>1</v>
      </c>
      <c r="BF214" s="3">
        <v>0</v>
      </c>
      <c r="BG214" s="3">
        <v>0</v>
      </c>
      <c r="BH214" s="3">
        <v>0</v>
      </c>
      <c r="BI214" s="3">
        <v>0</v>
      </c>
      <c r="BJ214" s="3">
        <v>1</v>
      </c>
      <c r="BK214" s="3">
        <v>0</v>
      </c>
      <c r="BL214" s="3">
        <v>0</v>
      </c>
      <c r="BM214" s="3">
        <v>0</v>
      </c>
      <c r="BN214" s="3">
        <f t="shared" si="16"/>
        <v>56.6</v>
      </c>
      <c r="BO214">
        <v>1573</v>
      </c>
      <c r="BP214" s="3">
        <v>13</v>
      </c>
      <c r="BQ214" s="1">
        <f t="shared" si="11"/>
        <v>8.2644628099173556E-3</v>
      </c>
      <c r="BR214" s="6">
        <v>0.17699999999999999</v>
      </c>
      <c r="BS214" s="6">
        <v>3.7999999999999999E-2</v>
      </c>
      <c r="BT214" s="6">
        <v>1.6E-2</v>
      </c>
      <c r="BU214" s="6">
        <v>8.5000000000000006E-2</v>
      </c>
      <c r="BV214" s="6">
        <v>3.5999999999999997E-2</v>
      </c>
      <c r="BW214" s="6"/>
      <c r="BX214" s="3">
        <v>0</v>
      </c>
      <c r="BY214" s="3">
        <v>30</v>
      </c>
      <c r="BZ214" s="3">
        <v>1404</v>
      </c>
      <c r="CA214" s="3">
        <v>4</v>
      </c>
      <c r="CB214" s="3">
        <v>30</v>
      </c>
      <c r="CC214" s="3">
        <v>1632</v>
      </c>
      <c r="CD214" s="3">
        <v>0</v>
      </c>
      <c r="CE214" s="4">
        <f t="shared" si="18"/>
        <v>10.328381368155995</v>
      </c>
      <c r="CF214" s="4">
        <f t="shared" si="19"/>
        <v>0.90754561098607922</v>
      </c>
      <c r="CG214" s="15">
        <f t="shared" si="20"/>
        <v>4938.5020493249331</v>
      </c>
      <c r="CH214" s="6">
        <f t="shared" si="21"/>
        <v>0.11069150176420504</v>
      </c>
      <c r="CJ214" s="6"/>
      <c r="CK214">
        <v>10.44684833869586</v>
      </c>
      <c r="CL214">
        <v>0.81559222440548085</v>
      </c>
      <c r="CM214">
        <v>3922.2298767430279</v>
      </c>
      <c r="CN214">
        <v>9.643635872897971E-2</v>
      </c>
    </row>
    <row r="215" spans="1:92">
      <c r="A215" t="s">
        <v>346</v>
      </c>
      <c r="B215" t="s">
        <v>314</v>
      </c>
      <c r="C215" s="5">
        <v>0.9094620253164537</v>
      </c>
      <c r="D215" s="16">
        <v>4.4999999999999998E-2</v>
      </c>
      <c r="E215">
        <v>692</v>
      </c>
      <c r="F215" s="3">
        <f t="shared" si="17"/>
        <v>313.88629332946272</v>
      </c>
      <c r="G215">
        <v>0</v>
      </c>
      <c r="H215">
        <v>0</v>
      </c>
      <c r="I215">
        <v>0</v>
      </c>
      <c r="J215">
        <v>0</v>
      </c>
      <c r="K215">
        <v>0</v>
      </c>
      <c r="L215">
        <v>0</v>
      </c>
      <c r="M215">
        <v>0</v>
      </c>
      <c r="N215">
        <v>1</v>
      </c>
      <c r="O215">
        <v>0</v>
      </c>
      <c r="P215">
        <v>0</v>
      </c>
      <c r="Q215">
        <v>0</v>
      </c>
      <c r="R215" s="3">
        <f t="shared" si="12"/>
        <v>672</v>
      </c>
      <c r="S215" s="3">
        <f t="shared" si="13"/>
        <v>703</v>
      </c>
      <c r="T215">
        <v>84634922</v>
      </c>
      <c r="U215" s="6">
        <v>5.0700000000000002E-2</v>
      </c>
      <c r="V215" s="90">
        <v>3.7000000000000002E-3</v>
      </c>
      <c r="W215" s="12">
        <v>3.4000000000000002E-2</v>
      </c>
      <c r="X215" s="6">
        <f t="shared" si="15"/>
        <v>3.0587999999999997</v>
      </c>
      <c r="Y215">
        <v>15.9</v>
      </c>
      <c r="Z215" s="5">
        <v>5</v>
      </c>
      <c r="AA215" s="3">
        <v>177660</v>
      </c>
      <c r="AB215" s="15">
        <v>1950</v>
      </c>
      <c r="AC215" s="15">
        <v>49720</v>
      </c>
      <c r="AD215" s="3">
        <v>25090</v>
      </c>
      <c r="AE215" s="5">
        <v>1.3228476821192052</v>
      </c>
      <c r="AF215" s="15">
        <v>56580</v>
      </c>
      <c r="AG215">
        <v>550</v>
      </c>
      <c r="AH215" s="15">
        <v>76300</v>
      </c>
      <c r="AI215">
        <v>40</v>
      </c>
      <c r="AJ215" s="15">
        <v>69300</v>
      </c>
      <c r="AK215">
        <v>320</v>
      </c>
      <c r="AL215" s="15">
        <v>42330</v>
      </c>
      <c r="AM215">
        <v>11350</v>
      </c>
      <c r="AO215" s="3">
        <v>0</v>
      </c>
      <c r="AP215" s="3">
        <v>0</v>
      </c>
      <c r="AQ215" s="3">
        <v>0</v>
      </c>
      <c r="AR215" s="3">
        <v>0</v>
      </c>
      <c r="AS215" s="3">
        <v>0</v>
      </c>
      <c r="AT215" s="3">
        <v>0</v>
      </c>
      <c r="AU215" s="3">
        <v>0</v>
      </c>
      <c r="AV215" s="3">
        <v>1</v>
      </c>
      <c r="AW215" s="3">
        <v>1</v>
      </c>
      <c r="AX215" s="3">
        <v>0</v>
      </c>
      <c r="AY215" s="3">
        <v>0</v>
      </c>
      <c r="AZ215" s="3">
        <v>0</v>
      </c>
      <c r="BA215" s="3">
        <v>0</v>
      </c>
      <c r="BB215" s="3">
        <v>0</v>
      </c>
      <c r="BC215" s="3">
        <v>0</v>
      </c>
      <c r="BD215" s="3">
        <v>0</v>
      </c>
      <c r="BE215" s="3">
        <v>0</v>
      </c>
      <c r="BF215" s="3">
        <v>0</v>
      </c>
      <c r="BG215" s="3">
        <v>0</v>
      </c>
      <c r="BH215" s="3">
        <v>0</v>
      </c>
      <c r="BI215" s="3">
        <v>0</v>
      </c>
      <c r="BJ215" s="3">
        <v>0</v>
      </c>
      <c r="BK215" s="3">
        <v>0</v>
      </c>
      <c r="BL215" s="3">
        <v>0</v>
      </c>
      <c r="BM215" s="3">
        <v>0</v>
      </c>
      <c r="BN215" s="3">
        <f t="shared" si="16"/>
        <v>57.7</v>
      </c>
      <c r="BO215">
        <v>930</v>
      </c>
      <c r="BP215" s="3">
        <v>7</v>
      </c>
      <c r="BQ215" s="1">
        <f t="shared" si="11"/>
        <v>7.526881720430108E-3</v>
      </c>
      <c r="BR215" s="6">
        <v>0.17</v>
      </c>
      <c r="BS215" s="6">
        <v>4.4999999999999998E-2</v>
      </c>
      <c r="BT215" s="6">
        <v>1.4999999999999999E-2</v>
      </c>
      <c r="BU215" s="6">
        <v>9.1999999999999998E-2</v>
      </c>
      <c r="BV215" s="6">
        <v>0.03</v>
      </c>
      <c r="BW215" s="6"/>
      <c r="BX215" s="3">
        <v>966</v>
      </c>
      <c r="BY215" s="3">
        <v>152</v>
      </c>
      <c r="BZ215" s="3">
        <v>0</v>
      </c>
      <c r="CA215" s="3">
        <v>0</v>
      </c>
      <c r="CB215" s="3">
        <v>152</v>
      </c>
      <c r="CC215" s="3">
        <v>0</v>
      </c>
      <c r="CD215" s="3">
        <v>894</v>
      </c>
      <c r="CE215" s="4">
        <f t="shared" si="18"/>
        <v>11.695086913200333</v>
      </c>
      <c r="CF215" s="4">
        <f t="shared" si="19"/>
        <v>0.59922152954968733</v>
      </c>
      <c r="CG215" s="15">
        <f t="shared" si="20"/>
        <v>4911.6912333312903</v>
      </c>
      <c r="CH215" s="6">
        <f t="shared" si="21"/>
        <v>0.18485770062226314</v>
      </c>
      <c r="CJ215" s="6"/>
      <c r="CK215">
        <v>11.867196819436927</v>
      </c>
      <c r="CL215">
        <v>0.56362569583031785</v>
      </c>
      <c r="CM215">
        <v>4328.3223746622243</v>
      </c>
      <c r="CN215">
        <v>0.16507697727340312</v>
      </c>
    </row>
    <row r="216" spans="1:92">
      <c r="A216" t="s">
        <v>347</v>
      </c>
      <c r="B216" t="s">
        <v>316</v>
      </c>
      <c r="C216" s="5">
        <v>1.1682500000000033</v>
      </c>
      <c r="D216" s="16">
        <v>0</v>
      </c>
      <c r="E216">
        <v>282</v>
      </c>
      <c r="F216" s="3">
        <f t="shared" si="17"/>
        <v>127.9132004608504</v>
      </c>
      <c r="G216">
        <v>0</v>
      </c>
      <c r="H216">
        <v>0</v>
      </c>
      <c r="I216">
        <v>0</v>
      </c>
      <c r="J216">
        <v>0</v>
      </c>
      <c r="K216">
        <v>0</v>
      </c>
      <c r="L216">
        <v>1</v>
      </c>
      <c r="M216">
        <v>0</v>
      </c>
      <c r="N216">
        <v>0</v>
      </c>
      <c r="O216">
        <v>0</v>
      </c>
      <c r="P216">
        <v>0</v>
      </c>
      <c r="Q216">
        <v>0</v>
      </c>
      <c r="R216" s="3">
        <f t="shared" si="12"/>
        <v>418</v>
      </c>
      <c r="S216" s="3">
        <f t="shared" si="13"/>
        <v>440</v>
      </c>
      <c r="T216">
        <v>61317617</v>
      </c>
      <c r="U216" s="6">
        <v>5.8600000000000006E-2</v>
      </c>
      <c r="V216" s="90">
        <v>4.6800000000000001E-3</v>
      </c>
      <c r="W216" s="12">
        <v>5.2999999999999999E-2</v>
      </c>
      <c r="X216" s="6">
        <f t="shared" si="15"/>
        <v>3.6216999999999997</v>
      </c>
      <c r="Y216">
        <v>9</v>
      </c>
      <c r="Z216" s="5">
        <v>4.5</v>
      </c>
      <c r="AA216" s="3">
        <v>248608</v>
      </c>
      <c r="AB216" s="15">
        <v>950</v>
      </c>
      <c r="AC216" s="15">
        <v>56150</v>
      </c>
      <c r="AD216" s="3">
        <v>22690</v>
      </c>
      <c r="AE216" s="5">
        <v>1.2756302521008405</v>
      </c>
      <c r="AF216" s="15">
        <v>89190</v>
      </c>
      <c r="AG216">
        <v>520</v>
      </c>
      <c r="AH216" s="10">
        <v>61752.857142857145</v>
      </c>
      <c r="AI216" s="8">
        <v>0</v>
      </c>
      <c r="AJ216" s="15">
        <v>48690</v>
      </c>
      <c r="AK216">
        <v>150</v>
      </c>
      <c r="AL216" s="15">
        <v>45880</v>
      </c>
      <c r="AM216">
        <v>7760</v>
      </c>
      <c r="AO216" s="3">
        <v>1</v>
      </c>
      <c r="AP216" s="3">
        <v>0</v>
      </c>
      <c r="AQ216" s="3">
        <v>0</v>
      </c>
      <c r="AR216" s="3">
        <v>0</v>
      </c>
      <c r="AS216" s="3">
        <v>0</v>
      </c>
      <c r="AT216" s="3">
        <v>0</v>
      </c>
      <c r="AU216" s="3">
        <v>0</v>
      </c>
      <c r="AV216" s="3">
        <v>0</v>
      </c>
      <c r="AW216" s="3">
        <v>0</v>
      </c>
      <c r="AX216" s="3">
        <v>0</v>
      </c>
      <c r="AY216" s="3">
        <v>0</v>
      </c>
      <c r="AZ216" s="3">
        <v>0</v>
      </c>
      <c r="BA216" s="3">
        <v>0</v>
      </c>
      <c r="BB216" s="3">
        <v>0</v>
      </c>
      <c r="BC216" s="3">
        <v>0</v>
      </c>
      <c r="BD216" s="3">
        <v>0</v>
      </c>
      <c r="BE216" s="3">
        <v>0</v>
      </c>
      <c r="BF216" s="3">
        <v>0</v>
      </c>
      <c r="BG216" s="3">
        <v>1</v>
      </c>
      <c r="BH216" s="3">
        <v>0</v>
      </c>
      <c r="BI216" s="3">
        <v>0</v>
      </c>
      <c r="BJ216" s="3">
        <v>0</v>
      </c>
      <c r="BK216" s="3">
        <v>0</v>
      </c>
      <c r="BL216" s="3">
        <v>0</v>
      </c>
      <c r="BM216" s="3">
        <v>0</v>
      </c>
      <c r="BN216" s="3">
        <f t="shared" si="16"/>
        <v>53.5</v>
      </c>
      <c r="BO216">
        <v>727</v>
      </c>
      <c r="BP216" s="3">
        <v>11</v>
      </c>
      <c r="BQ216" s="1">
        <f t="shared" si="11"/>
        <v>1.5130674002751032E-2</v>
      </c>
      <c r="BR216" s="6">
        <v>0.156</v>
      </c>
      <c r="BS216" s="6">
        <v>4.2000000000000003E-2</v>
      </c>
      <c r="BT216" s="6">
        <v>1.0999999999999999E-2</v>
      </c>
      <c r="BU216" s="6">
        <v>7.5999999999999998E-2</v>
      </c>
      <c r="BV216" s="6">
        <v>2.3E-2</v>
      </c>
      <c r="BW216" s="6"/>
      <c r="BX216" s="3">
        <v>230</v>
      </c>
      <c r="BY216" s="3">
        <v>0</v>
      </c>
      <c r="BZ216" s="3">
        <v>0</v>
      </c>
      <c r="CA216" s="3">
        <v>0</v>
      </c>
      <c r="CB216" s="3">
        <v>0</v>
      </c>
      <c r="CC216" s="3">
        <v>0</v>
      </c>
      <c r="CD216" s="3">
        <v>881</v>
      </c>
      <c r="CE216" s="4">
        <f t="shared" si="18"/>
        <v>11.570939907443469</v>
      </c>
      <c r="CF216" s="4">
        <f t="shared" si="19"/>
        <v>0.55492796634132557</v>
      </c>
      <c r="CG216" s="15">
        <f t="shared" si="20"/>
        <v>4919.9655690008321</v>
      </c>
      <c r="CH216" s="6">
        <f t="shared" si="21"/>
        <v>0.22484286105054893</v>
      </c>
      <c r="CJ216" s="6"/>
      <c r="CK216">
        <v>11.635494754230812</v>
      </c>
      <c r="CL216">
        <v>0.58285798496095031</v>
      </c>
      <c r="CM216">
        <v>5032.0199755015892</v>
      </c>
      <c r="CN216">
        <v>0.2015401475381976</v>
      </c>
    </row>
    <row r="217" spans="1:92">
      <c r="A217" t="s">
        <v>348</v>
      </c>
      <c r="B217" t="s">
        <v>313</v>
      </c>
      <c r="C217" s="5">
        <v>1.0899065420560843</v>
      </c>
      <c r="D217" s="16">
        <v>0.06</v>
      </c>
      <c r="E217">
        <v>713</v>
      </c>
      <c r="F217" s="3">
        <f t="shared" si="17"/>
        <v>323.41174442761115</v>
      </c>
      <c r="G217">
        <v>0</v>
      </c>
      <c r="H217">
        <v>0</v>
      </c>
      <c r="I217">
        <v>0</v>
      </c>
      <c r="J217">
        <v>0</v>
      </c>
      <c r="K217">
        <v>0</v>
      </c>
      <c r="L217">
        <v>0</v>
      </c>
      <c r="M217">
        <v>1</v>
      </c>
      <c r="N217">
        <v>0</v>
      </c>
      <c r="O217">
        <v>0</v>
      </c>
      <c r="P217">
        <v>0</v>
      </c>
      <c r="Q217">
        <v>0</v>
      </c>
      <c r="R217" s="3">
        <f t="shared" si="12"/>
        <v>522</v>
      </c>
      <c r="S217" s="3">
        <f t="shared" si="13"/>
        <v>578</v>
      </c>
      <c r="T217">
        <v>239261130</v>
      </c>
      <c r="U217" s="6">
        <v>6.4100000000000004E-2</v>
      </c>
      <c r="V217" s="90">
        <v>2.82E-3</v>
      </c>
      <c r="W217" s="12">
        <v>8.5999999999999993E-2</v>
      </c>
      <c r="X217" s="6">
        <f t="shared" si="15"/>
        <v>3.2866</v>
      </c>
      <c r="Y217">
        <v>10</v>
      </c>
      <c r="Z217" s="5">
        <v>4</v>
      </c>
      <c r="AA217" s="3">
        <v>115883</v>
      </c>
      <c r="AB217" s="15">
        <v>3880</v>
      </c>
      <c r="AC217" s="15">
        <v>53670</v>
      </c>
      <c r="AD217" s="3">
        <v>88230</v>
      </c>
      <c r="AE217" s="5">
        <v>1.2645259938837918</v>
      </c>
      <c r="AF217" s="15">
        <v>58920</v>
      </c>
      <c r="AG217">
        <v>1940</v>
      </c>
      <c r="AH217" s="15">
        <v>64120</v>
      </c>
      <c r="AI217">
        <v>270</v>
      </c>
      <c r="AJ217" s="15">
        <v>71200</v>
      </c>
      <c r="AK217">
        <v>100</v>
      </c>
      <c r="AL217" s="15">
        <v>43630</v>
      </c>
      <c r="AM217">
        <v>40700</v>
      </c>
      <c r="AO217" s="3">
        <v>0</v>
      </c>
      <c r="AP217" s="3">
        <v>0</v>
      </c>
      <c r="AQ217" s="3">
        <v>0</v>
      </c>
      <c r="AR217" s="3">
        <v>0</v>
      </c>
      <c r="AS217" s="3">
        <v>0</v>
      </c>
      <c r="AT217" s="3">
        <v>0</v>
      </c>
      <c r="AU217" s="3">
        <v>0</v>
      </c>
      <c r="AV217" s="3">
        <v>0</v>
      </c>
      <c r="AW217" s="3">
        <v>0</v>
      </c>
      <c r="AX217" s="3">
        <v>0</v>
      </c>
      <c r="AY217" s="3">
        <v>0</v>
      </c>
      <c r="AZ217" s="3">
        <v>0</v>
      </c>
      <c r="BA217" s="3">
        <v>1</v>
      </c>
      <c r="BB217" s="3">
        <v>0</v>
      </c>
      <c r="BC217" s="3">
        <v>0</v>
      </c>
      <c r="BD217" s="3">
        <v>0</v>
      </c>
      <c r="BE217" s="3">
        <v>1</v>
      </c>
      <c r="BF217" s="3">
        <v>1</v>
      </c>
      <c r="BG217" s="3">
        <v>0</v>
      </c>
      <c r="BH217" s="3">
        <v>0</v>
      </c>
      <c r="BI217" s="3">
        <v>0</v>
      </c>
      <c r="BJ217" s="3">
        <v>1</v>
      </c>
      <c r="BK217" s="3">
        <v>0</v>
      </c>
      <c r="BL217" s="3">
        <v>0</v>
      </c>
      <c r="BM217" s="3">
        <v>1</v>
      </c>
      <c r="BN217" s="3">
        <f t="shared" si="16"/>
        <v>56.879999999999995</v>
      </c>
      <c r="BO217">
        <v>1758</v>
      </c>
      <c r="BP217" s="3">
        <v>17</v>
      </c>
      <c r="BQ217" s="1">
        <f t="shared" si="11"/>
        <v>9.6700796359499436E-3</v>
      </c>
      <c r="BR217" s="6">
        <v>0.17499999999999999</v>
      </c>
      <c r="BS217" s="6">
        <v>0.04</v>
      </c>
      <c r="BT217" s="6">
        <v>1.7999999999999999E-2</v>
      </c>
      <c r="BU217" s="6">
        <v>8.4000000000000005E-2</v>
      </c>
      <c r="BV217" s="6">
        <v>4.8000000000000001E-2</v>
      </c>
      <c r="BW217" s="6"/>
      <c r="BX217" s="3">
        <v>0</v>
      </c>
      <c r="BY217" s="3">
        <v>0</v>
      </c>
      <c r="BZ217" s="3">
        <v>1058</v>
      </c>
      <c r="CA217" s="3">
        <v>156</v>
      </c>
      <c r="CB217" s="3">
        <v>0</v>
      </c>
      <c r="CC217" s="3">
        <v>2402</v>
      </c>
      <c r="CD217" s="3">
        <v>0</v>
      </c>
      <c r="CE217" s="4">
        <f t="shared" si="18"/>
        <v>10.124135399772664</v>
      </c>
      <c r="CF217" s="4">
        <f t="shared" si="19"/>
        <v>0.90418828613159896</v>
      </c>
      <c r="CG217" s="15">
        <f t="shared" si="20"/>
        <v>4771.9609698525155</v>
      </c>
      <c r="CH217" s="6">
        <f t="shared" si="21"/>
        <v>0.10492802174370512</v>
      </c>
      <c r="CJ217" s="6"/>
      <c r="CK217">
        <v>10.769288028584674</v>
      </c>
      <c r="CL217">
        <v>0.82442958100321073</v>
      </c>
      <c r="CM217">
        <v>4276.5293063339413</v>
      </c>
      <c r="CN217">
        <v>9.5392774452199153E-2</v>
      </c>
    </row>
    <row r="218" spans="1:92">
      <c r="A218" t="s">
        <v>349</v>
      </c>
      <c r="B218" t="s">
        <v>313</v>
      </c>
      <c r="C218" s="5">
        <v>1.1379220779220784</v>
      </c>
      <c r="D218" s="16">
        <v>7.0000000000000007E-2</v>
      </c>
      <c r="E218">
        <v>830</v>
      </c>
      <c r="F218" s="3">
        <f t="shared" si="17"/>
        <v>376.48211483158099</v>
      </c>
      <c r="G218">
        <v>0</v>
      </c>
      <c r="H218">
        <v>0</v>
      </c>
      <c r="I218">
        <v>1</v>
      </c>
      <c r="J218">
        <v>0</v>
      </c>
      <c r="K218">
        <v>0</v>
      </c>
      <c r="L218">
        <v>0</v>
      </c>
      <c r="M218">
        <v>0</v>
      </c>
      <c r="N218">
        <v>0</v>
      </c>
      <c r="O218">
        <v>0</v>
      </c>
      <c r="P218">
        <v>0</v>
      </c>
      <c r="Q218">
        <v>0</v>
      </c>
      <c r="R218" s="3">
        <f t="shared" si="12"/>
        <v>376</v>
      </c>
      <c r="S218" s="3">
        <f t="shared" si="13"/>
        <v>400</v>
      </c>
      <c r="T218">
        <v>7819451</v>
      </c>
      <c r="U218" s="6">
        <v>0.15590000000000001</v>
      </c>
      <c r="V218" s="90">
        <v>2.82E-3</v>
      </c>
      <c r="W218" s="12">
        <v>8.5999999999999993E-2</v>
      </c>
      <c r="X218" s="6">
        <f t="shared" si="15"/>
        <v>3.2866</v>
      </c>
      <c r="Y218">
        <v>10.8</v>
      </c>
      <c r="Z218" s="5">
        <v>4.25</v>
      </c>
      <c r="AA218" s="3">
        <v>2678</v>
      </c>
      <c r="AB218" s="15">
        <v>8290</v>
      </c>
      <c r="AC218" s="15">
        <v>57560</v>
      </c>
      <c r="AD218" s="3">
        <v>3140</v>
      </c>
      <c r="AE218" s="5">
        <v>1.2645259938837918</v>
      </c>
      <c r="AF218" s="10">
        <v>69661.991404011467</v>
      </c>
      <c r="AG218" s="8">
        <v>0</v>
      </c>
      <c r="AH218" s="10">
        <v>55982.7</v>
      </c>
      <c r="AI218" s="8">
        <v>0</v>
      </c>
      <c r="AJ218" s="10">
        <v>50229.389671361503</v>
      </c>
      <c r="AK218" s="8">
        <v>0</v>
      </c>
      <c r="AL218" s="15">
        <v>48100</v>
      </c>
      <c r="AM218">
        <v>390</v>
      </c>
      <c r="AN218" s="8"/>
      <c r="AO218" s="3">
        <v>0</v>
      </c>
      <c r="AP218" s="3">
        <v>0</v>
      </c>
      <c r="AQ218" s="3">
        <v>0</v>
      </c>
      <c r="AR218" s="3">
        <v>0</v>
      </c>
      <c r="AS218" s="3">
        <v>0</v>
      </c>
      <c r="AT218" s="3">
        <v>0</v>
      </c>
      <c r="AU218" s="3">
        <v>0</v>
      </c>
      <c r="AV218" s="3">
        <v>0</v>
      </c>
      <c r="AW218" s="3">
        <v>0</v>
      </c>
      <c r="AX218" s="3">
        <v>0</v>
      </c>
      <c r="AY218" s="3">
        <v>0</v>
      </c>
      <c r="AZ218" s="3">
        <v>0</v>
      </c>
      <c r="BA218" s="3">
        <v>0</v>
      </c>
      <c r="BB218" s="3">
        <v>0</v>
      </c>
      <c r="BC218" s="3">
        <v>0</v>
      </c>
      <c r="BD218" s="3">
        <v>0</v>
      </c>
      <c r="BE218" s="3">
        <v>0</v>
      </c>
      <c r="BF218" s="3">
        <v>0</v>
      </c>
      <c r="BG218" s="3">
        <v>0</v>
      </c>
      <c r="BH218" s="3">
        <v>0</v>
      </c>
      <c r="BI218" s="3">
        <v>0</v>
      </c>
      <c r="BJ218" s="3">
        <v>0</v>
      </c>
      <c r="BK218" s="3">
        <v>0</v>
      </c>
      <c r="BL218" s="3">
        <v>0</v>
      </c>
      <c r="BM218" s="3">
        <v>1</v>
      </c>
      <c r="BN218" s="3">
        <f t="shared" si="16"/>
        <v>56.2</v>
      </c>
      <c r="BO218">
        <v>70</v>
      </c>
      <c r="BP218" s="3">
        <v>2</v>
      </c>
      <c r="BQ218" s="1">
        <f t="shared" si="11"/>
        <v>2.8571428571428571E-2</v>
      </c>
      <c r="BR218" s="6">
        <v>0.17499999999999999</v>
      </c>
      <c r="BS218" s="6">
        <v>0.04</v>
      </c>
      <c r="BT218" s="6">
        <v>1.7999999999999999E-2</v>
      </c>
      <c r="BU218" s="6">
        <v>8.4000000000000005E-2</v>
      </c>
      <c r="BV218" s="6">
        <v>4.8000000000000001E-2</v>
      </c>
      <c r="BW218" s="6"/>
      <c r="BX218" s="3">
        <v>0</v>
      </c>
      <c r="BY218" s="3">
        <v>0</v>
      </c>
      <c r="BZ218" s="3">
        <v>0</v>
      </c>
      <c r="CA218" s="3">
        <v>0</v>
      </c>
      <c r="CB218" s="3">
        <v>0</v>
      </c>
      <c r="CC218" s="3">
        <v>0</v>
      </c>
      <c r="CD218" s="3">
        <v>0</v>
      </c>
      <c r="CE218" s="4">
        <f t="shared" si="18"/>
        <v>0</v>
      </c>
      <c r="CF218" s="4">
        <f t="shared" si="19"/>
        <v>0</v>
      </c>
      <c r="CG218" s="15">
        <f t="shared" si="20"/>
        <v>0</v>
      </c>
      <c r="CH218" s="6">
        <f t="shared" si="21"/>
        <v>0</v>
      </c>
      <c r="CJ218" s="6"/>
      <c r="CK218">
        <v>0</v>
      </c>
      <c r="CL218">
        <v>0</v>
      </c>
      <c r="CM218">
        <v>0</v>
      </c>
      <c r="CN218">
        <v>0</v>
      </c>
    </row>
    <row r="219" spans="1:92">
      <c r="A219" t="s">
        <v>350</v>
      </c>
      <c r="B219" t="s">
        <v>313</v>
      </c>
      <c r="C219" s="5">
        <v>0.92643122676579615</v>
      </c>
      <c r="D219" s="16">
        <v>0.06</v>
      </c>
      <c r="E219">
        <v>554</v>
      </c>
      <c r="F219" s="3">
        <f t="shared" si="17"/>
        <v>251.29047182734442</v>
      </c>
      <c r="G219">
        <v>0</v>
      </c>
      <c r="H219">
        <v>0</v>
      </c>
      <c r="I219">
        <v>0</v>
      </c>
      <c r="J219">
        <v>0</v>
      </c>
      <c r="K219">
        <v>0</v>
      </c>
      <c r="L219">
        <v>0</v>
      </c>
      <c r="M219">
        <v>0</v>
      </c>
      <c r="N219">
        <v>0</v>
      </c>
      <c r="O219">
        <v>1</v>
      </c>
      <c r="P219">
        <v>0</v>
      </c>
      <c r="Q219">
        <v>0</v>
      </c>
      <c r="R219" s="3">
        <f t="shared" si="12"/>
        <v>548</v>
      </c>
      <c r="S219" s="3">
        <f t="shared" si="13"/>
        <v>583</v>
      </c>
      <c r="T219">
        <v>98709501</v>
      </c>
      <c r="U219" s="6">
        <v>6.1100000000000002E-2</v>
      </c>
      <c r="V219" s="90">
        <v>3.0800000000000003E-3</v>
      </c>
      <c r="W219" s="12">
        <v>0.04</v>
      </c>
      <c r="X219" s="6">
        <f t="shared" si="15"/>
        <v>3.2866</v>
      </c>
      <c r="Y219">
        <v>17.7</v>
      </c>
      <c r="Z219" s="5">
        <v>5</v>
      </c>
      <c r="AA219" s="3">
        <v>77857</v>
      </c>
      <c r="AB219" s="15">
        <v>3700</v>
      </c>
      <c r="AC219" s="15">
        <v>50020</v>
      </c>
      <c r="AD219" s="3">
        <v>31370</v>
      </c>
      <c r="AE219" s="5">
        <v>1.3194221508828252</v>
      </c>
      <c r="AF219" s="15">
        <v>55360</v>
      </c>
      <c r="AG219">
        <v>770</v>
      </c>
      <c r="AH219" s="10">
        <v>55982.7</v>
      </c>
      <c r="AI219" s="8">
        <v>0</v>
      </c>
      <c r="AJ219" s="10">
        <v>50229.389671361503</v>
      </c>
      <c r="AK219" s="8">
        <v>0</v>
      </c>
      <c r="AL219" s="15">
        <v>39560</v>
      </c>
      <c r="AM219">
        <v>11850</v>
      </c>
      <c r="AN219" s="8"/>
      <c r="AO219" s="3">
        <v>0</v>
      </c>
      <c r="AP219" s="3">
        <v>0</v>
      </c>
      <c r="AQ219" s="3">
        <v>0</v>
      </c>
      <c r="AR219" s="3">
        <v>1</v>
      </c>
      <c r="AS219" s="3">
        <v>0</v>
      </c>
      <c r="AT219" s="3">
        <v>0</v>
      </c>
      <c r="AU219" s="3">
        <v>1</v>
      </c>
      <c r="AV219" s="3">
        <v>0</v>
      </c>
      <c r="AW219" s="3">
        <v>0</v>
      </c>
      <c r="AX219" s="3">
        <v>0</v>
      </c>
      <c r="AY219" s="3">
        <v>0</v>
      </c>
      <c r="AZ219" s="3">
        <v>0</v>
      </c>
      <c r="BA219" s="3">
        <v>0</v>
      </c>
      <c r="BB219" s="3">
        <v>0</v>
      </c>
      <c r="BC219" s="3">
        <v>0</v>
      </c>
      <c r="BD219" s="3">
        <v>1</v>
      </c>
      <c r="BE219" s="3">
        <v>0</v>
      </c>
      <c r="BF219" s="3">
        <v>0</v>
      </c>
      <c r="BG219" s="3">
        <v>0</v>
      </c>
      <c r="BH219" s="3">
        <v>1</v>
      </c>
      <c r="BI219" s="3">
        <v>0</v>
      </c>
      <c r="BJ219" s="3">
        <v>0</v>
      </c>
      <c r="BK219" s="3">
        <v>0</v>
      </c>
      <c r="BL219" s="3">
        <v>0</v>
      </c>
      <c r="BM219" s="3">
        <v>1</v>
      </c>
      <c r="BN219" s="3">
        <f t="shared" si="16"/>
        <v>56.220000000000006</v>
      </c>
      <c r="BO219">
        <v>829</v>
      </c>
      <c r="BP219" s="3">
        <v>9</v>
      </c>
      <c r="BQ219" s="1">
        <f t="shared" si="11"/>
        <v>1.0856453558504222E-2</v>
      </c>
      <c r="BR219" s="6">
        <v>0.17399999999999999</v>
      </c>
      <c r="BS219" s="6">
        <v>4.2999999999999997E-2</v>
      </c>
      <c r="BT219" s="6">
        <v>1.7000000000000001E-2</v>
      </c>
      <c r="BU219" s="6">
        <v>9.4E-2</v>
      </c>
      <c r="BV219" s="6">
        <v>2.8000000000000001E-2</v>
      </c>
      <c r="BW219" s="6"/>
      <c r="BX219" s="3">
        <v>0</v>
      </c>
      <c r="BY219" s="3">
        <v>0</v>
      </c>
      <c r="BZ219" s="3">
        <v>1307</v>
      </c>
      <c r="CA219" s="3">
        <v>0</v>
      </c>
      <c r="CB219" s="3">
        <v>0</v>
      </c>
      <c r="CC219" s="3">
        <v>762</v>
      </c>
      <c r="CD219" s="3">
        <v>0</v>
      </c>
      <c r="CE219" s="4">
        <f t="shared" si="18"/>
        <v>10.504071306769101</v>
      </c>
      <c r="CF219" s="4">
        <f t="shared" si="19"/>
        <v>0.90734668751807013</v>
      </c>
      <c r="CG219" s="15">
        <f t="shared" si="20"/>
        <v>5016.5902099103232</v>
      </c>
      <c r="CH219" s="6">
        <f t="shared" si="21"/>
        <v>0.11585705176690894</v>
      </c>
      <c r="CJ219" s="6"/>
      <c r="CK219">
        <v>10.340795652133865</v>
      </c>
      <c r="CL219">
        <v>0.91116720701438458</v>
      </c>
      <c r="CM219">
        <v>4971.4500155437518</v>
      </c>
      <c r="CN219">
        <v>0.11216862750866434</v>
      </c>
    </row>
    <row r="220" spans="1:92">
      <c r="A220" t="s">
        <v>351</v>
      </c>
      <c r="B220" t="s">
        <v>315</v>
      </c>
      <c r="C220" s="5">
        <v>0.98242857142857154</v>
      </c>
      <c r="D220" s="16">
        <v>0.04</v>
      </c>
      <c r="E220">
        <v>347</v>
      </c>
      <c r="F220" s="3">
        <f t="shared" si="17"/>
        <v>157.39673957416699</v>
      </c>
      <c r="G220">
        <v>0</v>
      </c>
      <c r="H220">
        <v>0</v>
      </c>
      <c r="I220">
        <v>0</v>
      </c>
      <c r="J220">
        <v>1</v>
      </c>
      <c r="K220">
        <v>0</v>
      </c>
      <c r="L220">
        <v>0</v>
      </c>
      <c r="M220">
        <v>0</v>
      </c>
      <c r="N220">
        <v>1</v>
      </c>
      <c r="O220">
        <v>0</v>
      </c>
      <c r="P220">
        <v>0</v>
      </c>
      <c r="Q220">
        <v>0</v>
      </c>
      <c r="R220" s="3">
        <f t="shared" si="12"/>
        <v>699.5</v>
      </c>
      <c r="S220" s="3">
        <f t="shared" si="13"/>
        <v>734.5</v>
      </c>
      <c r="T220">
        <v>17900461</v>
      </c>
      <c r="U220" s="6">
        <v>7.8100000000000003E-2</v>
      </c>
      <c r="V220" s="90">
        <v>2.0899999999999998E-3</v>
      </c>
      <c r="W220" s="12">
        <v>0.05</v>
      </c>
      <c r="X220" s="6">
        <f t="shared" si="15"/>
        <v>3.2575000000000003</v>
      </c>
      <c r="Y220">
        <v>7.6</v>
      </c>
      <c r="Z220" s="5">
        <v>4.25</v>
      </c>
      <c r="AA220" s="3">
        <v>196350</v>
      </c>
      <c r="AB220" s="15">
        <v>1340</v>
      </c>
      <c r="AC220" s="15">
        <v>52070</v>
      </c>
      <c r="AD220" s="3">
        <v>6220</v>
      </c>
      <c r="AE220" s="5">
        <v>1.277602523659306</v>
      </c>
      <c r="AF220" s="15">
        <v>72060</v>
      </c>
      <c r="AG220">
        <v>100</v>
      </c>
      <c r="AH220" s="10">
        <v>74961.666666666672</v>
      </c>
      <c r="AI220" s="8">
        <v>0</v>
      </c>
      <c r="AJ220" s="15">
        <v>62970</v>
      </c>
      <c r="AK220">
        <v>90</v>
      </c>
      <c r="AL220" s="15">
        <v>41740</v>
      </c>
      <c r="AM220">
        <v>1750</v>
      </c>
      <c r="AO220" s="3">
        <v>0</v>
      </c>
      <c r="AP220" s="3">
        <v>0</v>
      </c>
      <c r="AQ220" s="3">
        <v>0</v>
      </c>
      <c r="AR220" s="3">
        <v>0</v>
      </c>
      <c r="AS220" s="3">
        <v>0</v>
      </c>
      <c r="AT220" s="3">
        <v>0</v>
      </c>
      <c r="AU220" s="3">
        <v>0</v>
      </c>
      <c r="AV220" s="3">
        <v>0</v>
      </c>
      <c r="AW220" s="3">
        <v>0</v>
      </c>
      <c r="AX220" s="3">
        <v>0</v>
      </c>
      <c r="AY220" s="3">
        <v>0</v>
      </c>
      <c r="AZ220" s="3">
        <v>0</v>
      </c>
      <c r="BA220" s="3">
        <v>0</v>
      </c>
      <c r="BB220" s="3">
        <v>0</v>
      </c>
      <c r="BC220" s="3">
        <v>0</v>
      </c>
      <c r="BD220" s="3">
        <v>0</v>
      </c>
      <c r="BE220" s="3">
        <v>0</v>
      </c>
      <c r="BF220" s="3">
        <v>0</v>
      </c>
      <c r="BG220" s="3">
        <v>0</v>
      </c>
      <c r="BH220" s="3">
        <v>0</v>
      </c>
      <c r="BI220" s="3">
        <v>0</v>
      </c>
      <c r="BJ220" s="3">
        <v>1</v>
      </c>
      <c r="BK220" s="3">
        <v>0</v>
      </c>
      <c r="BL220" s="3">
        <v>0</v>
      </c>
      <c r="BM220" s="3">
        <v>0</v>
      </c>
      <c r="BN220" s="3">
        <f t="shared" si="16"/>
        <v>57.1</v>
      </c>
      <c r="BO220">
        <v>678</v>
      </c>
      <c r="BP220" s="3">
        <v>5</v>
      </c>
      <c r="BQ220" s="1">
        <f t="shared" si="11"/>
        <v>7.3746312684365781E-3</v>
      </c>
      <c r="BR220" s="6">
        <v>0.17699999999999999</v>
      </c>
      <c r="BS220" s="6">
        <v>3.7999999999999999E-2</v>
      </c>
      <c r="BT220" s="6">
        <v>1.6E-2</v>
      </c>
      <c r="BU220" s="6">
        <v>8.5000000000000006E-2</v>
      </c>
      <c r="BV220" s="6">
        <v>3.5999999999999997E-2</v>
      </c>
      <c r="BW220" s="6"/>
      <c r="BX220" s="3">
        <v>928</v>
      </c>
      <c r="BY220" s="3">
        <v>6</v>
      </c>
      <c r="BZ220" s="3">
        <v>0</v>
      </c>
      <c r="CA220" s="3">
        <v>0</v>
      </c>
      <c r="CB220" s="3">
        <v>6</v>
      </c>
      <c r="CC220" s="3">
        <v>0</v>
      </c>
      <c r="CD220" s="3">
        <v>0</v>
      </c>
      <c r="CE220" s="4">
        <f t="shared" si="18"/>
        <v>11.749340217989277</v>
      </c>
      <c r="CF220" s="4">
        <f t="shared" si="19"/>
        <v>0.63125789912198338</v>
      </c>
      <c r="CG220" s="15">
        <f t="shared" si="20"/>
        <v>5209.2984590344104</v>
      </c>
      <c r="CH220" s="6">
        <f t="shared" si="21"/>
        <v>0.16088354747620723</v>
      </c>
      <c r="CJ220" s="6"/>
      <c r="CK220">
        <v>11.741135745581008</v>
      </c>
      <c r="CL220">
        <v>0.74073257570233364</v>
      </c>
      <c r="CM220">
        <v>5281.3401029864244</v>
      </c>
      <c r="CN220">
        <v>0.1270168182879981</v>
      </c>
    </row>
    <row r="221" spans="1:92">
      <c r="A221" t="s">
        <v>352</v>
      </c>
      <c r="B221" t="s">
        <v>201</v>
      </c>
      <c r="C221" s="5">
        <v>0.84642372881355921</v>
      </c>
      <c r="D221" s="16">
        <v>7.0000000000000007E-2</v>
      </c>
      <c r="E221">
        <v>750</v>
      </c>
      <c r="F221" s="3">
        <f t="shared" si="17"/>
        <v>340.1946820767298</v>
      </c>
      <c r="G221">
        <v>0</v>
      </c>
      <c r="H221">
        <v>0</v>
      </c>
      <c r="I221">
        <v>0</v>
      </c>
      <c r="J221">
        <v>0</v>
      </c>
      <c r="K221">
        <v>0</v>
      </c>
      <c r="L221">
        <v>0</v>
      </c>
      <c r="M221">
        <v>0</v>
      </c>
      <c r="N221">
        <v>0</v>
      </c>
      <c r="O221">
        <v>1</v>
      </c>
      <c r="P221">
        <v>0</v>
      </c>
      <c r="Q221">
        <v>0</v>
      </c>
      <c r="R221" s="3">
        <f t="shared" si="12"/>
        <v>548</v>
      </c>
      <c r="S221" s="3">
        <f t="shared" si="13"/>
        <v>583</v>
      </c>
      <c r="T221">
        <v>78036045</v>
      </c>
      <c r="U221" s="6">
        <v>5.6799999999999996E-2</v>
      </c>
      <c r="V221" s="90">
        <v>3.0800000000000003E-3</v>
      </c>
      <c r="W221" s="12">
        <v>0.04</v>
      </c>
      <c r="X221" s="6">
        <f t="shared" si="15"/>
        <v>3.1806999999999999</v>
      </c>
      <c r="Y221">
        <v>14.9</v>
      </c>
      <c r="Z221" s="5">
        <v>4.75</v>
      </c>
      <c r="AA221" s="3">
        <v>106798</v>
      </c>
      <c r="AB221" s="15">
        <v>4900</v>
      </c>
      <c r="AC221" s="15">
        <v>53460</v>
      </c>
      <c r="AD221" s="3">
        <v>61070</v>
      </c>
      <c r="AE221" s="5">
        <v>1.3194221508828252</v>
      </c>
      <c r="AF221" s="15">
        <v>54490</v>
      </c>
      <c r="AG221">
        <v>990</v>
      </c>
      <c r="AH221" s="15">
        <v>49020</v>
      </c>
      <c r="AI221">
        <v>70</v>
      </c>
      <c r="AJ221" s="15">
        <v>53620</v>
      </c>
      <c r="AK221">
        <v>100</v>
      </c>
      <c r="AL221" s="15">
        <v>38850</v>
      </c>
      <c r="AM221">
        <v>21060</v>
      </c>
      <c r="AO221" s="3">
        <v>0</v>
      </c>
      <c r="AP221" s="3">
        <v>0</v>
      </c>
      <c r="AQ221" s="3">
        <v>0</v>
      </c>
      <c r="AR221" s="3">
        <v>0</v>
      </c>
      <c r="AS221" s="3">
        <v>1</v>
      </c>
      <c r="AT221" s="3">
        <v>0</v>
      </c>
      <c r="AU221" s="3">
        <v>1</v>
      </c>
      <c r="AV221" s="3">
        <v>0</v>
      </c>
      <c r="AW221" s="3">
        <v>1</v>
      </c>
      <c r="AX221" s="3">
        <v>0</v>
      </c>
      <c r="AY221" s="3">
        <v>1</v>
      </c>
      <c r="AZ221" s="3">
        <v>1</v>
      </c>
      <c r="BA221" s="3">
        <v>0</v>
      </c>
      <c r="BB221" s="3">
        <v>1</v>
      </c>
      <c r="BC221" s="3">
        <v>0</v>
      </c>
      <c r="BD221" s="3">
        <v>0</v>
      </c>
      <c r="BE221" s="3">
        <v>0</v>
      </c>
      <c r="BF221" s="3">
        <v>1</v>
      </c>
      <c r="BG221" s="3">
        <v>0</v>
      </c>
      <c r="BH221" s="3">
        <v>0</v>
      </c>
      <c r="BI221" s="3">
        <v>0</v>
      </c>
      <c r="BJ221" s="3">
        <v>0</v>
      </c>
      <c r="BK221" s="3">
        <v>0</v>
      </c>
      <c r="BL221" s="3">
        <v>0</v>
      </c>
      <c r="BM221" s="3">
        <v>0</v>
      </c>
      <c r="BN221" s="3">
        <f t="shared" si="16"/>
        <v>56.81428571428571</v>
      </c>
      <c r="BO221">
        <v>1073</v>
      </c>
      <c r="BP221" s="3">
        <v>12</v>
      </c>
      <c r="BQ221" s="1">
        <f t="shared" si="11"/>
        <v>1.1183597390493943E-2</v>
      </c>
      <c r="BR221" s="6">
        <v>0.17399999999999999</v>
      </c>
      <c r="BS221" s="6">
        <v>4.2999999999999997E-2</v>
      </c>
      <c r="BT221" s="6">
        <v>1.7000000000000001E-2</v>
      </c>
      <c r="BU221" s="6">
        <v>9.4E-2</v>
      </c>
      <c r="BV221" s="6">
        <v>2.8000000000000001E-2</v>
      </c>
      <c r="BW221" s="6"/>
      <c r="BX221" s="3">
        <v>137</v>
      </c>
      <c r="BY221" s="3">
        <v>5</v>
      </c>
      <c r="BZ221" s="3">
        <v>989</v>
      </c>
      <c r="CA221" s="3">
        <v>161</v>
      </c>
      <c r="CB221" s="3">
        <v>5</v>
      </c>
      <c r="CC221" s="3">
        <v>827</v>
      </c>
      <c r="CD221" s="3">
        <v>14</v>
      </c>
      <c r="CE221" s="4">
        <f t="shared" si="18"/>
        <v>10.517417442437251</v>
      </c>
      <c r="CF221" s="4">
        <f t="shared" si="19"/>
        <v>0.8669879041825409</v>
      </c>
      <c r="CG221" s="15">
        <f t="shared" si="20"/>
        <v>4758.74800093258</v>
      </c>
      <c r="CH221" s="6">
        <f t="shared" si="21"/>
        <v>0.11360626194965946</v>
      </c>
      <c r="CJ221" s="6"/>
      <c r="CK221">
        <v>11.157022579066394</v>
      </c>
      <c r="CL221">
        <v>0.68960896011789929</v>
      </c>
      <c r="CM221">
        <v>4125.2761257026259</v>
      </c>
      <c r="CN221">
        <v>0.13075666800119143</v>
      </c>
    </row>
    <row r="222" spans="1:92">
      <c r="A222" t="s">
        <v>206</v>
      </c>
      <c r="B222" t="s">
        <v>314</v>
      </c>
      <c r="C222" s="5">
        <v>0.89432048681541143</v>
      </c>
      <c r="D222" s="16">
        <v>6.25E-2</v>
      </c>
      <c r="E222">
        <v>894</v>
      </c>
      <c r="F222" s="3">
        <f t="shared" si="17"/>
        <v>405.51206103546195</v>
      </c>
      <c r="G222">
        <v>0</v>
      </c>
      <c r="H222">
        <v>1</v>
      </c>
      <c r="I222">
        <v>0</v>
      </c>
      <c r="J222">
        <v>1</v>
      </c>
      <c r="K222">
        <v>0</v>
      </c>
      <c r="L222">
        <v>0</v>
      </c>
      <c r="M222">
        <v>0</v>
      </c>
      <c r="N222">
        <v>1</v>
      </c>
      <c r="O222">
        <v>0</v>
      </c>
      <c r="P222">
        <v>1</v>
      </c>
      <c r="Q222">
        <v>0</v>
      </c>
      <c r="R222" s="3">
        <f t="shared" si="12"/>
        <v>644</v>
      </c>
      <c r="S222" s="3">
        <f t="shared" si="13"/>
        <v>684</v>
      </c>
      <c r="T222">
        <v>525562940</v>
      </c>
      <c r="U222" s="6">
        <v>5.45E-2</v>
      </c>
      <c r="V222" s="90">
        <v>3.7000000000000002E-3</v>
      </c>
      <c r="W222" s="12">
        <v>3.4000000000000002E-2</v>
      </c>
      <c r="X222" s="6">
        <f t="shared" si="15"/>
        <v>3.0587999999999997</v>
      </c>
      <c r="Y222">
        <v>19</v>
      </c>
      <c r="Z222" s="5">
        <v>5.5</v>
      </c>
      <c r="AA222" s="3">
        <v>676587</v>
      </c>
      <c r="AB222" s="15">
        <v>2200</v>
      </c>
      <c r="AC222" s="15">
        <v>49690</v>
      </c>
      <c r="AD222" s="3">
        <v>210940</v>
      </c>
      <c r="AE222" s="5">
        <v>1.3228476821192052</v>
      </c>
      <c r="AF222" s="15">
        <v>61500</v>
      </c>
      <c r="AG222">
        <v>7230</v>
      </c>
      <c r="AH222" s="15">
        <v>61000</v>
      </c>
      <c r="AI222">
        <v>900</v>
      </c>
      <c r="AJ222" s="15">
        <v>60880</v>
      </c>
      <c r="AK222">
        <v>3730</v>
      </c>
      <c r="AL222" s="15">
        <v>40350</v>
      </c>
      <c r="AM222">
        <v>88310</v>
      </c>
      <c r="AO222" s="3">
        <v>0</v>
      </c>
      <c r="AP222" s="3">
        <v>1</v>
      </c>
      <c r="AQ222" s="3">
        <v>0</v>
      </c>
      <c r="AR222" s="3">
        <v>1</v>
      </c>
      <c r="AS222" s="3">
        <v>0</v>
      </c>
      <c r="AT222" s="3">
        <v>0</v>
      </c>
      <c r="AU222" s="3">
        <v>0</v>
      </c>
      <c r="AV222" s="3">
        <v>1</v>
      </c>
      <c r="AW222" s="3">
        <v>1</v>
      </c>
      <c r="AX222" s="3">
        <v>1</v>
      </c>
      <c r="AY222" s="3">
        <v>0</v>
      </c>
      <c r="AZ222" s="3">
        <v>0</v>
      </c>
      <c r="BA222" s="3">
        <v>0</v>
      </c>
      <c r="BB222" s="3">
        <v>0</v>
      </c>
      <c r="BC222" s="3">
        <v>0</v>
      </c>
      <c r="BD222" s="3">
        <v>0</v>
      </c>
      <c r="BE222" s="3">
        <v>0</v>
      </c>
      <c r="BF222" s="3">
        <v>0</v>
      </c>
      <c r="BG222" s="3">
        <v>0</v>
      </c>
      <c r="BH222" s="3">
        <v>0</v>
      </c>
      <c r="BI222" s="3">
        <v>0</v>
      </c>
      <c r="BJ222" s="3">
        <v>0</v>
      </c>
      <c r="BK222" s="3">
        <v>0</v>
      </c>
      <c r="BL222" s="3">
        <v>0</v>
      </c>
      <c r="BM222" s="3">
        <v>0</v>
      </c>
      <c r="BN222" s="3">
        <f t="shared" si="16"/>
        <v>57.379999999999995</v>
      </c>
      <c r="BO222">
        <v>3234</v>
      </c>
      <c r="BP222" s="3">
        <v>20</v>
      </c>
      <c r="BQ222" s="1">
        <f t="shared" si="11"/>
        <v>6.1842918985776131E-3</v>
      </c>
      <c r="BR222" s="6">
        <v>0.17</v>
      </c>
      <c r="BS222" s="6">
        <v>4.4999999999999998E-2</v>
      </c>
      <c r="BT222" s="6">
        <v>1.4999999999999999E-2</v>
      </c>
      <c r="BU222" s="6">
        <v>9.1999999999999998E-2</v>
      </c>
      <c r="BV222" s="6">
        <v>0.03</v>
      </c>
      <c r="BW222" s="6"/>
      <c r="BX222" s="3">
        <v>4984</v>
      </c>
      <c r="BY222" s="3">
        <v>929</v>
      </c>
      <c r="BZ222" s="3">
        <v>0</v>
      </c>
      <c r="CA222" s="3">
        <v>0</v>
      </c>
      <c r="CB222" s="3">
        <v>929</v>
      </c>
      <c r="CC222" s="3">
        <v>0</v>
      </c>
      <c r="CD222" s="3">
        <v>6307</v>
      </c>
      <c r="CE222" s="4">
        <f t="shared" si="18"/>
        <v>11.680664165695605</v>
      </c>
      <c r="CF222" s="4">
        <f t="shared" si="19"/>
        <v>0.59292626837053741</v>
      </c>
      <c r="CG222" s="15">
        <f t="shared" si="20"/>
        <v>4885.345375797162</v>
      </c>
      <c r="CH222" s="6">
        <f t="shared" si="21"/>
        <v>0.19009224534825522</v>
      </c>
      <c r="CJ222" s="6"/>
      <c r="CK222">
        <v>11.867196819436927</v>
      </c>
      <c r="CL222">
        <v>0.56362569583031785</v>
      </c>
      <c r="CM222">
        <v>4328.3223746622243</v>
      </c>
      <c r="CN222">
        <v>0.16507697727340312</v>
      </c>
    </row>
    <row r="223" spans="1:92">
      <c r="A223" t="s">
        <v>353</v>
      </c>
      <c r="B223" t="s">
        <v>315</v>
      </c>
      <c r="C223" s="5">
        <v>1.0926720647773296</v>
      </c>
      <c r="D223" s="16">
        <v>6.0999999999999999E-2</v>
      </c>
      <c r="E223">
        <v>1467</v>
      </c>
      <c r="F223" s="3">
        <f t="shared" si="17"/>
        <v>665.42079814208353</v>
      </c>
      <c r="G223">
        <v>0</v>
      </c>
      <c r="H223">
        <v>0</v>
      </c>
      <c r="I223">
        <v>0</v>
      </c>
      <c r="J223">
        <v>0</v>
      </c>
      <c r="K223">
        <v>0</v>
      </c>
      <c r="L223">
        <v>0</v>
      </c>
      <c r="M223">
        <v>0</v>
      </c>
      <c r="N223">
        <v>0</v>
      </c>
      <c r="O223">
        <v>0</v>
      </c>
      <c r="P223">
        <v>1</v>
      </c>
      <c r="Q223">
        <v>0</v>
      </c>
      <c r="R223" s="3">
        <f t="shared" si="12"/>
        <v>563</v>
      </c>
      <c r="S223" s="3">
        <f t="shared" si="13"/>
        <v>604</v>
      </c>
      <c r="T223">
        <v>39386043</v>
      </c>
      <c r="U223" s="6">
        <v>5.9800000000000006E-2</v>
      </c>
      <c r="V223" s="90">
        <v>3.3399999999999997E-3</v>
      </c>
      <c r="W223" s="12">
        <v>6.0000000000000001E-3</v>
      </c>
      <c r="X223" s="6">
        <f t="shared" si="15"/>
        <v>3.2575000000000003</v>
      </c>
      <c r="Y223">
        <v>9.6999999999999993</v>
      </c>
      <c r="Z223" s="5">
        <v>5.25</v>
      </c>
      <c r="AA223" s="3">
        <v>212818</v>
      </c>
      <c r="AB223" s="15">
        <v>1540</v>
      </c>
      <c r="AC223" s="15">
        <v>54420</v>
      </c>
      <c r="AD223" s="3">
        <v>21830</v>
      </c>
      <c r="AE223" s="5">
        <v>1.2756302521008405</v>
      </c>
      <c r="AF223" s="15">
        <v>60230</v>
      </c>
      <c r="AG223">
        <v>390</v>
      </c>
      <c r="AH223" s="15">
        <v>76140</v>
      </c>
      <c r="AI223">
        <v>50</v>
      </c>
      <c r="AJ223" s="15">
        <v>70870</v>
      </c>
      <c r="AK223">
        <v>70</v>
      </c>
      <c r="AL223" s="15">
        <v>46370</v>
      </c>
      <c r="AM223">
        <v>6700</v>
      </c>
      <c r="AO223" s="3">
        <v>0</v>
      </c>
      <c r="AP223" s="3">
        <v>0</v>
      </c>
      <c r="AQ223" s="3">
        <v>1</v>
      </c>
      <c r="AR223" s="3">
        <v>0</v>
      </c>
      <c r="AS223" s="3">
        <v>0</v>
      </c>
      <c r="AT223" s="3">
        <v>0</v>
      </c>
      <c r="AU223" s="3">
        <v>0</v>
      </c>
      <c r="AV223" s="3">
        <v>0</v>
      </c>
      <c r="AW223" s="3">
        <v>0</v>
      </c>
      <c r="AX223" s="3">
        <v>0</v>
      </c>
      <c r="AY223" s="3">
        <v>0</v>
      </c>
      <c r="AZ223" s="3">
        <v>0</v>
      </c>
      <c r="BA223" s="3">
        <v>1</v>
      </c>
      <c r="BB223" s="3">
        <v>0</v>
      </c>
      <c r="BC223" s="3">
        <v>0</v>
      </c>
      <c r="BD223" s="3">
        <v>0</v>
      </c>
      <c r="BE223" s="3">
        <v>1</v>
      </c>
      <c r="BF223" s="3">
        <v>0</v>
      </c>
      <c r="BG223" s="3">
        <v>1</v>
      </c>
      <c r="BH223" s="3">
        <v>0</v>
      </c>
      <c r="BI223" s="3">
        <v>0</v>
      </c>
      <c r="BJ223" s="3">
        <v>0</v>
      </c>
      <c r="BK223" s="3">
        <v>0</v>
      </c>
      <c r="BL223" s="3">
        <v>0</v>
      </c>
      <c r="BM223" s="3">
        <v>0</v>
      </c>
      <c r="BN223" s="3">
        <f t="shared" si="16"/>
        <v>56.349999999999994</v>
      </c>
      <c r="BO223">
        <v>938</v>
      </c>
      <c r="BP223" s="3">
        <v>5</v>
      </c>
      <c r="BQ223" s="1">
        <f t="shared" si="11"/>
        <v>5.3304904051172707E-3</v>
      </c>
      <c r="BR223" s="6">
        <v>0.156</v>
      </c>
      <c r="BS223" s="6">
        <v>4.2000000000000003E-2</v>
      </c>
      <c r="BT223" s="6">
        <v>1.0999999999999999E-2</v>
      </c>
      <c r="BU223" s="6">
        <v>7.5999999999999998E-2</v>
      </c>
      <c r="BV223" s="6">
        <v>2.3E-2</v>
      </c>
      <c r="BW223" s="6"/>
      <c r="BX223" s="3">
        <v>448</v>
      </c>
      <c r="BY223" s="3">
        <v>0</v>
      </c>
      <c r="BZ223" s="3">
        <v>0</v>
      </c>
      <c r="CA223" s="3">
        <v>0</v>
      </c>
      <c r="CB223" s="3">
        <v>0</v>
      </c>
      <c r="CC223" s="3">
        <v>0</v>
      </c>
      <c r="CD223" s="3">
        <v>1249</v>
      </c>
      <c r="CE223" s="4">
        <f t="shared" si="18"/>
        <v>11.583493646050051</v>
      </c>
      <c r="CF223" s="4">
        <f t="shared" si="19"/>
        <v>0.56035941216572316</v>
      </c>
      <c r="CG223" s="15">
        <f t="shared" si="20"/>
        <v>4941.7563685911427</v>
      </c>
      <c r="CH223" s="6">
        <f t="shared" si="21"/>
        <v>0.22031126987162786</v>
      </c>
      <c r="CJ223" s="6"/>
      <c r="CK223">
        <v>11.525325115550723</v>
      </c>
      <c r="CL223">
        <v>0.53519246931363373</v>
      </c>
      <c r="CM223">
        <v>4840.7873401370107</v>
      </c>
      <c r="CN223">
        <v>0.24130868012225648</v>
      </c>
    </row>
    <row r="224" spans="1:92">
      <c r="A224" t="s">
        <v>354</v>
      </c>
      <c r="B224" t="s">
        <v>313</v>
      </c>
      <c r="C224" s="5">
        <v>1.000588235294118</v>
      </c>
      <c r="D224" s="16">
        <v>0.06</v>
      </c>
      <c r="E224">
        <v>13</v>
      </c>
      <c r="F224" s="3">
        <f t="shared" si="17"/>
        <v>5.8967078226633163</v>
      </c>
      <c r="G224">
        <v>0</v>
      </c>
      <c r="H224">
        <v>0</v>
      </c>
      <c r="I224">
        <v>1</v>
      </c>
      <c r="J224">
        <v>0</v>
      </c>
      <c r="K224">
        <v>0</v>
      </c>
      <c r="L224">
        <v>0</v>
      </c>
      <c r="M224">
        <v>0</v>
      </c>
      <c r="N224">
        <v>0</v>
      </c>
      <c r="O224">
        <v>0</v>
      </c>
      <c r="P224">
        <v>0</v>
      </c>
      <c r="Q224">
        <v>0</v>
      </c>
      <c r="R224" s="3">
        <f t="shared" si="12"/>
        <v>376</v>
      </c>
      <c r="S224" s="3">
        <f t="shared" si="13"/>
        <v>400</v>
      </c>
      <c r="T224">
        <v>2183829</v>
      </c>
      <c r="U224" s="6">
        <v>0.1105</v>
      </c>
      <c r="V224" s="90">
        <v>2.82E-3</v>
      </c>
      <c r="W224" s="12">
        <v>8.5999999999999993E-2</v>
      </c>
      <c r="X224" s="6">
        <f t="shared" si="15"/>
        <v>3.2866</v>
      </c>
      <c r="Y224">
        <v>6.5</v>
      </c>
      <c r="Z224" s="5">
        <v>4</v>
      </c>
      <c r="AA224" s="3">
        <v>23871</v>
      </c>
      <c r="AB224" s="15">
        <v>8290</v>
      </c>
      <c r="AC224" s="15">
        <v>52010</v>
      </c>
      <c r="AD224" s="3">
        <v>3180</v>
      </c>
      <c r="AE224" s="5">
        <v>1.2645259938837918</v>
      </c>
      <c r="AF224" s="15">
        <v>64540</v>
      </c>
      <c r="AG224">
        <v>90</v>
      </c>
      <c r="AH224" s="10">
        <v>55982.7</v>
      </c>
      <c r="AI224" s="8">
        <v>0</v>
      </c>
      <c r="AJ224" s="10">
        <v>50229.389671361503</v>
      </c>
      <c r="AK224" s="8">
        <v>0</v>
      </c>
      <c r="AL224" s="15">
        <v>43250</v>
      </c>
      <c r="AM224">
        <v>730</v>
      </c>
      <c r="AN224" s="8"/>
      <c r="AO224" s="3">
        <v>0</v>
      </c>
      <c r="AP224" s="3">
        <v>0</v>
      </c>
      <c r="AQ224" s="3">
        <v>0</v>
      </c>
      <c r="AR224" s="3">
        <v>0</v>
      </c>
      <c r="AS224" s="3">
        <v>0</v>
      </c>
      <c r="AT224" s="3">
        <v>0</v>
      </c>
      <c r="AU224" s="3">
        <v>0</v>
      </c>
      <c r="AV224" s="3">
        <v>0</v>
      </c>
      <c r="AW224" s="3">
        <v>0</v>
      </c>
      <c r="AX224" s="3">
        <v>0</v>
      </c>
      <c r="AY224" s="3">
        <v>0</v>
      </c>
      <c r="AZ224" s="3">
        <v>0</v>
      </c>
      <c r="BA224" s="3">
        <v>0</v>
      </c>
      <c r="BB224" s="3">
        <v>0</v>
      </c>
      <c r="BC224" s="3">
        <v>0</v>
      </c>
      <c r="BD224" s="3">
        <v>0</v>
      </c>
      <c r="BE224" s="3">
        <v>0</v>
      </c>
      <c r="BF224" s="3">
        <v>0</v>
      </c>
      <c r="BG224" s="3">
        <v>0</v>
      </c>
      <c r="BH224" s="3">
        <v>0</v>
      </c>
      <c r="BI224" s="3">
        <v>0</v>
      </c>
      <c r="BJ224" s="3">
        <v>0</v>
      </c>
      <c r="BK224" s="3">
        <v>1</v>
      </c>
      <c r="BL224" s="3">
        <v>0</v>
      </c>
      <c r="BM224" s="3">
        <v>0</v>
      </c>
      <c r="BN224" s="3">
        <f t="shared" si="16"/>
        <v>53.4</v>
      </c>
      <c r="BO224">
        <v>320</v>
      </c>
      <c r="BP224" s="3">
        <v>0</v>
      </c>
      <c r="BQ224" s="1">
        <f t="shared" si="11"/>
        <v>0</v>
      </c>
      <c r="BR224" s="6">
        <v>0.17499999999999999</v>
      </c>
      <c r="BS224" s="6">
        <v>0.04</v>
      </c>
      <c r="BT224" s="6">
        <v>1.7999999999999999E-2</v>
      </c>
      <c r="BU224" s="6">
        <v>8.4000000000000005E-2</v>
      </c>
      <c r="BV224" s="6">
        <v>4.8000000000000001E-2</v>
      </c>
      <c r="BW224" s="6"/>
      <c r="BX224" s="3">
        <v>0</v>
      </c>
      <c r="BY224" s="3">
        <v>24</v>
      </c>
      <c r="BZ224" s="3">
        <v>0</v>
      </c>
      <c r="CA224" s="3">
        <v>3</v>
      </c>
      <c r="CB224" s="3">
        <v>24</v>
      </c>
      <c r="CC224" s="3">
        <v>0</v>
      </c>
      <c r="CD224" s="3">
        <v>0</v>
      </c>
      <c r="CE224" s="4">
        <f t="shared" si="18"/>
        <v>11.952742240977765</v>
      </c>
      <c r="CF224" s="4">
        <f t="shared" si="19"/>
        <v>0.68430967094772344</v>
      </c>
      <c r="CG224" s="15">
        <f t="shared" si="20"/>
        <v>3994.5075143448812</v>
      </c>
      <c r="CH224" s="6">
        <f t="shared" si="21"/>
        <v>9.0604299299704871E-2</v>
      </c>
      <c r="CJ224" s="6"/>
      <c r="CK224">
        <v>11.736607098251113</v>
      </c>
      <c r="CL224">
        <v>0.85094165079640038</v>
      </c>
      <c r="CM224">
        <v>5339.4275951066811</v>
      </c>
      <c r="CN224">
        <v>9.226202162185744E-2</v>
      </c>
    </row>
    <row r="225" spans="1:92">
      <c r="A225" t="s">
        <v>355</v>
      </c>
      <c r="B225" t="s">
        <v>313</v>
      </c>
      <c r="C225" s="5">
        <v>0.97336575875487075</v>
      </c>
      <c r="D225" s="16">
        <v>5.2999999999999999E-2</v>
      </c>
      <c r="E225">
        <v>642</v>
      </c>
      <c r="F225" s="3">
        <f t="shared" si="17"/>
        <v>291.20664785768071</v>
      </c>
      <c r="G225">
        <v>0</v>
      </c>
      <c r="H225">
        <v>0</v>
      </c>
      <c r="I225">
        <v>0</v>
      </c>
      <c r="J225">
        <v>0</v>
      </c>
      <c r="K225">
        <v>0</v>
      </c>
      <c r="L225">
        <v>0</v>
      </c>
      <c r="M225">
        <v>1</v>
      </c>
      <c r="N225">
        <v>0</v>
      </c>
      <c r="O225">
        <v>0</v>
      </c>
      <c r="P225">
        <v>0</v>
      </c>
      <c r="Q225">
        <v>0</v>
      </c>
      <c r="R225" s="3">
        <f t="shared" si="12"/>
        <v>522</v>
      </c>
      <c r="S225" s="3">
        <f t="shared" si="13"/>
        <v>578</v>
      </c>
      <c r="T225">
        <v>89477325</v>
      </c>
      <c r="U225" s="6">
        <v>6.8499999999999991E-2</v>
      </c>
      <c r="V225" s="90">
        <v>3.0800000000000003E-3</v>
      </c>
      <c r="W225" s="12">
        <v>0.04</v>
      </c>
      <c r="X225" s="6">
        <f t="shared" si="15"/>
        <v>3.2866</v>
      </c>
      <c r="Y225">
        <v>13.6</v>
      </c>
      <c r="Z225" s="5">
        <v>4.5</v>
      </c>
      <c r="AA225" s="3">
        <v>102279</v>
      </c>
      <c r="AB225" s="15">
        <v>4650</v>
      </c>
      <c r="AC225" s="15">
        <v>51290</v>
      </c>
      <c r="AD225" s="3">
        <v>43380</v>
      </c>
      <c r="AE225" s="5">
        <v>1.3194221508828252</v>
      </c>
      <c r="AF225" s="15">
        <v>64470</v>
      </c>
      <c r="AG225">
        <v>1310</v>
      </c>
      <c r="AH225" s="10">
        <v>55982.7</v>
      </c>
      <c r="AI225" s="8">
        <v>0</v>
      </c>
      <c r="AJ225" s="15">
        <v>46220</v>
      </c>
      <c r="AK225">
        <v>140</v>
      </c>
      <c r="AL225" s="15">
        <v>44180</v>
      </c>
      <c r="AM225">
        <v>16280</v>
      </c>
      <c r="AO225" s="3">
        <v>0</v>
      </c>
      <c r="AP225" s="3">
        <v>0</v>
      </c>
      <c r="AQ225" s="3">
        <v>0</v>
      </c>
      <c r="AR225" s="3">
        <v>0</v>
      </c>
      <c r="AS225" s="3">
        <v>0</v>
      </c>
      <c r="AT225" s="3">
        <v>0</v>
      </c>
      <c r="AU225" s="3">
        <v>0</v>
      </c>
      <c r="AV225" s="3">
        <v>0</v>
      </c>
      <c r="AW225" s="3">
        <v>0</v>
      </c>
      <c r="AX225" s="3">
        <v>0</v>
      </c>
      <c r="AY225" s="3">
        <v>0</v>
      </c>
      <c r="AZ225" s="3">
        <v>0</v>
      </c>
      <c r="BA225" s="3">
        <v>0</v>
      </c>
      <c r="BB225" s="3">
        <v>0</v>
      </c>
      <c r="BC225" s="3">
        <v>0</v>
      </c>
      <c r="BD225" s="3">
        <v>1</v>
      </c>
      <c r="BE225" s="3">
        <v>0</v>
      </c>
      <c r="BF225" s="3">
        <v>1</v>
      </c>
      <c r="BG225" s="3">
        <v>0</v>
      </c>
      <c r="BH225" s="3">
        <v>1</v>
      </c>
      <c r="BI225" s="3">
        <v>0</v>
      </c>
      <c r="BJ225" s="3">
        <v>0</v>
      </c>
      <c r="BK225" s="3">
        <v>0</v>
      </c>
      <c r="BL225" s="3">
        <v>0</v>
      </c>
      <c r="BM225" s="3">
        <v>1</v>
      </c>
      <c r="BN225" s="3">
        <f t="shared" si="16"/>
        <v>56.2</v>
      </c>
      <c r="BO225">
        <v>1118</v>
      </c>
      <c r="BP225" s="3">
        <v>7</v>
      </c>
      <c r="BQ225" s="1">
        <f t="shared" si="11"/>
        <v>6.2611806797853312E-3</v>
      </c>
      <c r="BR225" s="6">
        <v>0.17399999999999999</v>
      </c>
      <c r="BS225" s="6">
        <v>4.2999999999999997E-2</v>
      </c>
      <c r="BT225" s="6">
        <v>1.7000000000000001E-2</v>
      </c>
      <c r="BU225" s="6">
        <v>9.4E-2</v>
      </c>
      <c r="BV225" s="6">
        <v>2.8000000000000001E-2</v>
      </c>
      <c r="BW225" s="6"/>
      <c r="BX225" s="3">
        <v>0</v>
      </c>
      <c r="BY225" s="3">
        <v>0</v>
      </c>
      <c r="BZ225" s="3">
        <v>1051</v>
      </c>
      <c r="CA225" s="3">
        <v>0</v>
      </c>
      <c r="CB225" s="3">
        <v>0</v>
      </c>
      <c r="CC225" s="3">
        <v>1990</v>
      </c>
      <c r="CD225" s="3">
        <v>0</v>
      </c>
      <c r="CE225" s="4">
        <f t="shared" si="18"/>
        <v>10.149398886617666</v>
      </c>
      <c r="CF225" s="4">
        <f t="shared" si="19"/>
        <v>0.91564573797369864</v>
      </c>
      <c r="CG225" s="15">
        <f t="shared" si="20"/>
        <v>4918.5352854461407</v>
      </c>
      <c r="CH225" s="6">
        <f t="shared" si="21"/>
        <v>0.10784494266748806</v>
      </c>
      <c r="CJ225" s="6"/>
      <c r="CK225">
        <v>10.340795652133865</v>
      </c>
      <c r="CL225">
        <v>0.91116720701438458</v>
      </c>
      <c r="CM225">
        <v>4971.4500155437518</v>
      </c>
      <c r="CN225">
        <v>0.11216862750866434</v>
      </c>
    </row>
    <row r="226" spans="1:92">
      <c r="A226" t="s">
        <v>356</v>
      </c>
      <c r="B226" t="s">
        <v>316</v>
      </c>
      <c r="C226" s="5">
        <v>1.1419892473118298</v>
      </c>
      <c r="D226" s="16">
        <v>6.5000000000000002E-2</v>
      </c>
      <c r="E226">
        <v>203</v>
      </c>
      <c r="F226" s="3">
        <f t="shared" si="17"/>
        <v>92.079360615434865</v>
      </c>
      <c r="G226">
        <v>0</v>
      </c>
      <c r="H226">
        <v>0</v>
      </c>
      <c r="I226">
        <v>0</v>
      </c>
      <c r="J226">
        <v>0</v>
      </c>
      <c r="K226">
        <v>0</v>
      </c>
      <c r="L226">
        <v>1</v>
      </c>
      <c r="M226">
        <v>0</v>
      </c>
      <c r="N226">
        <v>0</v>
      </c>
      <c r="O226">
        <v>0</v>
      </c>
      <c r="P226">
        <v>0</v>
      </c>
      <c r="Q226">
        <v>0</v>
      </c>
      <c r="R226" s="3">
        <f t="shared" si="12"/>
        <v>418</v>
      </c>
      <c r="S226" s="3">
        <f t="shared" si="13"/>
        <v>440</v>
      </c>
      <c r="T226">
        <v>116690498</v>
      </c>
      <c r="U226" s="6">
        <v>4.8000000000000001E-2</v>
      </c>
      <c r="V226" s="90">
        <v>4.6800000000000001E-3</v>
      </c>
      <c r="W226" s="12">
        <v>5.2999999999999999E-2</v>
      </c>
      <c r="X226" s="6">
        <f t="shared" si="15"/>
        <v>3.6216999999999997</v>
      </c>
      <c r="Y226">
        <v>8.6</v>
      </c>
      <c r="Z226" s="5">
        <v>4</v>
      </c>
      <c r="AA226" s="3">
        <v>172119</v>
      </c>
      <c r="AB226" s="15">
        <v>835</v>
      </c>
      <c r="AC226" s="15">
        <v>60210</v>
      </c>
      <c r="AD226" s="3">
        <v>37250</v>
      </c>
      <c r="AE226" s="5">
        <v>1.2756302521008405</v>
      </c>
      <c r="AF226" s="15">
        <v>82640</v>
      </c>
      <c r="AG226">
        <v>1170</v>
      </c>
      <c r="AH226" s="15">
        <v>56610</v>
      </c>
      <c r="AI226">
        <v>30</v>
      </c>
      <c r="AJ226" s="15">
        <v>66240</v>
      </c>
      <c r="AK226">
        <v>70</v>
      </c>
      <c r="AL226" s="15">
        <v>46310</v>
      </c>
      <c r="AM226">
        <v>16940</v>
      </c>
      <c r="AO226" s="3">
        <v>1</v>
      </c>
      <c r="AP226" s="3">
        <v>0</v>
      </c>
      <c r="AQ226" s="3">
        <v>0</v>
      </c>
      <c r="AR226" s="3">
        <v>0</v>
      </c>
      <c r="AS226" s="3">
        <v>0</v>
      </c>
      <c r="AT226" s="3">
        <v>0</v>
      </c>
      <c r="AU226" s="3">
        <v>0</v>
      </c>
      <c r="AV226" s="3">
        <v>0</v>
      </c>
      <c r="AW226" s="3">
        <v>0</v>
      </c>
      <c r="AX226" s="3">
        <v>0</v>
      </c>
      <c r="AY226" s="3">
        <v>0</v>
      </c>
      <c r="AZ226" s="3">
        <v>0</v>
      </c>
      <c r="BA226" s="3">
        <v>0</v>
      </c>
      <c r="BB226" s="3">
        <v>0</v>
      </c>
      <c r="BC226" s="3">
        <v>0</v>
      </c>
      <c r="BD226" s="3">
        <v>0</v>
      </c>
      <c r="BE226" s="3">
        <v>0</v>
      </c>
      <c r="BF226" s="3">
        <v>0</v>
      </c>
      <c r="BG226" s="3">
        <v>0</v>
      </c>
      <c r="BH226" s="3">
        <v>0</v>
      </c>
      <c r="BI226" s="3">
        <v>0</v>
      </c>
      <c r="BJ226" s="3">
        <v>1</v>
      </c>
      <c r="BK226" s="3">
        <v>0</v>
      </c>
      <c r="BL226" s="3">
        <v>0</v>
      </c>
      <c r="BM226" s="3">
        <v>0</v>
      </c>
      <c r="BN226" s="3">
        <f t="shared" si="16"/>
        <v>54.95</v>
      </c>
      <c r="BO226">
        <v>764</v>
      </c>
      <c r="BP226" s="3">
        <v>13</v>
      </c>
      <c r="BQ226" s="1">
        <f t="shared" si="11"/>
        <v>1.7015706806282723E-2</v>
      </c>
      <c r="BR226" s="6">
        <v>0.156</v>
      </c>
      <c r="BS226" s="6">
        <v>4.2000000000000003E-2</v>
      </c>
      <c r="BT226" s="6">
        <v>1.0999999999999999E-2</v>
      </c>
      <c r="BU226" s="6">
        <v>7.5999999999999998E-2</v>
      </c>
      <c r="BV226" s="6">
        <v>2.3E-2</v>
      </c>
      <c r="BW226" s="6"/>
      <c r="BX226" s="3">
        <v>1400</v>
      </c>
      <c r="BY226" s="3">
        <v>0</v>
      </c>
      <c r="BZ226" s="3">
        <v>0</v>
      </c>
      <c r="CA226" s="3">
        <v>0</v>
      </c>
      <c r="CB226" s="3">
        <v>0</v>
      </c>
      <c r="CC226" s="3">
        <v>0</v>
      </c>
      <c r="CD226" s="3">
        <v>500</v>
      </c>
      <c r="CE226" s="4">
        <f t="shared" si="18"/>
        <v>11.687680372552963</v>
      </c>
      <c r="CF226" s="4">
        <f t="shared" si="19"/>
        <v>0.60543638710967917</v>
      </c>
      <c r="CG226" s="15">
        <f t="shared" si="20"/>
        <v>5122.6038554111265</v>
      </c>
      <c r="CH226" s="6">
        <f t="shared" si="21"/>
        <v>0.18270242157732761</v>
      </c>
      <c r="CJ226" s="6"/>
      <c r="CK226">
        <v>11.635494754230812</v>
      </c>
      <c r="CL226">
        <v>0.58285798496095031</v>
      </c>
      <c r="CM226">
        <v>5032.0199755015892</v>
      </c>
      <c r="CN226">
        <v>0.2015401475381976</v>
      </c>
    </row>
    <row r="227" spans="1:92">
      <c r="A227" t="s">
        <v>357</v>
      </c>
      <c r="B227" t="s">
        <v>313</v>
      </c>
      <c r="C227" s="5">
        <v>0.97153374233128742</v>
      </c>
      <c r="D227" s="16">
        <v>0.06</v>
      </c>
      <c r="E227">
        <v>1956</v>
      </c>
      <c r="F227" s="3">
        <f t="shared" si="17"/>
        <v>887.22773085611129</v>
      </c>
      <c r="G227">
        <v>0</v>
      </c>
      <c r="H227">
        <v>0</v>
      </c>
      <c r="I227">
        <v>0</v>
      </c>
      <c r="J227">
        <v>0</v>
      </c>
      <c r="K227">
        <v>0</v>
      </c>
      <c r="L227">
        <v>0</v>
      </c>
      <c r="M227">
        <v>1</v>
      </c>
      <c r="N227">
        <v>0</v>
      </c>
      <c r="O227">
        <v>0</v>
      </c>
      <c r="P227">
        <v>0</v>
      </c>
      <c r="Q227">
        <v>0</v>
      </c>
      <c r="R227" s="3">
        <f t="shared" si="12"/>
        <v>522</v>
      </c>
      <c r="S227" s="3">
        <f t="shared" si="13"/>
        <v>578</v>
      </c>
      <c r="T227">
        <v>56665360</v>
      </c>
      <c r="U227" s="6">
        <v>6.0199999999999997E-2</v>
      </c>
      <c r="V227" s="90">
        <v>3.0800000000000003E-3</v>
      </c>
      <c r="W227" s="12">
        <v>0.04</v>
      </c>
      <c r="X227" s="6">
        <f t="shared" si="15"/>
        <v>3.2866</v>
      </c>
      <c r="Y227">
        <v>11.7</v>
      </c>
      <c r="Z227" s="5">
        <v>4.25</v>
      </c>
      <c r="AA227" s="3">
        <v>62259</v>
      </c>
      <c r="AB227" s="15">
        <v>2450</v>
      </c>
      <c r="AC227" s="15">
        <v>46350</v>
      </c>
      <c r="AD227" s="3">
        <v>10740</v>
      </c>
      <c r="AE227" s="5">
        <v>1.3194221508828252</v>
      </c>
      <c r="AF227" s="15">
        <v>51210</v>
      </c>
      <c r="AG227">
        <v>440</v>
      </c>
      <c r="AH227" s="15">
        <v>67810</v>
      </c>
      <c r="AI227">
        <v>50</v>
      </c>
      <c r="AJ227" s="15">
        <v>52210</v>
      </c>
      <c r="AK227">
        <v>40</v>
      </c>
      <c r="AL227" s="15">
        <v>40790</v>
      </c>
      <c r="AM227">
        <v>2100</v>
      </c>
      <c r="AO227" s="3">
        <v>0</v>
      </c>
      <c r="AP227" s="3">
        <v>0</v>
      </c>
      <c r="AQ227" s="3">
        <v>0</v>
      </c>
      <c r="AR227" s="3">
        <v>0</v>
      </c>
      <c r="AS227" s="3">
        <v>0</v>
      </c>
      <c r="AT227" s="3">
        <v>0</v>
      </c>
      <c r="AU227" s="3">
        <v>0</v>
      </c>
      <c r="AV227" s="3">
        <v>0</v>
      </c>
      <c r="AW227" s="3">
        <v>0</v>
      </c>
      <c r="AX227" s="3">
        <v>0</v>
      </c>
      <c r="AY227" s="3">
        <v>0</v>
      </c>
      <c r="AZ227" s="3">
        <v>0</v>
      </c>
      <c r="BA227" s="3">
        <v>1</v>
      </c>
      <c r="BB227" s="3">
        <v>0</v>
      </c>
      <c r="BC227" s="3">
        <v>0</v>
      </c>
      <c r="BD227" s="3">
        <v>1</v>
      </c>
      <c r="BE227" s="3">
        <v>0</v>
      </c>
      <c r="BF227" s="3">
        <v>1</v>
      </c>
      <c r="BG227" s="3">
        <v>0</v>
      </c>
      <c r="BH227" s="3">
        <v>0</v>
      </c>
      <c r="BI227" s="3">
        <v>0</v>
      </c>
      <c r="BJ227" s="3">
        <v>0</v>
      </c>
      <c r="BK227" s="3">
        <v>0</v>
      </c>
      <c r="BL227" s="3">
        <v>0</v>
      </c>
      <c r="BM227" s="3">
        <v>0</v>
      </c>
      <c r="BN227" s="3">
        <f t="shared" si="16"/>
        <v>56.033333333333331</v>
      </c>
      <c r="BO227">
        <v>549</v>
      </c>
      <c r="BP227" s="3">
        <v>7</v>
      </c>
      <c r="BQ227" s="1">
        <f t="shared" si="11"/>
        <v>1.2750455373406194E-2</v>
      </c>
      <c r="BR227" s="6">
        <v>0.17399999999999999</v>
      </c>
      <c r="BS227" s="6">
        <v>4.2999999999999997E-2</v>
      </c>
      <c r="BT227" s="6">
        <v>1.7000000000000001E-2</v>
      </c>
      <c r="BU227" s="6">
        <v>9.4E-2</v>
      </c>
      <c r="BV227" s="6">
        <v>2.8000000000000001E-2</v>
      </c>
      <c r="BW227" s="6"/>
      <c r="BX227" s="3">
        <v>0</v>
      </c>
      <c r="BY227" s="3">
        <v>0</v>
      </c>
      <c r="BZ227" s="3">
        <v>1056</v>
      </c>
      <c r="CA227" s="3">
        <v>0</v>
      </c>
      <c r="CB227" s="3">
        <v>0</v>
      </c>
      <c r="CC227" s="3">
        <v>586</v>
      </c>
      <c r="CD227" s="3">
        <v>0</v>
      </c>
      <c r="CE227" s="4">
        <f t="shared" si="18"/>
        <v>10.518218737470548</v>
      </c>
      <c r="CF227" s="4">
        <f t="shared" si="19"/>
        <v>0.90701564897507125</v>
      </c>
      <c r="CG227" s="15">
        <f t="shared" si="20"/>
        <v>5020.5014958462298</v>
      </c>
      <c r="CH227" s="6">
        <f t="shared" si="21"/>
        <v>0.11617664458500311</v>
      </c>
      <c r="CJ227" s="6"/>
      <c r="CK227">
        <v>10.340795652133865</v>
      </c>
      <c r="CL227">
        <v>0.91116720701438458</v>
      </c>
      <c r="CM227">
        <v>4971.4500155437518</v>
      </c>
      <c r="CN227">
        <v>0.11216862750866434</v>
      </c>
    </row>
    <row r="228" spans="1:92">
      <c r="A228" t="s">
        <v>358</v>
      </c>
      <c r="B228" t="s">
        <v>201</v>
      </c>
      <c r="C228" s="5">
        <v>1.0915805471124569</v>
      </c>
      <c r="D228" s="16">
        <v>0.05</v>
      </c>
      <c r="E228">
        <v>1185</v>
      </c>
      <c r="F228" s="3">
        <f t="shared" si="17"/>
        <v>537.50759768123305</v>
      </c>
      <c r="G228">
        <v>0</v>
      </c>
      <c r="H228">
        <v>0</v>
      </c>
      <c r="I228">
        <v>0</v>
      </c>
      <c r="J228">
        <v>1</v>
      </c>
      <c r="K228">
        <v>0</v>
      </c>
      <c r="L228">
        <v>0</v>
      </c>
      <c r="M228">
        <v>0</v>
      </c>
      <c r="N228">
        <v>0</v>
      </c>
      <c r="O228">
        <v>0</v>
      </c>
      <c r="P228">
        <v>0</v>
      </c>
      <c r="Q228">
        <v>0</v>
      </c>
      <c r="R228" s="3">
        <f t="shared" si="12"/>
        <v>727</v>
      </c>
      <c r="S228" s="3">
        <f t="shared" si="13"/>
        <v>766</v>
      </c>
      <c r="T228">
        <v>61244310</v>
      </c>
      <c r="U228" s="6">
        <v>7.3099999999999998E-2</v>
      </c>
      <c r="V228" s="90">
        <v>3.0800000000000003E-3</v>
      </c>
      <c r="W228" s="12">
        <v>0.06</v>
      </c>
      <c r="X228" s="6">
        <f t="shared" si="15"/>
        <v>3.1806999999999999</v>
      </c>
      <c r="Y228">
        <v>6.6</v>
      </c>
      <c r="Z228" s="5">
        <v>4</v>
      </c>
      <c r="AA228" s="3">
        <v>140268</v>
      </c>
      <c r="AB228" s="15">
        <v>3150</v>
      </c>
      <c r="AC228" s="15">
        <v>53270</v>
      </c>
      <c r="AD228" s="3">
        <v>49090</v>
      </c>
      <c r="AE228" s="5">
        <v>1.277602523659306</v>
      </c>
      <c r="AF228" s="15">
        <v>59390</v>
      </c>
      <c r="AG228">
        <v>530</v>
      </c>
      <c r="AH228" s="10">
        <v>55722.07547169811</v>
      </c>
      <c r="AI228" s="8">
        <v>0</v>
      </c>
      <c r="AJ228" s="15">
        <v>60140</v>
      </c>
      <c r="AK228">
        <v>80</v>
      </c>
      <c r="AL228" s="15">
        <v>44150</v>
      </c>
      <c r="AM228">
        <v>15270</v>
      </c>
      <c r="AO228" s="3">
        <v>0</v>
      </c>
      <c r="AP228" s="3">
        <v>0</v>
      </c>
      <c r="AQ228" s="3">
        <v>0</v>
      </c>
      <c r="AR228" s="3">
        <v>0</v>
      </c>
      <c r="AS228" s="3">
        <v>0</v>
      </c>
      <c r="AT228" s="3">
        <v>0</v>
      </c>
      <c r="AU228" s="3">
        <v>0</v>
      </c>
      <c r="AV228" s="3">
        <v>0</v>
      </c>
      <c r="AW228" s="3">
        <v>0</v>
      </c>
      <c r="AX228" s="3">
        <v>0</v>
      </c>
      <c r="AY228" s="3">
        <v>0</v>
      </c>
      <c r="AZ228" s="3">
        <v>0</v>
      </c>
      <c r="BA228" s="3">
        <v>0</v>
      </c>
      <c r="BB228" s="3">
        <v>0</v>
      </c>
      <c r="BC228" s="3">
        <v>0</v>
      </c>
      <c r="BD228" s="3">
        <v>0</v>
      </c>
      <c r="BE228" s="3">
        <v>0</v>
      </c>
      <c r="BF228" s="3">
        <v>0</v>
      </c>
      <c r="BG228" s="3">
        <v>0</v>
      </c>
      <c r="BH228" s="3">
        <v>0</v>
      </c>
      <c r="BI228" s="3">
        <v>0</v>
      </c>
      <c r="BJ228" s="3">
        <v>0</v>
      </c>
      <c r="BK228" s="3">
        <v>0</v>
      </c>
      <c r="BL228" s="3">
        <v>1</v>
      </c>
      <c r="BM228" s="3">
        <v>0</v>
      </c>
      <c r="BN228" s="3">
        <f t="shared" si="16"/>
        <v>56.7</v>
      </c>
      <c r="BO228">
        <v>745</v>
      </c>
      <c r="BP228" s="3">
        <v>9</v>
      </c>
      <c r="BQ228" s="1">
        <f t="shared" si="11"/>
        <v>1.2080536912751677E-2</v>
      </c>
      <c r="BR228" s="6">
        <v>0.17699999999999999</v>
      </c>
      <c r="BS228" s="6">
        <v>3.7999999999999999E-2</v>
      </c>
      <c r="BT228" s="6">
        <v>1.6E-2</v>
      </c>
      <c r="BU228" s="6">
        <v>8.5000000000000006E-2</v>
      </c>
      <c r="BV228" s="6">
        <v>3.5999999999999997E-2</v>
      </c>
      <c r="BW228" s="6"/>
      <c r="BX228" s="3">
        <v>245</v>
      </c>
      <c r="BY228" s="3">
        <v>301</v>
      </c>
      <c r="BZ228" s="3">
        <v>0</v>
      </c>
      <c r="CA228" s="3">
        <v>861</v>
      </c>
      <c r="CB228" s="3">
        <v>301</v>
      </c>
      <c r="CC228" s="3">
        <v>0</v>
      </c>
      <c r="CD228" s="3">
        <v>595</v>
      </c>
      <c r="CE228" s="4">
        <f t="shared" si="18"/>
        <v>11.357726872935704</v>
      </c>
      <c r="CF228" s="4">
        <f t="shared" si="19"/>
        <v>0.61865805268312013</v>
      </c>
      <c r="CG228" s="15">
        <f t="shared" si="20"/>
        <v>3567.7876626573056</v>
      </c>
      <c r="CH228" s="6">
        <f t="shared" si="21"/>
        <v>0.12794687734763716</v>
      </c>
      <c r="CJ228" s="6"/>
      <c r="CK228">
        <v>11.416637579633148</v>
      </c>
      <c r="CL228">
        <v>0.6602749699764936</v>
      </c>
      <c r="CM228">
        <v>4306.8142863128596</v>
      </c>
      <c r="CN228">
        <v>0.14007853446696578</v>
      </c>
    </row>
    <row r="229" spans="1:92">
      <c r="A229" t="s">
        <v>359</v>
      </c>
      <c r="B229" t="s">
        <v>315</v>
      </c>
      <c r="C229" s="5">
        <v>1.0218471337579627</v>
      </c>
      <c r="D229" s="16">
        <v>0.04</v>
      </c>
      <c r="E229">
        <v>1833</v>
      </c>
      <c r="F229" s="3">
        <f t="shared" si="17"/>
        <v>831.43580299552764</v>
      </c>
      <c r="G229">
        <v>0</v>
      </c>
      <c r="H229">
        <v>0</v>
      </c>
      <c r="I229">
        <v>0</v>
      </c>
      <c r="J229">
        <v>0</v>
      </c>
      <c r="K229">
        <v>0</v>
      </c>
      <c r="L229">
        <v>1</v>
      </c>
      <c r="M229">
        <v>0</v>
      </c>
      <c r="N229">
        <v>1</v>
      </c>
      <c r="O229">
        <v>0</v>
      </c>
      <c r="P229">
        <v>1</v>
      </c>
      <c r="Q229">
        <v>0</v>
      </c>
      <c r="R229" s="3">
        <f t="shared" si="12"/>
        <v>551</v>
      </c>
      <c r="S229" s="3">
        <f t="shared" si="13"/>
        <v>582.33333333333337</v>
      </c>
      <c r="T229">
        <v>46347492</v>
      </c>
      <c r="U229" s="6">
        <v>6.7299999999999999E-2</v>
      </c>
      <c r="V229" s="90">
        <v>3.3399999999999997E-3</v>
      </c>
      <c r="W229" s="12">
        <v>6.0000000000000001E-3</v>
      </c>
      <c r="X229" s="6">
        <f t="shared" si="15"/>
        <v>3.2575000000000003</v>
      </c>
      <c r="Y229">
        <v>5.8</v>
      </c>
      <c r="Z229" s="5">
        <v>4.5</v>
      </c>
      <c r="AA229" s="3">
        <v>251470</v>
      </c>
      <c r="AB229" s="15">
        <v>800</v>
      </c>
      <c r="AC229" s="15">
        <v>53530</v>
      </c>
      <c r="AD229" s="3">
        <v>6020</v>
      </c>
      <c r="AE229" s="5">
        <v>1.2756302521008405</v>
      </c>
      <c r="AF229" s="15">
        <v>75520</v>
      </c>
      <c r="AG229">
        <v>130</v>
      </c>
      <c r="AH229" s="10">
        <v>74961.666666666672</v>
      </c>
      <c r="AI229" s="8">
        <v>0</v>
      </c>
      <c r="AJ229" s="10">
        <v>68916.666666666672</v>
      </c>
      <c r="AK229" s="8">
        <v>0</v>
      </c>
      <c r="AL229" s="15">
        <v>48000</v>
      </c>
      <c r="AM229">
        <v>620</v>
      </c>
      <c r="AN229" s="8"/>
      <c r="AO229" s="3">
        <v>0</v>
      </c>
      <c r="AP229" s="3">
        <v>0</v>
      </c>
      <c r="AQ229" s="3">
        <v>0</v>
      </c>
      <c r="AR229" s="3">
        <v>0</v>
      </c>
      <c r="AS229" s="3">
        <v>0</v>
      </c>
      <c r="AT229" s="3">
        <v>1</v>
      </c>
      <c r="AU229" s="3">
        <v>0</v>
      </c>
      <c r="AV229" s="3">
        <v>0</v>
      </c>
      <c r="AW229" s="3">
        <v>0</v>
      </c>
      <c r="AX229" s="3">
        <v>0</v>
      </c>
      <c r="AY229" s="3">
        <v>0</v>
      </c>
      <c r="AZ229" s="3">
        <v>0</v>
      </c>
      <c r="BA229" s="3">
        <v>0</v>
      </c>
      <c r="BB229" s="3">
        <v>0</v>
      </c>
      <c r="BC229" s="3">
        <v>0</v>
      </c>
      <c r="BD229" s="3">
        <v>0</v>
      </c>
      <c r="BE229" s="3">
        <v>1</v>
      </c>
      <c r="BF229" s="3">
        <v>0</v>
      </c>
      <c r="BG229" s="3">
        <v>0</v>
      </c>
      <c r="BH229" s="3">
        <v>0</v>
      </c>
      <c r="BI229" s="3">
        <v>0</v>
      </c>
      <c r="BJ229" s="3">
        <v>1</v>
      </c>
      <c r="BK229" s="3">
        <v>0</v>
      </c>
      <c r="BL229" s="3">
        <v>0</v>
      </c>
      <c r="BM229" s="3">
        <v>0</v>
      </c>
      <c r="BN229" s="3">
        <f t="shared" si="16"/>
        <v>57.9</v>
      </c>
      <c r="BO229">
        <v>913</v>
      </c>
      <c r="BP229" s="3">
        <v>10</v>
      </c>
      <c r="BQ229" s="1">
        <f t="shared" si="11"/>
        <v>1.0952902519167579E-2</v>
      </c>
      <c r="BR229" s="6">
        <v>0.156</v>
      </c>
      <c r="BS229" s="6">
        <v>4.2000000000000003E-2</v>
      </c>
      <c r="BT229" s="6">
        <v>1.0999999999999999E-2</v>
      </c>
      <c r="BU229" s="6">
        <v>7.5999999999999998E-2</v>
      </c>
      <c r="BV229" s="6">
        <v>2.3E-2</v>
      </c>
      <c r="BW229" s="6"/>
      <c r="BX229" s="3">
        <v>960</v>
      </c>
      <c r="BY229" s="3">
        <v>0</v>
      </c>
      <c r="BZ229" s="3">
        <v>0</v>
      </c>
      <c r="CA229" s="3">
        <v>0</v>
      </c>
      <c r="CB229" s="3">
        <v>0</v>
      </c>
      <c r="CC229" s="3">
        <v>0</v>
      </c>
      <c r="CD229" s="3">
        <v>873</v>
      </c>
      <c r="CE229" s="4">
        <f t="shared" si="18"/>
        <v>11.640723755084696</v>
      </c>
      <c r="CF229" s="4">
        <f t="shared" si="19"/>
        <v>0.5851203416774351</v>
      </c>
      <c r="CG229" s="15">
        <f t="shared" si="20"/>
        <v>5041.096483563083</v>
      </c>
      <c r="CH229" s="6">
        <f t="shared" si="21"/>
        <v>0.19965260671178567</v>
      </c>
      <c r="CJ229" s="6"/>
      <c r="CK229">
        <v>11.635494754230812</v>
      </c>
      <c r="CL229">
        <v>0.58285798496095031</v>
      </c>
      <c r="CM229">
        <v>5032.0199755015892</v>
      </c>
      <c r="CN229">
        <v>0.2015401475381976</v>
      </c>
    </row>
    <row r="230" spans="1:92">
      <c r="AA230" s="3"/>
      <c r="AB230" s="3"/>
      <c r="AD230" s="1"/>
      <c r="AE230" s="1"/>
      <c r="BX230" s="3"/>
      <c r="BY230" s="3"/>
      <c r="BZ230" s="3"/>
      <c r="CA230" s="3"/>
      <c r="CB230" s="3"/>
      <c r="CC230" s="3"/>
      <c r="CD230" s="3"/>
      <c r="CE230" s="3"/>
      <c r="CF230" s="3"/>
    </row>
    <row r="231" spans="1:92">
      <c r="A231" t="s">
        <v>361</v>
      </c>
      <c r="C231" t="s">
        <v>379</v>
      </c>
      <c r="D231" t="s">
        <v>528</v>
      </c>
      <c r="F231" t="s">
        <v>1100</v>
      </c>
      <c r="R231" t="s">
        <v>1101</v>
      </c>
      <c r="S231" t="s">
        <v>1102</v>
      </c>
      <c r="U231" t="s">
        <v>450</v>
      </c>
      <c r="V231" t="s">
        <v>951</v>
      </c>
      <c r="W231" t="s">
        <v>949</v>
      </c>
      <c r="X231" t="s">
        <v>448</v>
      </c>
      <c r="Y231" t="s">
        <v>401</v>
      </c>
      <c r="Z231" t="s">
        <v>599</v>
      </c>
      <c r="AA231" s="3"/>
      <c r="AB231" t="s">
        <v>543</v>
      </c>
      <c r="AC231" t="s">
        <v>404</v>
      </c>
      <c r="AD231" s="1"/>
      <c r="AE231" t="s">
        <v>883</v>
      </c>
      <c r="AF231" t="s">
        <v>406</v>
      </c>
      <c r="AH231" t="s">
        <v>412</v>
      </c>
      <c r="AJ231" t="s">
        <v>410</v>
      </c>
      <c r="AL231" t="s">
        <v>829</v>
      </c>
      <c r="BN231" t="s">
        <v>441</v>
      </c>
      <c r="BO231" t="s">
        <v>640</v>
      </c>
      <c r="BQ231" t="s">
        <v>643</v>
      </c>
      <c r="BR231" t="s">
        <v>821</v>
      </c>
      <c r="BS231" t="s">
        <v>822</v>
      </c>
      <c r="BT231" t="s">
        <v>827</v>
      </c>
      <c r="BU231" t="s">
        <v>823</v>
      </c>
      <c r="BV231" t="s">
        <v>824</v>
      </c>
      <c r="BX231" s="3"/>
      <c r="BY231" s="3"/>
      <c r="BZ231" s="3"/>
      <c r="CA231" s="3"/>
      <c r="CB231" s="3"/>
      <c r="CC231" s="3"/>
      <c r="CD231" s="3"/>
      <c r="CE231" t="s">
        <v>933</v>
      </c>
      <c r="CF231" t="s">
        <v>986</v>
      </c>
      <c r="CG231" t="s">
        <v>943</v>
      </c>
      <c r="CH231" t="s">
        <v>944</v>
      </c>
    </row>
    <row r="232" spans="1:92">
      <c r="A232" t="s">
        <v>313</v>
      </c>
      <c r="C232" s="5">
        <f>AVERAGEIF($B$180:$B$229,A232,$C$180:$C$229)</f>
        <v>1.0313425511943004</v>
      </c>
      <c r="D232" s="16">
        <f>AVERAGEIF($B$180:$B$229,$A232,$D$180:$D$229)</f>
        <v>5.0847222222222231E-2</v>
      </c>
      <c r="E232" s="3"/>
      <c r="F232" s="3" cm="1">
        <f t="array" ref="F232">SUMPRODUCT(IF($B$180:$B$229=$A232,$F$180:$F$229*$T$180:$T$229))/SUMIF($B$180:$B$229,$A232,$T$180:$T$229)</f>
        <v>352.42766204040237</v>
      </c>
      <c r="R232" s="3" cm="1">
        <f t="array" ref="R232">SUMPRODUCT(IF($B$180:$B$229=$A232,$R$180:$R$229*$T$180:$T$229))/SUMIF($B$180:$B$229,$A232,$T$180:$T$229)</f>
        <v>502.45958296645455</v>
      </c>
      <c r="S232" s="3" cm="1">
        <f t="array" ref="S232">SUMPRODUCT(IF($B$180:$B$229=$A232,$S$180:$S$229*$T$180:$T$229))/SUMIF($B$180:$B$229,$A232,$T$180:$T$229)</f>
        <v>545.54475100079333</v>
      </c>
      <c r="U232" s="9" cm="1">
        <f t="array" ref="U232">SUMPRODUCT(IF($B$180:$B$229=$A232,$U$180:$U$229*$T$180:$T$229))/SUMIF($B$180:$B$229,$A232,$T$180:$T$229)</f>
        <v>7.2262109933001015E-2</v>
      </c>
      <c r="V232" s="90">
        <f>AVERAGEIF($B$180:$B$229,$A232,$V$180:$V$229)</f>
        <v>2.9500000000000004E-3</v>
      </c>
      <c r="W232" s="12">
        <f>AVERAGEIF($B$180:$B$229,$A232,$W$180:$W$229)</f>
        <v>6.4111111111111119E-2</v>
      </c>
      <c r="X232" s="6">
        <v>3.2866</v>
      </c>
      <c r="Y232" s="4" cm="1">
        <f t="array" ref="Y232">SUMPRODUCT(IF($B$180:$B$229=$A232,Y$180:Y$229*AA$180:AA$229))/SUMIF($B$180:$B$229,$A232,AA$180:AA$229)</f>
        <v>13.502816523583011</v>
      </c>
      <c r="Z232" s="4" cm="1">
        <f t="array" ref="Z232">SUMPRODUCT(IF($B$180:$B$229=$A232,Z$180:Z$229*AB$180:AB$229))/SUMIF($B$180:$B$229,$A232,AB$180:AB$229)</f>
        <v>4.3430446413643207</v>
      </c>
      <c r="AA232" s="4"/>
      <c r="AB232" s="15">
        <f>AVERAGEIF($B$180:$B$229,$A232,$AB$180:$AB$229)</f>
        <v>6645.5555555555557</v>
      </c>
      <c r="AC232" s="15" cm="1">
        <f t="array" ref="AC232">SUMPRODUCT(IF($B$180:$B$229=$A232,AC$180:AC$229*AD$180:AD$229))/SUMIF($B$180:$B$229,$A232,AD$180:AD$229)</f>
        <v>53183.800513639202</v>
      </c>
      <c r="AD232" s="15"/>
      <c r="AE232" s="5">
        <f>AVERAGEIF($B$180:$B$229,$A232,$AE$180:$AE$229)</f>
        <v>1.283551186759887</v>
      </c>
      <c r="AF232" s="15" cm="1">
        <f t="array" ref="AF232">SUMPRODUCT(IF($B$180:$B$229=$A232,AF$180:AF$229*AG$180:AG$229))/SUMIF($B$180:$B$229,$A232,AG$180:AG$229)</f>
        <v>69661.991404011467</v>
      </c>
      <c r="AG232" s="15"/>
      <c r="AH232" s="15" cm="1">
        <f t="array" ref="AH232">SUMPRODUCT(IF($B$180:$B$229=$A232,AH$180:AH$229*AI$180:AI$229))/SUMIF($B$180:$B$229,$A232,AI$180:AI$229)</f>
        <v>55982.7</v>
      </c>
      <c r="AI232" s="15"/>
      <c r="AJ232" s="15" cm="1">
        <f t="array" ref="AJ232">SUMPRODUCT(IF($B$180:$B$229=$A232,AJ$180:AJ$229*AK$180:AK$229))/SUMIF($B$180:$B$229,$A232,AK$180:AK$229)</f>
        <v>50229.389671361503</v>
      </c>
      <c r="AK232" s="15"/>
      <c r="AL232" s="15" cm="1">
        <f t="array" ref="AL232">SUMPRODUCT(IF($B$180:$B$229=$A232,AL$180:AL$229*AM$180:AM$229))/SUMIF($B$180:$B$229,$A232,AM$180:AM$229)</f>
        <v>43241.853260683318</v>
      </c>
      <c r="AM232" s="15"/>
      <c r="AN232" s="15"/>
      <c r="AO232" s="15"/>
      <c r="AP232" s="15"/>
      <c r="AQ232" s="15"/>
      <c r="AR232" s="15"/>
      <c r="AS232" s="15"/>
      <c r="AT232" s="15"/>
      <c r="AU232" s="15"/>
      <c r="AV232" s="15"/>
      <c r="AW232" s="15"/>
      <c r="AX232" s="15"/>
      <c r="AY232" s="15"/>
      <c r="AZ232" s="15"/>
      <c r="BA232" s="15"/>
      <c r="BB232" s="15"/>
      <c r="BC232" s="15"/>
      <c r="BD232" s="15"/>
      <c r="BE232" s="15"/>
      <c r="BF232" s="15"/>
      <c r="BG232" s="15"/>
      <c r="BH232" s="15"/>
      <c r="BI232" s="15"/>
      <c r="BJ232" s="15"/>
      <c r="BK232" s="15"/>
      <c r="BL232" s="15"/>
      <c r="BM232" s="15"/>
      <c r="BN232" s="3" cm="1">
        <f t="array" ref="BN232">SUMPRODUCT(IF($B$180:$B$229=$A232,BN$180:BN$229*BO$180:BO$229))/SUMIF($B$180:$B$229,$A232,BO$180:BO$229)</f>
        <v>56.338183044589613</v>
      </c>
      <c r="BO232" s="3">
        <f>SUMIF($B$180:$B$229,$A232,$BO$180:$BO$229)</f>
        <v>14084</v>
      </c>
      <c r="BQ232" s="1" cm="1">
        <f t="array" ref="BQ232">SUMPRODUCT(IF($B$180:$B$229=$A232,BQ$180:BQ$229*BO$180:BO$229))/SUMIF($B$180:$B$229,$A232,BO$180:BO$229)</f>
        <v>9.4433399602385677E-3</v>
      </c>
      <c r="BR232" s="85">
        <f t="shared" ref="BR232:BV236" si="22">AVERAGEIF($B$180:$B$229,$A232,BR$180:BR$229)</f>
        <v>0.17477777777777775</v>
      </c>
      <c r="BS232" s="85">
        <f t="shared" si="22"/>
        <v>4.0888888888888891E-2</v>
      </c>
      <c r="BT232" s="85">
        <f t="shared" si="22"/>
        <v>1.755555555555556E-2</v>
      </c>
      <c r="BU232" s="85">
        <f t="shared" si="22"/>
        <v>8.7388888888888905E-2</v>
      </c>
      <c r="BV232" s="85">
        <f t="shared" si="22"/>
        <v>4.0666666666666677E-2</v>
      </c>
      <c r="BW232" s="85"/>
      <c r="BX232" s="87"/>
      <c r="BY232" s="87"/>
      <c r="BZ232" s="87"/>
      <c r="CA232" s="87"/>
      <c r="CB232" s="87"/>
      <c r="CC232" s="87"/>
      <c r="CD232" s="87"/>
      <c r="CE232" s="4">
        <f t="shared" ref="CE232:CH236" si="23">AVERAGEIFS(CE$180:CE$229,$B$180:$B$229,$A232,CE$180:CE$229,"&lt;&gt;0")</f>
        <v>10.647574380229551</v>
      </c>
      <c r="CF232" s="4">
        <f t="shared" si="23"/>
        <v>0.87925410983154073</v>
      </c>
      <c r="CG232" s="15">
        <f t="shared" si="23"/>
        <v>4864.0757146783581</v>
      </c>
      <c r="CH232" s="6">
        <f t="shared" si="23"/>
        <v>0.11168582082373935</v>
      </c>
    </row>
    <row r="233" spans="1:92">
      <c r="A233" t="s">
        <v>201</v>
      </c>
      <c r="C233" s="5">
        <f>AVERAGEIF($B$180:$B$229,A233,$C$180:$C$229)</f>
        <v>0.98945209185659999</v>
      </c>
      <c r="D233" s="16">
        <f t="shared" ref="D233:D236" si="24">AVERAGEIF($B$180:$B$229,$A233,$D$180:$D$229)</f>
        <v>6.0388888888888888E-2</v>
      </c>
      <c r="E233" s="3"/>
      <c r="F233" s="3" cm="1">
        <f t="array" ref="F233">SUMPRODUCT(IF($B$180:$B$229=$A233,$F$180:$F$229*$T$180:$T$229))/SUMIF($B$180:$B$229,$A233,$T$180:$T$229)</f>
        <v>490.22464506341424</v>
      </c>
      <c r="R233" s="3" cm="1">
        <f t="array" ref="R233">SUMPRODUCT(IF($B$180:$B$229=$A233,$R$180:$R$229*$T$180:$T$229))/SUMIF($B$180:$B$229,$A233,$T$180:$T$229)</f>
        <v>639.13309254753221</v>
      </c>
      <c r="S233" s="3" cm="1">
        <f t="array" ref="S233">SUMPRODUCT(IF($B$180:$B$229=$A233,$S$180:$S$229*$T$180:$T$229))/SUMIF($B$180:$B$229,$A233,$T$180:$T$229)</f>
        <v>681.52695823823535</v>
      </c>
      <c r="U233" s="9" cm="1">
        <f t="array" ref="U233">SUMPRODUCT(IF($B$180:$B$229=$A233,$U$180:$U$229*$T$180:$T$229))/SUMIF($B$180:$B$229,$A233,$T$180:$T$229)</f>
        <v>6.7349269902500744E-2</v>
      </c>
      <c r="V233" s="90">
        <f>AVERAGEIF($B$180:$B$229,$A233,$V$180:$V$229)</f>
        <v>2.7500000000000003E-3</v>
      </c>
      <c r="W233" s="12">
        <f>AVERAGEIF($B$180:$B$229,$A233,$W$180:$W$229)</f>
        <v>5.2222222222222218E-2</v>
      </c>
      <c r="X233" s="6">
        <v>3.1806999999999999</v>
      </c>
      <c r="Y233" s="4" cm="1">
        <f t="array" ref="Y233">SUMPRODUCT(IF($B$180:$B$229=$A233,Y$180:Y$229*AA$180:AA$229))/SUMIF($B$180:$B$229,$A233,AA$180:AA$229)</f>
        <v>9.8886472849686786</v>
      </c>
      <c r="Z233" s="4" cm="1">
        <f t="array" ref="Z233">SUMPRODUCT(IF($B$180:$B$229=$A233,Z$180:Z$229*AB$180:AB$229))/SUMIF($B$180:$B$229,$A233,AB$180:AB$229)</f>
        <v>4.3128850102669407</v>
      </c>
      <c r="AA233" s="4"/>
      <c r="AB233" s="15">
        <f>AVERAGEIF($B$180:$B$229,$A233,$AB$180:$AB$229)</f>
        <v>3246.6666666666665</v>
      </c>
      <c r="AC233" s="15" cm="1">
        <f t="array" ref="AC233">SUMPRODUCT(IF($B$180:$B$229=$A233,AC$180:AC$229*AD$180:AD$229))/SUMIF($B$180:$B$229,$A233,AD$180:AD$229)</f>
        <v>53821.944068360892</v>
      </c>
      <c r="AD233" s="15"/>
      <c r="AE233" s="5">
        <f>AVERAGEIF($B$180:$B$229,$A233,$AE$180:$AE$229)</f>
        <v>1.2868957741534215</v>
      </c>
      <c r="AF233" s="15" cm="1">
        <f t="array" ref="AF233">SUMPRODUCT(IF($B$180:$B$229=$A233,AF$180:AF$229*AG$180:AG$229))/SUMIF($B$180:$B$229,$A233,AG$180:AG$229)</f>
        <v>60487.854137447408</v>
      </c>
      <c r="AG233" s="15"/>
      <c r="AH233" s="15" cm="1">
        <f t="array" ref="AH233">SUMPRODUCT(IF($B$180:$B$229=$A233,AH$180:AH$229*AI$180:AI$229))/SUMIF($B$180:$B$229,$A233,AI$180:AI$229)</f>
        <v>55722.07547169811</v>
      </c>
      <c r="AI233" s="15"/>
      <c r="AJ233" s="15" cm="1">
        <f t="array" ref="AJ233">SUMPRODUCT(IF($B$180:$B$229=$A233,AJ$180:AJ$229*AK$180:AK$229))/SUMIF($B$180:$B$229,$A233,AK$180:AK$229)</f>
        <v>58811.165048543691</v>
      </c>
      <c r="AK233" s="15"/>
      <c r="AL233" s="15" cm="1">
        <f t="array" ref="AL233">SUMPRODUCT(IF($B$180:$B$229=$A233,AL$180:AL$229*AM$180:AM$229))/SUMIF($B$180:$B$229,$A233,AM$180:AM$229)</f>
        <v>43292.127136358045</v>
      </c>
      <c r="AM233" s="15"/>
      <c r="AN233" s="15"/>
      <c r="AO233" s="15"/>
      <c r="AP233" s="15"/>
      <c r="AQ233" s="15"/>
      <c r="AR233" s="15"/>
      <c r="AS233" s="15"/>
      <c r="AT233" s="15"/>
      <c r="AU233" s="15"/>
      <c r="AV233" s="15"/>
      <c r="AW233" s="15"/>
      <c r="AX233" s="15"/>
      <c r="AY233" s="15"/>
      <c r="AZ233" s="15"/>
      <c r="BA233" s="15"/>
      <c r="BB233" s="15"/>
      <c r="BC233" s="15"/>
      <c r="BD233" s="15"/>
      <c r="BE233" s="15"/>
      <c r="BF233" s="15"/>
      <c r="BG233" s="15"/>
      <c r="BH233" s="15"/>
      <c r="BI233" s="15"/>
      <c r="BJ233" s="15"/>
      <c r="BK233" s="15"/>
      <c r="BL233" s="15"/>
      <c r="BM233" s="15"/>
      <c r="BN233" s="3" cm="1">
        <f t="array" ref="BN233">SUMPRODUCT(IF($B$180:$B$229=$A233,BN$180:BN$229*BO$180:BO$229))/SUMIF($B$180:$B$229,$A233,BO$180:BO$229)</f>
        <v>56.978670909807164</v>
      </c>
      <c r="BO233" s="3">
        <f>SUMIF($B$180:$B$229,$A233,$BO$180:$BO$229)</f>
        <v>10033</v>
      </c>
      <c r="BQ233" s="1" cm="1">
        <f t="array" ref="BQ233">SUMPRODUCT(IF($B$180:$B$229=$A233,BQ$180:BQ$229*BO$180:BO$229))/SUMIF($B$180:$B$229,$A233,BO$180:BO$229)</f>
        <v>9.0700687730489379E-3</v>
      </c>
      <c r="BR233" s="85">
        <f t="shared" si="22"/>
        <v>0.17633333333333334</v>
      </c>
      <c r="BS233" s="85">
        <f t="shared" si="22"/>
        <v>3.9111111111111103E-2</v>
      </c>
      <c r="BT233" s="85">
        <f t="shared" si="22"/>
        <v>1.6222222222222225E-2</v>
      </c>
      <c r="BU233" s="85">
        <f t="shared" si="22"/>
        <v>8.6999999999999994E-2</v>
      </c>
      <c r="BV233" s="85">
        <f t="shared" si="22"/>
        <v>3.4222222222222223E-2</v>
      </c>
      <c r="BW233" s="85"/>
      <c r="BX233" s="87"/>
      <c r="BY233" s="87"/>
      <c r="BZ233" s="87"/>
      <c r="CA233" s="87"/>
      <c r="CB233" s="87"/>
      <c r="CC233" s="87"/>
      <c r="CD233" s="87"/>
      <c r="CE233" s="4">
        <f t="shared" si="23"/>
        <v>11.061719720294162</v>
      </c>
      <c r="CF233" s="4">
        <f t="shared" si="23"/>
        <v>0.73428486532360893</v>
      </c>
      <c r="CG233" s="15">
        <f t="shared" si="23"/>
        <v>4303.765054085563</v>
      </c>
      <c r="CH233" s="6">
        <f t="shared" si="23"/>
        <v>0.12576033120844765</v>
      </c>
    </row>
    <row r="234" spans="1:92">
      <c r="A234" t="s">
        <v>315</v>
      </c>
      <c r="C234" s="5">
        <f t="shared" ref="C234:C236" si="25">AVERAGEIF($B$180:$B$229,A234,$C$180:$C$229)</f>
        <v>1.0231694365277102</v>
      </c>
      <c r="D234" s="16">
        <f t="shared" si="24"/>
        <v>4.6431818181818185E-2</v>
      </c>
      <c r="E234" s="3"/>
      <c r="F234" s="3" cm="1">
        <f t="array" ref="F234">SUMPRODUCT(IF($B$180:$B$229=$A234,$F$180:$F$229*$T$180:$T$229))/SUMIF($B$180:$B$229,$A234,$T$180:$T$229)</f>
        <v>477.63904257757645</v>
      </c>
      <c r="R234" s="3" cm="1">
        <f t="array" ref="R234">SUMPRODUCT(IF($B$180:$B$229=$A234,$R$180:$R$229*$T$180:$T$229))/SUMIF($B$180:$B$229,$A234,$T$180:$T$229)</f>
        <v>568.2236387498441</v>
      </c>
      <c r="S234" s="3" cm="1">
        <f t="array" ref="S234">SUMPRODUCT(IF($B$180:$B$229=$A234,$S$180:$S$229*$T$180:$T$229))/SUMIF($B$180:$B$229,$A234,$T$180:$T$229)</f>
        <v>603.85452103220314</v>
      </c>
      <c r="U234" s="9" cm="1">
        <f t="array" ref="U234">SUMPRODUCT(IF($B$180:$B$229=$A234,$U$180:$U$229*$T$180:$T$229))/SUMIF($B$180:$B$229,$A234,$T$180:$T$229)</f>
        <v>6.6280499929716283E-2</v>
      </c>
      <c r="V234" s="90">
        <f>AVERAGEIF($B$180:$B$229,$A234,$V$180:$V$229)</f>
        <v>2.9990909090909092E-3</v>
      </c>
      <c r="W234" s="12">
        <f>AVERAGEIF($B$180:$B$229,$A234,$W$180:$W$229)</f>
        <v>1.8000000000000002E-2</v>
      </c>
      <c r="X234" s="6">
        <v>3.2575000000000003</v>
      </c>
      <c r="Y234" s="4" cm="1">
        <f t="array" ref="Y234">SUMPRODUCT(IF($B$180:$B$229=$A234,Y$180:Y$229*AA$180:AA$229))/SUMIF($B$180:$B$229,$A234,AA$180:AA$229)</f>
        <v>9.1698945084701062</v>
      </c>
      <c r="Z234" s="4" cm="1">
        <f t="array" ref="Z234">SUMPRODUCT(IF($B$180:$B$229=$A234,Z$180:Z$229*AB$180:AB$229))/SUMIF($B$180:$B$229,$A234,AB$180:AB$229)</f>
        <v>4.8389800285306706</v>
      </c>
      <c r="AA234" s="4"/>
      <c r="AB234" s="15">
        <f>AVERAGEIF($B$180:$B$229,$A234,$AB$180:$AB$229)</f>
        <v>1274.5454545454545</v>
      </c>
      <c r="AC234" s="15" cm="1">
        <f t="array" ref="AC234">SUMPRODUCT(IF($B$180:$B$229=$A234,AC$180:AC$229*AD$180:AD$229))/SUMIF($B$180:$B$229,$A234,AD$180:AD$229)</f>
        <v>54285.070491269929</v>
      </c>
      <c r="AD234" s="15"/>
      <c r="AE234" s="5">
        <f>AVERAGEIF($B$180:$B$229,$A234,$AE$180:$AE$229)</f>
        <v>1.2804606379820915</v>
      </c>
      <c r="AF234" s="15" cm="1">
        <f t="array" ref="AF234">SUMPRODUCT(IF($B$180:$B$229=$A234,AF$180:AF$229*AG$180:AG$229))/SUMIF($B$180:$B$229,$A234,AG$180:AG$229)</f>
        <v>70572.735849056597</v>
      </c>
      <c r="AG234" s="15"/>
      <c r="AH234" s="15" cm="1">
        <f t="array" ref="AH234">SUMPRODUCT(IF($B$180:$B$229=$A234,AH$180:AH$229*AI$180:AI$229))/SUMIF($B$180:$B$229,$A234,AI$180:AI$229)</f>
        <v>74961.666666666672</v>
      </c>
      <c r="AI234" s="15"/>
      <c r="AJ234" s="15" cm="1">
        <f t="array" ref="AJ234">SUMPRODUCT(IF($B$180:$B$229=$A234,AJ$180:AJ$229*AK$180:AK$229))/SUMIF($B$180:$B$229,$A234,AK$180:AK$229)</f>
        <v>68916.666666666672</v>
      </c>
      <c r="AK234" s="15"/>
      <c r="AL234" s="15" cm="1">
        <f t="array" ref="AL234">SUMPRODUCT(IF($B$180:$B$229=$A234,AL$180:AL$229*AM$180:AM$229))/SUMIF($B$180:$B$229,$A234,AM$180:AM$229)</f>
        <v>44538.169477581243</v>
      </c>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c r="BK234" s="15"/>
      <c r="BL234" s="15"/>
      <c r="BM234" s="15"/>
      <c r="BN234" s="3" cm="1">
        <f t="array" ref="BN234">SUMPRODUCT(IF($B$180:$B$229=$A234,BN$180:BN$229*BO$180:BO$229))/SUMIF($B$180:$B$229,$A234,BO$180:BO$229)</f>
        <v>57.075478842689613</v>
      </c>
      <c r="BO234" s="3">
        <f>SUMIF($B$180:$B$229,$A234,$BO$180:$BO$229)</f>
        <v>9067</v>
      </c>
      <c r="BQ234" s="1" cm="1">
        <f t="array" ref="BQ234">SUMPRODUCT(IF($B$180:$B$229=$A234,BQ$180:BQ$229*BO$180:BO$229))/SUMIF($B$180:$B$229,$A234,BO$180:BO$229)</f>
        <v>8.2717547149001869E-3</v>
      </c>
      <c r="BR234" s="85">
        <f t="shared" si="22"/>
        <v>0.16300000000000001</v>
      </c>
      <c r="BS234" s="85">
        <f t="shared" si="22"/>
        <v>4.1181818181818181E-2</v>
      </c>
      <c r="BT234" s="85">
        <f t="shared" si="22"/>
        <v>1.2727272727272728E-2</v>
      </c>
      <c r="BU234" s="85">
        <f t="shared" si="22"/>
        <v>7.9909090909090902E-2</v>
      </c>
      <c r="BV234" s="85">
        <f t="shared" si="22"/>
        <v>2.7181818181818185E-2</v>
      </c>
      <c r="BW234" s="85"/>
      <c r="BX234" s="87"/>
      <c r="BY234" s="87"/>
      <c r="BZ234" s="87"/>
      <c r="CA234" s="87"/>
      <c r="CB234" s="87"/>
      <c r="CC234" s="87"/>
      <c r="CD234" s="87"/>
      <c r="CE234" s="4">
        <f t="shared" si="23"/>
        <v>11.666747956765425</v>
      </c>
      <c r="CF234" s="4">
        <f t="shared" si="23"/>
        <v>0.59410540900122233</v>
      </c>
      <c r="CG234" s="15">
        <f t="shared" si="23"/>
        <v>5026.9739274350568</v>
      </c>
      <c r="CH234" s="6">
        <f t="shared" si="23"/>
        <v>0.19131909295833893</v>
      </c>
    </row>
    <row r="235" spans="1:92">
      <c r="A235" t="s">
        <v>316</v>
      </c>
      <c r="C235" s="5">
        <f t="shared" si="25"/>
        <v>1.171617654196536</v>
      </c>
      <c r="D235" s="16">
        <f t="shared" si="24"/>
        <v>4.5833333333333337E-2</v>
      </c>
      <c r="E235" s="3"/>
      <c r="F235" s="3" cm="1">
        <f t="array" ref="F235">SUMPRODUCT(IF($B$180:$B$229=$A235,$F$180:$F$229*$T$180:$T$229))/SUMIF($B$180:$B$229,$A235,$T$180:$T$229)</f>
        <v>165.08486120449018</v>
      </c>
      <c r="R235" s="3" cm="1">
        <f t="array" ref="R235">SUMPRODUCT(IF($B$180:$B$229=$A235,$R$180:$R$229*$T$180:$T$229))/SUMIF($B$180:$B$229,$A235,$T$180:$T$229)</f>
        <v>411.33415908266682</v>
      </c>
      <c r="S235" s="3" cm="1">
        <f t="array" ref="S235">SUMPRODUCT(IF($B$180:$B$229=$A235,$S$180:$S$229*$T$180:$T$229))/SUMIF($B$180:$B$229,$A235,$T$180:$T$229)</f>
        <v>439.73336636330669</v>
      </c>
      <c r="U235" s="9" cm="1">
        <f t="array" ref="U235">SUMPRODUCT(IF($B$180:$B$229=$A235,$U$180:$U$229*$T$180:$T$229))/SUMIF($B$180:$B$229,$A235,$T$180:$T$229)</f>
        <v>9.5565181687148892E-2</v>
      </c>
      <c r="V235" s="90">
        <f>AVERAGEIF($B$180:$B$229,$A235,$V$180:$V$229)</f>
        <v>4.6800000000000001E-3</v>
      </c>
      <c r="W235" s="12">
        <f>AVERAGEIF($B$180:$B$229,$A235,$W$180:$W$229)</f>
        <v>5.2999999999999999E-2</v>
      </c>
      <c r="X235" s="6">
        <v>3.6216999999999997</v>
      </c>
      <c r="Y235" s="4" cm="1">
        <f t="array" ref="Y235">SUMPRODUCT(IF($B$180:$B$229=$A235,Y$180:Y$229*AA$180:AA$229))/SUMIF($B$180:$B$229,$A235,AA$180:AA$229)</f>
        <v>12.00049648565324</v>
      </c>
      <c r="Z235" s="4" cm="1">
        <f t="array" ref="Z235">SUMPRODUCT(IF($B$180:$B$229=$A235,Z$180:Z$229*AB$180:AB$229))/SUMIF($B$180:$B$229,$A235,AB$180:AB$229)</f>
        <v>5.2626494940202395</v>
      </c>
      <c r="AA235" s="4"/>
      <c r="AB235" s="15">
        <f>AVERAGEIF($B$180:$B$229,$A235,$AB$180:$AB$229)</f>
        <v>1811.6666666666667</v>
      </c>
      <c r="AC235" s="15" cm="1">
        <f t="array" ref="AC235">SUMPRODUCT(IF($B$180:$B$229=$A235,AC$180:AC$229*AD$180:AD$229))/SUMIF($B$180:$B$229,$A235,AD$180:AD$229)</f>
        <v>55781.229681404424</v>
      </c>
      <c r="AD235" s="15"/>
      <c r="AE235" s="5">
        <f>AVERAGEIF($B$180:$B$229,$A235,$AE$180:$AE$229)</f>
        <v>1.2756302521008405</v>
      </c>
      <c r="AF235" s="15" cm="1">
        <f t="array" ref="AF235">SUMPRODUCT(IF($B$180:$B$229=$A235,AF$180:AF$229*AG$180:AG$229))/SUMIF($B$180:$B$229,$A235,AG$180:AG$229)</f>
        <v>67226.832524271842</v>
      </c>
      <c r="AG235" s="15"/>
      <c r="AH235" s="15" cm="1">
        <f t="array" ref="AH235">SUMPRODUCT(IF($B$180:$B$229=$A235,AH$180:AH$229*AI$180:AI$229))/SUMIF($B$180:$B$229,$A235,AI$180:AI$229)</f>
        <v>61752.857142857145</v>
      </c>
      <c r="AI235" s="15"/>
      <c r="AJ235" s="15" cm="1">
        <f t="array" ref="AJ235">SUMPRODUCT(IF($B$180:$B$229=$A235,AJ$180:AJ$229*AK$180:AK$229))/SUMIF($B$180:$B$229,$A235,AK$180:AK$229)</f>
        <v>55156.62162162162</v>
      </c>
      <c r="AK235" s="15"/>
      <c r="AL235" s="15" cm="1">
        <f t="array" ref="AL235">SUMPRODUCT(IF($B$180:$B$229=$A235,AL$180:AL$229*AM$180:AM$229))/SUMIF($B$180:$B$229,$A235,AM$180:AM$229)</f>
        <v>45743.462803445575</v>
      </c>
      <c r="AM235" s="15"/>
      <c r="AN235" s="15"/>
      <c r="AO235" s="15"/>
      <c r="AP235" s="15"/>
      <c r="AQ235" s="15"/>
      <c r="AR235" s="15"/>
      <c r="AS235" s="15"/>
      <c r="AT235" s="15"/>
      <c r="AU235" s="15"/>
      <c r="AV235" s="15"/>
      <c r="AW235" s="15"/>
      <c r="AX235" s="15"/>
      <c r="AY235" s="15"/>
      <c r="AZ235" s="15"/>
      <c r="BA235" s="15"/>
      <c r="BB235" s="15"/>
      <c r="BC235" s="15"/>
      <c r="BD235" s="15"/>
      <c r="BE235" s="15"/>
      <c r="BF235" s="15"/>
      <c r="BG235" s="15"/>
      <c r="BH235" s="15"/>
      <c r="BI235" s="15"/>
      <c r="BJ235" s="15"/>
      <c r="BK235" s="15"/>
      <c r="BL235" s="15"/>
      <c r="BM235" s="15"/>
      <c r="BN235" s="3" cm="1">
        <f t="array" ref="BN235">SUMPRODUCT(IF($B$180:$B$229=$A235,BN$180:BN$229*BO$180:BO$229))/SUMIF($B$180:$B$229,$A235,BO$180:BO$229)</f>
        <v>55.734287886467307</v>
      </c>
      <c r="BO235" s="3">
        <f>SUMIF($B$180:$B$229,$A235,$BO$180:$BO$229)</f>
        <v>3946</v>
      </c>
      <c r="BQ235" s="1" cm="1">
        <f t="array" ref="BQ235">SUMPRODUCT(IF($B$180:$B$229=$A235,BQ$180:BQ$229*BO$180:BO$229))/SUMIF($B$180:$B$229,$A235,BO$180:BO$229)</f>
        <v>1.1150532184490624E-2</v>
      </c>
      <c r="BR235" s="85">
        <f t="shared" si="22"/>
        <v>0.156</v>
      </c>
      <c r="BS235" s="85">
        <f t="shared" si="22"/>
        <v>4.2000000000000003E-2</v>
      </c>
      <c r="BT235" s="85">
        <f t="shared" si="22"/>
        <v>1.1000000000000001E-2</v>
      </c>
      <c r="BU235" s="85">
        <f t="shared" si="22"/>
        <v>7.5999999999999998E-2</v>
      </c>
      <c r="BV235" s="85">
        <f t="shared" si="22"/>
        <v>2.3000000000000003E-2</v>
      </c>
      <c r="BW235" s="85"/>
      <c r="BX235" s="87"/>
      <c r="BY235" s="87"/>
      <c r="BZ235" s="87"/>
      <c r="CA235" s="87"/>
      <c r="CB235" s="87"/>
      <c r="CC235" s="87"/>
      <c r="CD235" s="87"/>
      <c r="CE235" s="4">
        <f t="shared" si="23"/>
        <v>11.623369468532948</v>
      </c>
      <c r="CF235" s="4">
        <f t="shared" si="23"/>
        <v>0.57761191170443282</v>
      </c>
      <c r="CG235" s="15">
        <f t="shared" si="23"/>
        <v>5010.9728851568107</v>
      </c>
      <c r="CH235" s="6">
        <f t="shared" si="23"/>
        <v>0.20591707774459356</v>
      </c>
    </row>
    <row r="236" spans="1:92">
      <c r="A236" t="s">
        <v>314</v>
      </c>
      <c r="C236" s="5">
        <f t="shared" si="25"/>
        <v>0.87794263877246903</v>
      </c>
      <c r="D236" s="16">
        <f t="shared" si="24"/>
        <v>5.6000000000000001E-2</v>
      </c>
      <c r="E236" s="3"/>
      <c r="F236" s="3" cm="1">
        <f t="array" ref="F236">SUMPRODUCT(IF($B$180:$B$229=$A236,$F$180:$F$229*$T$180:$T$229))/SUMIF($B$180:$B$229,$A236,$T$180:$T$229)</f>
        <v>399.75963143734123</v>
      </c>
      <c r="R236" s="3" cm="1">
        <f t="array" ref="R236">SUMPRODUCT(IF($B$180:$B$229=$A236,$R$180:$R$229*$T$180:$T$229))/SUMIF($B$180:$B$229,$A236,$T$180:$T$229)</f>
        <v>643.32244269085845</v>
      </c>
      <c r="S236" s="3" cm="1">
        <f t="array" ref="S236">SUMPRODUCT(IF($B$180:$B$229=$A236,$S$180:$S$229*$T$180:$T$229))/SUMIF($B$180:$B$229,$A236,$T$180:$T$229)</f>
        <v>680.38236132378029</v>
      </c>
      <c r="U236" s="9" cm="1">
        <f t="array" ref="U236">SUMPRODUCT(IF($B$180:$B$229=$A236,$U$180:$U$229*$T$180:$T$229))/SUMIF($B$180:$B$229,$A236,$T$180:$T$229)</f>
        <v>5.6460717092349795E-2</v>
      </c>
      <c r="V236" s="90">
        <f>AVERAGEIF($B$180:$B$229,$A236,$V$180:$V$229)</f>
        <v>3.2928571428571429E-3</v>
      </c>
      <c r="W236" s="12">
        <f>AVERAGEIF($B$180:$B$229,$A236,$W$180:$W$229)</f>
        <v>3.7999999999999999E-2</v>
      </c>
      <c r="X236" s="6">
        <v>3.0587999999999997</v>
      </c>
      <c r="Y236" s="4" cm="1">
        <f t="array" ref="Y236">SUMPRODUCT(IF($B$180:$B$229=$A236,Y$180:Y$229*AA$180:AA$229))/SUMIF($B$180:$B$229,$A236,AA$180:AA$229)</f>
        <v>17.461542240438693</v>
      </c>
      <c r="Z236" s="4" cm="1">
        <f t="array" ref="Z236">SUMPRODUCT(IF($B$180:$B$229=$A236,Z$180:Z$229*AB$180:AB$229))/SUMIF($B$180:$B$229,$A236,AB$180:AB$229)</f>
        <v>4.9910517621145374</v>
      </c>
      <c r="AA236" s="4"/>
      <c r="AB236" s="15">
        <f>AVERAGEIF($B$180:$B$229,$A236,$AB$180:$AB$229)</f>
        <v>2594.2857142857142</v>
      </c>
      <c r="AC236" s="15" cm="1">
        <f t="array" ref="AC236">SUMPRODUCT(IF($B$180:$B$229=$A236,AC$180:AC$229*AD$180:AD$229))/SUMIF($B$180:$B$229,$A236,AD$180:AD$229)</f>
        <v>49572.596138460714</v>
      </c>
      <c r="AD236" s="15"/>
      <c r="AE236" s="5">
        <f>AVERAGEIF($B$180:$B$229,$A236,$AE$180:$AE$229)</f>
        <v>1.3144266416327166</v>
      </c>
      <c r="AF236" s="15" cm="1">
        <f t="array" ref="AF236">SUMPRODUCT(IF($B$180:$B$229=$A236,AF$180:AF$229*AG$180:AG$229))/SUMIF($B$180:$B$229,$A236,AG$180:AG$229)</f>
        <v>59237.504065040652</v>
      </c>
      <c r="AG236" s="15"/>
      <c r="AH236" s="15" cm="1">
        <f t="array" ref="AH236">SUMPRODUCT(IF($B$180:$B$229=$A236,AH$180:AH$229*AI$180:AI$229))/SUMIF($B$180:$B$229,$A236,AI$180:AI$229)</f>
        <v>60536.415094339623</v>
      </c>
      <c r="AI236" s="15"/>
      <c r="AJ236" s="15" cm="1">
        <f t="array" ref="AJ236">SUMPRODUCT(IF($B$180:$B$229=$A236,AJ$180:AJ$229*AK$180:AK$229))/SUMIF($B$180:$B$229,$A236,AK$180:AK$229)</f>
        <v>59842.796296296299</v>
      </c>
      <c r="AK236" s="15"/>
      <c r="AL236" s="15" cm="1">
        <f t="array" ref="AL236">SUMPRODUCT(IF($B$180:$B$229=$A236,AL$180:AL$229*AM$180:AM$229))/SUMIF($B$180:$B$229,$A236,AM$180:AM$229)</f>
        <v>40495.336419131949</v>
      </c>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3" cm="1">
        <f t="array" ref="BN236">SUMPRODUCT(IF($B$180:$B$229=$A236,BN$180:BN$229*BO$180:BO$229))/SUMIF($B$180:$B$229,$A236,BO$180:BO$229)</f>
        <v>57.545579842878659</v>
      </c>
      <c r="BO236" s="3">
        <f>SUMIF($B$180:$B$229,$A236,$BO$180:$BO$229)</f>
        <v>8189</v>
      </c>
      <c r="BQ236" s="1" cm="1">
        <f t="array" ref="BQ236">SUMPRODUCT(IF($B$180:$B$229=$A236,BQ$180:BQ$229*BO$180:BO$229))/SUMIF($B$180:$B$229,$A236,BO$180:BO$229)</f>
        <v>7.3269019416290146E-3</v>
      </c>
      <c r="BR236" s="85">
        <f t="shared" si="22"/>
        <v>0.17328571428571424</v>
      </c>
      <c r="BS236" s="85">
        <f t="shared" si="22"/>
        <v>4.2857142857142851E-2</v>
      </c>
      <c r="BT236" s="85">
        <f t="shared" si="22"/>
        <v>1.6285714285714285E-2</v>
      </c>
      <c r="BU236" s="85">
        <f t="shared" si="22"/>
        <v>9.2142857142857124E-2</v>
      </c>
      <c r="BV236" s="85">
        <f t="shared" si="22"/>
        <v>2.9714285714285714E-2</v>
      </c>
      <c r="BW236" s="85"/>
      <c r="BX236" s="87"/>
      <c r="BY236" s="87"/>
      <c r="BZ236" s="87"/>
      <c r="CA236" s="87"/>
      <c r="CB236" s="87"/>
      <c r="CC236" s="87"/>
      <c r="CD236" s="87"/>
      <c r="CE236" s="4">
        <f t="shared" si="23"/>
        <v>11.435178673798008</v>
      </c>
      <c r="CF236" s="4">
        <f t="shared" si="23"/>
        <v>0.65205091744415866</v>
      </c>
      <c r="CG236" s="15">
        <f t="shared" si="23"/>
        <v>4634.8086002193204</v>
      </c>
      <c r="CH236" s="6">
        <f t="shared" si="23"/>
        <v>0.16311656355784312</v>
      </c>
    </row>
    <row r="237" spans="1:92">
      <c r="F237" s="3"/>
      <c r="R237" s="3"/>
      <c r="S237" s="3"/>
      <c r="BX237" s="3"/>
      <c r="BY237" s="3"/>
      <c r="BZ237" s="3"/>
      <c r="CA237" s="3"/>
      <c r="CB237" s="3"/>
      <c r="CC237" s="3"/>
      <c r="CD237" s="3"/>
      <c r="CE237" s="3"/>
      <c r="CF237" s="3"/>
    </row>
    <row r="238" spans="1:92">
      <c r="A238" t="s">
        <v>371</v>
      </c>
      <c r="C238" t="s">
        <v>379</v>
      </c>
      <c r="D238" t="s">
        <v>528</v>
      </c>
      <c r="F238" t="s">
        <v>1100</v>
      </c>
      <c r="R238" t="s">
        <v>1101</v>
      </c>
      <c r="S238" t="s">
        <v>1102</v>
      </c>
      <c r="U238" t="s">
        <v>450</v>
      </c>
      <c r="V238" t="s">
        <v>951</v>
      </c>
      <c r="W238" t="s">
        <v>949</v>
      </c>
      <c r="X238" t="s">
        <v>448</v>
      </c>
      <c r="Y238" t="s">
        <v>401</v>
      </c>
      <c r="Z238" t="s">
        <v>599</v>
      </c>
      <c r="AB238" t="s">
        <v>543</v>
      </c>
      <c r="AC238" t="s">
        <v>404</v>
      </c>
      <c r="AE238" t="s">
        <v>883</v>
      </c>
      <c r="AF238" t="s">
        <v>406</v>
      </c>
      <c r="AH238" t="s">
        <v>412</v>
      </c>
      <c r="AJ238" t="s">
        <v>410</v>
      </c>
      <c r="AL238" t="s">
        <v>829</v>
      </c>
      <c r="BN238" t="s">
        <v>441</v>
      </c>
      <c r="BO238" t="s">
        <v>640</v>
      </c>
      <c r="BQ238" t="s">
        <v>643</v>
      </c>
      <c r="BR238" t="s">
        <v>821</v>
      </c>
      <c r="BS238" t="s">
        <v>822</v>
      </c>
      <c r="BT238" t="s">
        <v>827</v>
      </c>
      <c r="BU238" t="s">
        <v>823</v>
      </c>
      <c r="BV238" t="s">
        <v>824</v>
      </c>
      <c r="BX238" s="3"/>
      <c r="BY238" s="3"/>
      <c r="BZ238" s="3"/>
      <c r="CA238" s="3"/>
      <c r="CB238" s="3"/>
      <c r="CC238" s="3"/>
      <c r="CD238" s="3"/>
      <c r="CE238" t="s">
        <v>933</v>
      </c>
      <c r="CF238" t="s">
        <v>986</v>
      </c>
      <c r="CG238" t="s">
        <v>943</v>
      </c>
      <c r="CH238" t="s">
        <v>944</v>
      </c>
    </row>
    <row r="239" spans="1:92">
      <c r="A239" t="s">
        <v>203</v>
      </c>
      <c r="C239" s="5">
        <v>1</v>
      </c>
      <c r="D239" s="16">
        <f>AVERAGEIF(B180:B229,"&lt;&gt;NA",D180:D229)</f>
        <v>5.2062500000000005E-2</v>
      </c>
      <c r="E239" s="3"/>
      <c r="F239" s="3" cm="1">
        <f t="array" ref="F239">SUMPRODUCT(IF($B$180:$B$229&lt;&gt;"NA",F$180:F$229*T$180:T$229))/SUMIF($B$180:$B$229,"&lt;&gt;NA",T$180:T$229)</f>
        <v>388.37620530611878</v>
      </c>
      <c r="R239" s="3">
        <f>Q177</f>
        <v>547</v>
      </c>
      <c r="S239" s="3">
        <f>Q178</f>
        <v>586</v>
      </c>
      <c r="U239" s="6">
        <v>6.8099999999999994E-2</v>
      </c>
      <c r="V239" s="90">
        <f>AVERAGE(V180:V229)</f>
        <v>3.1457999999999998E-3</v>
      </c>
      <c r="W239" s="12">
        <v>4.1000000000000002E-2</v>
      </c>
      <c r="X239" s="19">
        <v>3.2469000000000001</v>
      </c>
      <c r="Y239" s="4" cm="1">
        <f t="array" ref="Y239">SUMPRODUCT(IF($B$180:$B$229&lt;&gt;"NA",Y$180:Y$229*AA$180:AA$229))/SUMIF($B$180:$B$229,"&lt;&gt;NA",AA$180:AA$229)</f>
        <v>11.975189223672025</v>
      </c>
      <c r="Z239" s="4" cm="1">
        <f t="array" ref="Z239">SUMPRODUCT(IF($B$180:$B$229&lt;&gt;"NA",Z$180:Z$229*AA$180:AA$229))/SUMIF($B$180:$B$229,"&lt;&gt;NA",AA$180:AA$229)</f>
        <v>4.7809346598808702</v>
      </c>
      <c r="AA239" s="4"/>
      <c r="AB239" s="15">
        <v>1760</v>
      </c>
      <c r="AC239" s="15" cm="1">
        <f t="array" ref="AC239">SUMPRODUCT(IF($B$180:$B$229&lt;&gt;"NA",AC$180:AC$229*AD$180:AD$229))/SUMIF($B$180:$B$229,"&lt;&gt;NA",AD$180:AD$229)</f>
        <v>53070.288810856211</v>
      </c>
      <c r="AD239" s="15"/>
      <c r="AE239" s="5">
        <v>1.2436280254673089</v>
      </c>
      <c r="AF239" s="15" cm="1">
        <f t="array" ref="AF239">SUMPRODUCT(IF($B$180:$B$229&lt;&gt;"NA",AF$180:AF$229*AG$180:AG$229))/SUMIF($B$180:$B$229,"&lt;&gt;NA",AG$180:AG$229)</f>
        <v>64957.63222494979</v>
      </c>
      <c r="AG239" s="15"/>
      <c r="AH239" s="15" cm="1">
        <f t="array" ref="AH239">SUMPRODUCT(IF($B$180:$B$229&lt;&gt;"NA",AH$180:AH$229*AI$180:AI$229))/SUMIF($B$180:$B$229,"&lt;&gt;NA",AI$180:AI$229)</f>
        <v>60049.845201238393</v>
      </c>
      <c r="AI239" s="15"/>
      <c r="AJ239" s="15" cm="1">
        <f t="array" ref="AJ239">SUMPRODUCT(IF($B$180:$B$229&lt;&gt;"NA",AJ$180:AJ$229*AK$180:AK$229))/SUMIF($B$180:$B$229,"&lt;&gt;NA",AK$180:AK$229)</f>
        <v>57900.16112789527</v>
      </c>
      <c r="AK239" s="15"/>
      <c r="AL239" s="15" cm="1">
        <f t="array" ref="AL239">SUMPRODUCT(IF($B$180:$B$229&lt;&gt;"NA",AL$180:AL$229*AM$180:AM$229))/SUMIF($B$180:$B$229,"&lt;&gt;NA",AM$180:AM$229)</f>
        <v>43217.79345010643</v>
      </c>
      <c r="AM239" s="15"/>
      <c r="AN239" s="15"/>
      <c r="AO239" s="15"/>
      <c r="AP239" s="15"/>
      <c r="AQ239" s="15"/>
      <c r="AR239" s="15"/>
      <c r="AS239" s="15"/>
      <c r="AT239" s="15"/>
      <c r="AU239" s="15"/>
      <c r="AV239" s="15"/>
      <c r="AW239" s="15"/>
      <c r="AX239" s="15"/>
      <c r="AY239" s="15"/>
      <c r="AZ239" s="15"/>
      <c r="BA239" s="15"/>
      <c r="BB239" s="15"/>
      <c r="BC239" s="15"/>
      <c r="BD239" s="15"/>
      <c r="BE239" s="15"/>
      <c r="BF239" s="15"/>
      <c r="BG239" s="15"/>
      <c r="BH239" s="15"/>
      <c r="BI239" s="15"/>
      <c r="BJ239" s="15"/>
      <c r="BK239" s="15"/>
      <c r="BL239" s="15"/>
      <c r="BM239" s="15"/>
      <c r="BN239" s="3" cm="1">
        <f t="array" ref="BN239">SUMPRODUCT(IF($B$180:$B$229&lt;&gt;"NA",BN$180:BN$229*BO$180:BO$229))/SUMIF($B$180:$B$229,"&lt;&gt;NA",BO$180:BO$229)</f>
        <v>56.793080059976937</v>
      </c>
      <c r="BO239" s="3">
        <f>SUMIF(B180:B229,"&lt;&gt;NA",BO180:BO229)</f>
        <v>45319</v>
      </c>
      <c r="BQ239" s="1" cm="1">
        <f t="array" ref="BQ239">SUMPRODUCT(IF($B$180:$B$229&lt;&gt;"NA",BQ$180:BQ$229*BO$180:BO$229))/SUMIF($B$180:$B$229,"&lt;&gt;NA",BO$180:BO$229)</f>
        <v>8.892517487146671E-3</v>
      </c>
      <c r="BR239" s="9">
        <v>0.17499999999999999</v>
      </c>
      <c r="BS239" s="9">
        <v>4.1000000000000002E-2</v>
      </c>
      <c r="BT239" s="9">
        <f>0.016</f>
        <v>1.6E-2</v>
      </c>
      <c r="BU239" s="9">
        <v>8.5999999999999993E-2</v>
      </c>
      <c r="BV239" s="9">
        <f>0.032</f>
        <v>3.2000000000000001E-2</v>
      </c>
      <c r="BW239" s="9"/>
      <c r="BX239" s="3"/>
      <c r="BY239" s="3"/>
      <c r="BZ239" s="3"/>
      <c r="CA239" s="3"/>
      <c r="CB239" s="3"/>
      <c r="CC239" s="3"/>
      <c r="CD239" s="3"/>
      <c r="CE239" s="4">
        <f>C897</f>
        <v>11.141891630028415</v>
      </c>
      <c r="CF239" s="4">
        <f>E897</f>
        <v>0.51747783166846895</v>
      </c>
      <c r="CG239" s="15">
        <f>H897</f>
        <v>4028.2153231456896</v>
      </c>
      <c r="CH239" s="6">
        <f>F897</f>
        <v>0.1493238085238433</v>
      </c>
    </row>
    <row r="240" spans="1:92">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X240" s="3"/>
      <c r="BY240" s="3"/>
      <c r="BZ240" s="3"/>
      <c r="CA240" s="3"/>
      <c r="CB240" s="3"/>
      <c r="CC240" s="3"/>
      <c r="CD240" s="3"/>
      <c r="CE240" s="3"/>
      <c r="CF240" s="3"/>
    </row>
    <row r="241" spans="1:86">
      <c r="A241" t="s">
        <v>378</v>
      </c>
      <c r="C241" t="s">
        <v>379</v>
      </c>
      <c r="D241" t="s">
        <v>528</v>
      </c>
      <c r="F241" t="s">
        <v>1100</v>
      </c>
      <c r="R241" t="s">
        <v>1101</v>
      </c>
      <c r="S241" t="s">
        <v>1102</v>
      </c>
      <c r="U241" t="s">
        <v>450</v>
      </c>
      <c r="V241" t="str">
        <f>"Water Rate ("&amp;B128&amp;"$/gal)"</f>
        <v>Water Rate (2024$/gal)</v>
      </c>
      <c r="W241" t="s">
        <v>949</v>
      </c>
      <c r="X241" t="s">
        <v>448</v>
      </c>
      <c r="Y241" t="s">
        <v>401</v>
      </c>
      <c r="Z241" t="s">
        <v>599</v>
      </c>
      <c r="AB241" t="s">
        <v>543</v>
      </c>
      <c r="AC241" t="s">
        <v>404</v>
      </c>
      <c r="AE241" t="s">
        <v>883</v>
      </c>
      <c r="AF241" t="s">
        <v>406</v>
      </c>
      <c r="AH241" t="s">
        <v>412</v>
      </c>
      <c r="AJ241" t="s">
        <v>410</v>
      </c>
      <c r="AL241" t="s">
        <v>829</v>
      </c>
      <c r="BN241" t="s">
        <v>441</v>
      </c>
      <c r="BO241" t="s">
        <v>640</v>
      </c>
      <c r="BQ241" t="s">
        <v>643</v>
      </c>
      <c r="BR241" t="str">
        <f>"Repair &amp; Maitenance ("&amp;$B$128&amp;"$/mi)"</f>
        <v>Repair &amp; Maitenance (2024$/mi)</v>
      </c>
      <c r="BS241" t="str">
        <f>"Tires ("&amp;$B$128&amp;"$/mi)"</f>
        <v>Tires (2024$/mi)</v>
      </c>
      <c r="BT241" t="str">
        <f>"Permits &amp; Licenses ("&amp;$B$128&amp;"$/mi)"</f>
        <v>Permits &amp; Licenses (2024$/mi)</v>
      </c>
      <c r="BU241" t="str">
        <f>"Insurance ("&amp;$B$128&amp;"$/mi)"</f>
        <v>Insurance (2024$/mi)</v>
      </c>
      <c r="BV241" t="str">
        <f>"Tolls ("&amp;$B$128&amp;"$/mi)"</f>
        <v>Tolls (2024$/mi)</v>
      </c>
      <c r="BX241" s="3"/>
      <c r="BY241" s="3"/>
      <c r="BZ241" s="3"/>
      <c r="CA241" s="3"/>
      <c r="CB241" s="3"/>
      <c r="CC241" s="3"/>
      <c r="CD241" s="3"/>
      <c r="CE241" t="s">
        <v>933</v>
      </c>
      <c r="CF241" t="s">
        <v>933</v>
      </c>
      <c r="CG241" t="str">
        <f>"Rail Base Rate ("&amp;$B$128&amp;"$/car)"</f>
        <v>Rail Base Rate (2024$/car)</v>
      </c>
      <c r="CH241" t="str">
        <f>"Rail Fuel Surcharge ("&amp;$B$128&amp;"$/mi)"</f>
        <v>Rail Fuel Surcharge (2024$/mi)</v>
      </c>
    </row>
    <row r="242" spans="1:86">
      <c r="A242" s="41" t="str">
        <f>'User Interface'!B7</f>
        <v>California</v>
      </c>
      <c r="C242" s="5">
        <f>IF('User Interface'!$B$6=Options!$S$4,Calculations!C$239,IF('User Interface'!$B$6=Options!$S$5,LOOKUP('User Interface'!$B$7,Calculations!$A$232:$A$236,Calculations!C$232:C$236),LOOKUP('User Interface'!$B$7,Calculations!$A$180:$A$229,Calculations!C$180:C$229)))</f>
        <v>1.2046137152777747</v>
      </c>
      <c r="D242" s="16">
        <f>IF('User Interface'!$B$6=Options!$S$4,Calculations!D$239,IF('User Interface'!$B$6=Options!$S$5,LOOKUP('User Interface'!$B$7,Calculations!$A$232:$A$236,Calculations!D$232:D$236),LOOKUP('User Interface'!$B$7,Calculations!$A$180:$A$229,Calculations!D$180:D$229)))</f>
        <v>7.2499999999999995E-2</v>
      </c>
      <c r="F242" s="3">
        <f>IF('User Interface'!$B$6=Options!$S$4,Calculations!F$239,IF('User Interface'!$B$6=Options!$S$5,LOOKUP('User Interface'!$B$7,Calculations!$A$232:$A$236,Calculations!F$232:F$236),LOOKUP('User Interface'!$B$7,Calculations!$A$180:$A$229,Calculations!F$180:F$229)))</f>
        <v>218.17818943854272</v>
      </c>
      <c r="R242" s="3">
        <f>IF('User Interface'!$B$6=Options!$S$4,Calculations!R$239,IF('User Interface'!$B$6=Options!$S$5,LOOKUP('User Interface'!$B$7,Calculations!$A$232:$A$236,Calculations!R$232:R$236),LOOKUP('User Interface'!$B$7,Calculations!$A$180:$A$229,Calculations!R$180:R$229)))</f>
        <v>405.5</v>
      </c>
      <c r="S242" s="3">
        <f>IF('User Interface'!$B$6=Options!$S$4,Calculations!S$239,IF('User Interface'!$B$6=Options!$S$5,LOOKUP('User Interface'!$B$7,Calculations!$A$232:$A$236,Calculations!S$232:S$236),LOOKUP('User Interface'!$B$7,Calculations!$A$180:$A$229,Calculations!S$180:S$229)))</f>
        <v>439.5</v>
      </c>
      <c r="T242" s="3"/>
      <c r="U242" s="6">
        <f>IF('User Interface'!$B$6=Options!$S$4,Calculations!U$239,IF('User Interface'!$B$6=Options!$S$5,LOOKUP('User Interface'!$B$7,Calculations!$A$232:$A$236,Calculations!U$232:U$236),LOOKUP('User Interface'!$B$7,Calculations!$A$180:$A$229,Calculations!U$180:U$229)))*B150</f>
        <v>0.1501353521359399</v>
      </c>
      <c r="V242" s="90">
        <f>IF('User Interface'!$B$6=Options!$S$4,Calculations!V$239,IF('User Interface'!$B$6=Options!$S$5,LOOKUP('User Interface'!$B$7,Calculations!$A$232:$A$236,Calculations!V$232:V$236),LOOKUP('User Interface'!$B$7,Calculations!$A$180:$A$229,Calculations!V$180:V$229)))*((1+W242)^($B$128-2015))</f>
        <v>7.4490552204011908E-3</v>
      </c>
      <c r="W242" s="12">
        <f>IF('User Interface'!$B$6=Options!$S$4,Calculations!W$239,IF('User Interface'!$B$6=Options!$S$5,LOOKUP('User Interface'!$B$7,Calculations!$A$232:$A$236,Calculations!W$232:W$236),LOOKUP('User Interface'!$B$7,Calculations!$A$180:$A$229,Calculations!W$180:W$229)))</f>
        <v>5.2999999999999999E-2</v>
      </c>
      <c r="X242" s="6">
        <f>IF('User Interface'!$B$6=Options!$S$4,Calculations!X$239,IF('User Interface'!$B$6=Options!$S$5,LOOKUP('User Interface'!$B$7,Calculations!$A$232:$A$236,Calculations!X$232:X$236),LOOKUP('User Interface'!$B$7,Calculations!$A$180:$A$229,Calculations!X$180:X$229)))*B153</f>
        <v>4.0010896727999983</v>
      </c>
      <c r="Y242" s="4">
        <f>IF('User Interface'!$B$6=Options!$S$4,Calculations!Y$239,IF('User Interface'!$B$6=Options!$S$5,LOOKUP('User Interface'!$B$7,Calculations!$A$232:$A$236,Calculations!Y$232:Y$236),LOOKUP('User Interface'!$B$7,Calculations!$A$180:$A$229,Calculations!Y$180:Y$229)))</f>
        <v>15.3</v>
      </c>
      <c r="Z242" s="4">
        <f>IF('User Interface'!$B$6=Options!$S$4,Calculations!Z$239,IF('User Interface'!$B$6=Options!$S$5,LOOKUP('User Interface'!$B$7,Calculations!$A$232:$A$236,Calculations!Z$232:Z$236),LOOKUP('User Interface'!$B$7,Calculations!$A$180:$A$229,Calculations!Z$180:Z$229)))</f>
        <v>5.75</v>
      </c>
      <c r="AA242" s="4"/>
      <c r="AB242" s="15">
        <f>IF('User Interface'!$B$6=Options!$S$4,Calculations!AB$239,IF('User Interface'!$B$6=Options!$S$5,LOOKUP('User Interface'!$B$7,Calculations!$A$232:$A$236,Calculations!AB$232:AB$236),LOOKUP('User Interface'!$B$7,Calculations!$A$180:$A$229,Calculations!AB$180:AB$229)))</f>
        <v>3650</v>
      </c>
      <c r="AC242" s="15">
        <f>IF('User Interface'!$B$6=Options!$S$4,Calculations!AC$239,IF('User Interface'!$B$6=Options!$S$5,LOOKUP('User Interface'!$B$7,Calculations!$A$232:$A$236,Calculations!AC$232:AC$236),LOOKUP('User Interface'!$B$7,Calculations!$A$180:$A$229,Calculations!AC$180:AC$229)))*B153</f>
        <v>57402.115649999992</v>
      </c>
      <c r="AD242" s="15"/>
      <c r="AE242" s="5">
        <f>IF('User Interface'!$B$6=Options!$S$4,Calculations!AE$239,IF('User Interface'!$B$6=Options!$S$5,LOOKUP('User Interface'!$B$7,Calculations!$A$232:$A$236,Calculations!AE$232:AE$236),LOOKUP('User Interface'!$B$7,Calculations!$A$180:$A$229,Calculations!AE$180:AE$229)))</f>
        <v>1.2756302521008405</v>
      </c>
      <c r="AF242" s="15">
        <f>IF('User Interface'!$B$6=Options!$S$4,Calculations!AF$239,IF('User Interface'!$B$6=Options!$S$5,LOOKUP('User Interface'!$B$7,Calculations!$A$232:$A$236,Calculations!AF$232:AF$236),LOOKUP('User Interface'!$B$7,Calculations!$A$180:$A$229,Calculations!AF$180:AF$229)))*B153</f>
        <v>65648.764169999995</v>
      </c>
      <c r="AG242" s="15"/>
      <c r="AH242" s="15">
        <f>IF('User Interface'!$B$6=Options!$S$4,Calculations!AH$239,IF('User Interface'!$B$6=Options!$S$5,LOOKUP('User Interface'!$B$7,Calculations!$A$232:$A$236,Calculations!AH$232:AH$236),LOOKUP('User Interface'!$B$7,Calculations!$A$180:$A$229,Calculations!AH$180:AH$229)))*B153</f>
        <v>65272.013729999991</v>
      </c>
      <c r="AI242" s="15"/>
      <c r="AJ242" s="15">
        <f>IF('User Interface'!$B$6=Options!$S$4,Calculations!AJ$239,IF('User Interface'!$B$6=Options!$S$5,LOOKUP('User Interface'!$B$7,Calculations!$A$232:$A$236,Calculations!AJ$232:AJ$236),LOOKUP('User Interface'!$B$7,Calculations!$A$180:$A$229,Calculations!AJ$180:AJ$229)))*B153</f>
        <v>58113.755369999992</v>
      </c>
      <c r="AK242" s="15"/>
      <c r="AL242" s="15">
        <f>IF('User Interface'!$B$6=Options!$S$4,Calculations!AL$239,IF('User Interface'!$B$6=Options!$S$5,LOOKUP('User Interface'!$B$7,Calculations!$A$232:$A$236,Calculations!AL$232:AL$236),LOOKUP('User Interface'!$B$7,Calculations!$A$180:$A$229,Calculations!AL$180:AL$229)))*B153</f>
        <v>47763.583559999992</v>
      </c>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c r="BK242" s="15"/>
      <c r="BL242" s="15"/>
      <c r="BM242" s="15"/>
      <c r="BN242" s="3">
        <f>IF('User Interface'!$B$6=Options!$S$4,Calculations!BN$239,IF('User Interface'!$B$6=Options!$S$5,LOOKUP('User Interface'!$B$7,Calculations!$A$232:$A$236,Calculations!BN$232:BN$236),LOOKUP('User Interface'!$B$7,Calculations!$A$180:$A$229,Calculations!BN$180:BN$229)))</f>
        <v>56.64</v>
      </c>
      <c r="BO242" s="3">
        <f>IF('User Interface'!$B$6=Options!$S$4,Calculations!BO$239,IF('User Interface'!$B$6=Options!$S$5,LOOKUP('User Interface'!$B$7,Calculations!$A$232:$A$236,Calculations!BO$232:BO$236),LOOKUP('User Interface'!$B$7,Calculations!$A$180:$A$229,Calculations!BO$180:BO$229)))</f>
        <v>2455</v>
      </c>
      <c r="BP242" s="3"/>
      <c r="BQ242" s="1">
        <f>IF('User Interface'!$B$6=Options!$S$4,Calculations!BQ$239,IF('User Interface'!$B$6=Options!$S$5,LOOKUP('User Interface'!$B$7,Calculations!$A$232:$A$236,Calculations!BQ$232:BQ$236),LOOKUP('User Interface'!$B$7,Calculations!$A$180:$A$229,Calculations!BQ$180:BQ$229)))</f>
        <v>8.1466395112016286E-3</v>
      </c>
      <c r="BR242" s="9">
        <f>IF('User Interface'!$B$6=Options!$S$4,Calculations!BR$239,IF('User Interface'!$B$6=Options!$S$5,LOOKUP('User Interface'!$B$7,Calculations!$A$232:$A$236,Calculations!BR$232:BR$236),LOOKUP('User Interface'!$B$7,Calculations!$A$180:$A$229,Calculations!BR$180:BR$229)))*$B$152</f>
        <v>0.16701347005199996</v>
      </c>
      <c r="BS242" s="9">
        <f>IF('User Interface'!$B$6=Options!$S$4,Calculations!BS$239,IF('User Interface'!$B$6=Options!$S$5,LOOKUP('User Interface'!$B$7,Calculations!$A$232:$A$236,Calculations!BS$232:BS$236),LOOKUP('User Interface'!$B$7,Calculations!$A$180:$A$229,Calculations!BS$180:BS$229)))*$B$152</f>
        <v>4.496516501399999E-2</v>
      </c>
      <c r="BT242" s="9">
        <f>IF('User Interface'!$B$6=Options!$S$4,Calculations!BT$239,IF('User Interface'!$B$6=Options!$S$5,LOOKUP('User Interface'!$B$7,Calculations!$A$232:$A$236,Calculations!BT$232:BT$236),LOOKUP('User Interface'!$B$7,Calculations!$A$180:$A$229,Calculations!BT$180:BT$229)))*$B$152</f>
        <v>1.1776590836999995E-2</v>
      </c>
      <c r="BU242" s="9">
        <f>IF('User Interface'!$B$6=Options!$S$4,Calculations!BU$239,IF('User Interface'!$B$6=Options!$S$5,LOOKUP('User Interface'!$B$7,Calculations!$A$232:$A$236,Calculations!BU$232:BU$236),LOOKUP('User Interface'!$B$7,Calculations!$A$180:$A$229,Calculations!BU$180:BU$229)))*$B$152</f>
        <v>8.1365536691999973E-2</v>
      </c>
      <c r="BV242" s="9">
        <f>IF('User Interface'!$B$6=Options!$S$4,Calculations!BV$239,IF('User Interface'!$B$6=Options!$S$5,LOOKUP('User Interface'!$B$7,Calculations!$A$232:$A$236,Calculations!BV$232:BV$236),LOOKUP('User Interface'!$B$7,Calculations!$A$180:$A$229,Calculations!BV$180:BV$229)))*$B$152</f>
        <v>2.4623780840999993E-2</v>
      </c>
      <c r="BW242" s="9"/>
      <c r="BX242" s="3"/>
      <c r="BY242" s="3"/>
      <c r="BZ242" s="3"/>
      <c r="CA242" s="3"/>
      <c r="CB242" s="3"/>
      <c r="CC242" s="3"/>
      <c r="CD242" s="3"/>
      <c r="CE242" s="4">
        <f>IF('User Interface'!$B$6=Options!$S$4,Calculations!CE$239,IF('User Interface'!$B$6=Options!$S$5,LOOKUP('User Interface'!$B$7,Calculations!$A$232:$A$236,Calculations!CE$232:CE$236),LOOKUP('User Interface'!$B$7,Calculations!$A$180:$A$229,Calculations!CE$180:CE$229)))</f>
        <v>11.611488125602412</v>
      </c>
      <c r="CF242" s="4">
        <f>IF('User Interface'!$B$6=Options!$S$4,Calculations!CF$239,IF('User Interface'!$B$6=Options!$S$5,LOOKUP('User Interface'!$B$7,Calculations!$A$232:$A$236,Calculations!CF$232:CF$236),LOOKUP('User Interface'!$B$7,Calculations!$A$180:$A$229,Calculations!CF$180:CF$229)))</f>
        <v>0.5724713816622935</v>
      </c>
      <c r="CG242" s="15">
        <f>IF('User Interface'!$B$6=Options!$S$4,Calculations!CG$239,IF('User Interface'!$B$6=Options!$S$5,LOOKUP('User Interface'!$B$7,Calculations!$A$232:$A$236,Calculations!CG$232:CG$236),LOOKUP('User Interface'!$B$7,Calculations!$A$180:$A$229,Calculations!CG$180:CG$229)))*$B$150</f>
        <v>5591.2525304946339</v>
      </c>
      <c r="CH242" s="6">
        <f>IF('User Interface'!$B$6=Options!$S$4,Calculations!CH$239,IF('User Interface'!$B$6=Options!$S$5,LOOKUP('User Interface'!$B$7,Calculations!$A$232:$A$236,Calculations!CH$232:CH$236),LOOKUP('User Interface'!$B$7,Calculations!$A$180:$A$229,Calculations!CH$180:CH$229)))*$B$150</f>
        <v>0.23551749563647312</v>
      </c>
    </row>
    <row r="243" spans="1:86">
      <c r="C243" s="5"/>
      <c r="D243" s="16"/>
      <c r="F243" s="3"/>
      <c r="G243" s="3"/>
      <c r="H243" s="6"/>
      <c r="I243" s="90"/>
      <c r="J243" s="6"/>
      <c r="K243" s="6"/>
      <c r="L243" s="4"/>
      <c r="M243" s="4"/>
      <c r="N243" s="4"/>
      <c r="O243" s="15"/>
      <c r="P243" s="15"/>
      <c r="Q243" s="15"/>
      <c r="R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15"/>
      <c r="AU243" s="15"/>
      <c r="AV243" s="15"/>
      <c r="AW243" s="15"/>
      <c r="AX243" s="15"/>
      <c r="AY243" s="15"/>
      <c r="AZ243" s="15"/>
      <c r="BA243" s="15"/>
      <c r="BB243" s="3"/>
      <c r="BC243" s="3"/>
      <c r="BD243" s="3"/>
      <c r="BE243" s="1"/>
      <c r="BF243" s="9"/>
      <c r="BG243" s="9"/>
      <c r="BH243" s="9"/>
      <c r="BI243" s="9"/>
      <c r="BJ243" s="9"/>
      <c r="BK243" s="9"/>
      <c r="BL243" s="9"/>
      <c r="BM243" s="9"/>
      <c r="BN243" s="9"/>
      <c r="BO243" s="9"/>
      <c r="BP243" s="9"/>
      <c r="BQ243" s="9"/>
      <c r="BR243" s="9"/>
      <c r="BS243" s="9"/>
      <c r="BT243" s="9"/>
    </row>
    <row r="244" spans="1:86" s="37" customFormat="1">
      <c r="A244" s="37" t="s">
        <v>907</v>
      </c>
      <c r="C244" s="45"/>
      <c r="D244" s="72"/>
      <c r="F244" s="47"/>
      <c r="G244" s="47"/>
      <c r="H244" s="73"/>
      <c r="I244" s="73"/>
      <c r="J244" s="73"/>
      <c r="K244" s="73"/>
      <c r="L244" s="48"/>
      <c r="M244" s="48"/>
      <c r="N244" s="48"/>
      <c r="O244" s="59"/>
      <c r="P244" s="59"/>
      <c r="Q244" s="59"/>
      <c r="R244" s="59"/>
      <c r="S244" s="59"/>
      <c r="T244" s="59"/>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59"/>
      <c r="AU244" s="59"/>
      <c r="AV244" s="59"/>
      <c r="AW244" s="59"/>
      <c r="AX244" s="59"/>
      <c r="AY244" s="59"/>
      <c r="AZ244" s="59"/>
      <c r="BA244" s="47"/>
      <c r="BB244" s="47"/>
      <c r="BC244" s="47"/>
      <c r="BD244" s="74"/>
      <c r="BE244" s="75"/>
      <c r="BF244" s="75"/>
      <c r="BG244" s="75"/>
      <c r="BH244" s="75"/>
      <c r="BI244" s="75"/>
      <c r="BJ244" s="75"/>
      <c r="BK244" s="75"/>
      <c r="BL244" s="75"/>
      <c r="BM244" s="75"/>
      <c r="BN244" s="75"/>
      <c r="BO244" s="75"/>
      <c r="BP244" s="75"/>
      <c r="BQ244" s="75"/>
      <c r="BR244" s="75"/>
      <c r="BS244" s="75"/>
    </row>
    <row r="245" spans="1:86">
      <c r="A245" t="s">
        <v>391</v>
      </c>
      <c r="B245" s="41" t="str">
        <f>IF('User Interface'!$B$14=Options!$Y$4,"No","Yes")</f>
        <v>Yes</v>
      </c>
      <c r="N245" s="6"/>
      <c r="O245" s="6"/>
    </row>
    <row r="246" spans="1:86">
      <c r="A246" t="s">
        <v>385</v>
      </c>
      <c r="B246" s="41">
        <f>'User Interface'!B15</f>
        <v>2045</v>
      </c>
    </row>
    <row r="247" spans="1:86">
      <c r="A247" t="s">
        <v>394</v>
      </c>
      <c r="B247" s="3">
        <f>IF(B245="No",0,IF('User Interface'!$B$16=Options!$AA$4,-R242/(B246-B176),-S242/(B246-B176)))</f>
        <v>-15.596153846153847</v>
      </c>
      <c r="C247" t="s">
        <v>395</v>
      </c>
    </row>
    <row r="248" spans="1:86">
      <c r="A248" t="s">
        <v>392</v>
      </c>
      <c r="B248">
        <f>$B$11+$B$12</f>
        <v>2025</v>
      </c>
    </row>
    <row r="249" spans="1:86">
      <c r="A249" t="s">
        <v>388</v>
      </c>
      <c r="B249" t="str">
        <f>IF(B248&gt;=B246,"Yes","No")</f>
        <v>No</v>
      </c>
    </row>
    <row r="250" spans="1:86">
      <c r="A250" t="s">
        <v>396</v>
      </c>
      <c r="B250" s="3">
        <f>IF(B249="Yes",0,IF('User Interface'!$B$16=Options!$AA$4,($B$247*(B248-$B$176))+$R$242,($B$247*(B248-$B$176))+$S$242))</f>
        <v>311.92307692307691</v>
      </c>
      <c r="C250" t="s">
        <v>60</v>
      </c>
    </row>
    <row r="251" spans="1:86">
      <c r="A251" t="s">
        <v>393</v>
      </c>
      <c r="B251">
        <f>B248+B9</f>
        <v>2055</v>
      </c>
    </row>
    <row r="252" spans="1:86">
      <c r="A252" t="s">
        <v>389</v>
      </c>
      <c r="B252" t="str">
        <f>IF(B251&gt;=B246,"Yes","No")</f>
        <v>Yes</v>
      </c>
    </row>
    <row r="253" spans="1:86">
      <c r="A253" t="s">
        <v>397</v>
      </c>
      <c r="B253" s="3">
        <f>IF(B252="Yes",0,IF('User Interface'!$B$16=Options!$AA$4,($B$247*(B251-$B$176))+$R$242,($B$247*(B251-$B$176))+$S$242))</f>
        <v>0</v>
      </c>
      <c r="C253" t="s">
        <v>60</v>
      </c>
    </row>
    <row r="254" spans="1:86">
      <c r="A254" t="s">
        <v>398</v>
      </c>
      <c r="B254" s="16">
        <f>IF(B245="No",1,IF(B249="Yes",0,IF(B252="No",1,(B246-B248)/(B251-B248))))</f>
        <v>0.66666666666666663</v>
      </c>
    </row>
    <row r="255" spans="1:86">
      <c r="A255" t="s">
        <v>390</v>
      </c>
      <c r="B255" s="3">
        <f>IF(B245="No",IF('User Interface'!$B$16=Options!$AA$4,$R$242,$S$242),IF($B$249="Yes",0,IF($B$252="No",AVERAGE(B250,B253),(B250/2)*B254)))</f>
        <v>103.97435897435896</v>
      </c>
      <c r="C255" t="s">
        <v>60</v>
      </c>
      <c r="D255" s="16"/>
      <c r="F255" s="3"/>
      <c r="G255" s="3"/>
      <c r="H255" s="6"/>
      <c r="I255" s="6"/>
      <c r="J255" s="6"/>
      <c r="K255" s="6"/>
      <c r="L255" s="4"/>
      <c r="M255" s="4"/>
      <c r="N255" s="4"/>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15"/>
      <c r="AU255" s="15"/>
      <c r="AV255" s="15"/>
      <c r="AW255" s="15"/>
      <c r="AX255" s="15"/>
      <c r="AY255" s="15"/>
      <c r="AZ255" s="15"/>
      <c r="BA255" s="3"/>
      <c r="BB255" s="3"/>
      <c r="BC255" s="3"/>
      <c r="BD255" s="1"/>
      <c r="BE255" s="9"/>
      <c r="BF255" s="9"/>
      <c r="BG255" s="9"/>
      <c r="BH255" s="9"/>
      <c r="BI255" s="9"/>
      <c r="BJ255" s="9"/>
      <c r="BK255" s="9"/>
      <c r="BL255" s="9"/>
      <c r="BM255" s="9"/>
      <c r="BN255" s="9"/>
      <c r="BO255" s="9"/>
      <c r="BP255" s="9"/>
      <c r="BQ255" s="9"/>
      <c r="BR255" s="9"/>
      <c r="BS255" s="9"/>
    </row>
    <row r="256" spans="1:86">
      <c r="C256" s="5"/>
      <c r="D256" s="16"/>
      <c r="F256" s="3"/>
      <c r="G256" s="3"/>
      <c r="H256" s="6"/>
      <c r="I256" s="6"/>
      <c r="J256" s="6"/>
      <c r="K256" s="6"/>
      <c r="L256" s="4"/>
      <c r="M256" s="4"/>
      <c r="N256" s="4"/>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3"/>
      <c r="BB256" s="3"/>
      <c r="BC256" s="3"/>
      <c r="BD256" s="1"/>
      <c r="BE256" s="9"/>
      <c r="BF256" s="9"/>
      <c r="BG256" s="9"/>
      <c r="BH256" s="9"/>
      <c r="BI256" s="9"/>
      <c r="BJ256" s="9"/>
      <c r="BK256" s="9"/>
      <c r="BL256" s="9"/>
      <c r="BM256" s="9"/>
      <c r="BN256" s="9"/>
      <c r="BO256" s="9"/>
      <c r="BP256" s="9"/>
      <c r="BQ256" s="9"/>
      <c r="BR256" s="9"/>
      <c r="BS256" s="9"/>
    </row>
    <row r="257" spans="1:71" s="37" customFormat="1">
      <c r="A257" s="37" t="s">
        <v>1053</v>
      </c>
      <c r="C257" s="45"/>
      <c r="D257" s="72"/>
      <c r="F257" s="47"/>
      <c r="G257" s="47"/>
      <c r="H257" s="73"/>
      <c r="I257" s="73"/>
      <c r="J257" s="73"/>
      <c r="K257" s="73"/>
      <c r="L257" s="48"/>
      <c r="M257" s="48"/>
      <c r="N257" s="48"/>
      <c r="O257" s="59"/>
      <c r="P257" s="59"/>
      <c r="Q257" s="59"/>
      <c r="R257" s="59"/>
      <c r="S257" s="59"/>
      <c r="T257" s="59"/>
      <c r="U257" s="59"/>
      <c r="V257" s="59"/>
      <c r="W257" s="59"/>
      <c r="X257" s="59"/>
      <c r="Y257" s="59"/>
      <c r="Z257" s="59"/>
      <c r="AA257" s="59"/>
      <c r="AB257" s="59"/>
      <c r="AC257" s="59"/>
      <c r="AD257" s="59"/>
      <c r="AE257" s="59"/>
      <c r="AF257" s="59"/>
      <c r="AG257" s="59"/>
      <c r="AH257" s="59"/>
      <c r="AI257" s="59"/>
      <c r="AJ257" s="59"/>
      <c r="AK257" s="59"/>
      <c r="AL257" s="59"/>
      <c r="AM257" s="59"/>
      <c r="AN257" s="59"/>
      <c r="AO257" s="59"/>
      <c r="AP257" s="59"/>
      <c r="AQ257" s="59"/>
      <c r="AR257" s="59"/>
      <c r="AS257" s="59"/>
      <c r="AT257" s="59"/>
      <c r="AU257" s="59"/>
      <c r="AV257" s="59"/>
      <c r="AW257" s="59"/>
      <c r="AX257" s="59"/>
      <c r="AY257" s="59"/>
      <c r="AZ257" s="59"/>
      <c r="BA257" s="47"/>
      <c r="BB257" s="47"/>
      <c r="BC257" s="47"/>
      <c r="BD257" s="74"/>
      <c r="BE257" s="75"/>
      <c r="BF257" s="75"/>
      <c r="BG257" s="75"/>
      <c r="BH257" s="75"/>
      <c r="BI257" s="75"/>
      <c r="BJ257" s="75"/>
      <c r="BK257" s="75"/>
      <c r="BL257" s="75"/>
      <c r="BM257" s="75"/>
      <c r="BN257" s="75"/>
      <c r="BO257" s="75"/>
      <c r="BP257" s="75"/>
      <c r="BQ257" s="75"/>
      <c r="BR257" s="75"/>
      <c r="BS257" s="75"/>
    </row>
    <row r="258" spans="1:71">
      <c r="A258" t="s">
        <v>1058</v>
      </c>
      <c r="B258" s="3">
        <f>B6*1000</f>
        <v>34223.134839151266</v>
      </c>
      <c r="C258" s="5" t="s">
        <v>1054</v>
      </c>
      <c r="D258" s="16"/>
      <c r="F258" s="3"/>
      <c r="G258" s="3"/>
      <c r="H258" s="6"/>
      <c r="I258" s="6"/>
      <c r="J258" s="6"/>
      <c r="K258" s="6"/>
      <c r="L258" s="4"/>
      <c r="M258" s="4"/>
      <c r="N258" s="4"/>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3"/>
      <c r="BB258" s="3"/>
      <c r="BC258" s="3"/>
      <c r="BD258" s="1"/>
      <c r="BE258" s="9"/>
      <c r="BF258" s="9"/>
      <c r="BG258" s="9"/>
      <c r="BH258" s="9"/>
      <c r="BI258" s="9"/>
      <c r="BJ258" s="9"/>
      <c r="BK258" s="9"/>
      <c r="BL258" s="9"/>
      <c r="BM258" s="9"/>
      <c r="BN258" s="9"/>
      <c r="BO258" s="9"/>
      <c r="BP258" s="9"/>
      <c r="BQ258" s="9"/>
      <c r="BR258" s="9"/>
      <c r="BS258" s="9"/>
    </row>
    <row r="259" spans="1:71">
      <c r="B259" s="3">
        <f>B258/B100</f>
        <v>777.63945645552644</v>
      </c>
      <c r="C259" s="5" t="s">
        <v>1059</v>
      </c>
      <c r="D259" s="16"/>
      <c r="F259" s="3"/>
      <c r="G259" s="3"/>
      <c r="H259" s="6"/>
      <c r="I259" s="6"/>
      <c r="J259" s="6"/>
      <c r="K259" s="6"/>
      <c r="L259" s="4"/>
      <c r="M259" s="4"/>
      <c r="N259" s="4"/>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15"/>
      <c r="AU259" s="15"/>
      <c r="AV259" s="15"/>
      <c r="AW259" s="15"/>
      <c r="AX259" s="15"/>
      <c r="AY259" s="15"/>
      <c r="AZ259" s="15"/>
      <c r="BA259" s="3"/>
      <c r="BB259" s="3"/>
      <c r="BC259" s="3"/>
      <c r="BD259" s="1"/>
      <c r="BE259" s="9"/>
      <c r="BF259" s="9"/>
      <c r="BG259" s="9"/>
      <c r="BH259" s="9"/>
      <c r="BI259" s="9"/>
      <c r="BJ259" s="9"/>
      <c r="BK259" s="9"/>
      <c r="BL259" s="9"/>
      <c r="BM259" s="9"/>
      <c r="BN259" s="9"/>
      <c r="BO259" s="9"/>
      <c r="BP259" s="9"/>
      <c r="BQ259" s="9"/>
      <c r="BR259" s="9"/>
      <c r="BS259" s="9"/>
    </row>
    <row r="260" spans="1:71">
      <c r="A260" t="s">
        <v>1051</v>
      </c>
      <c r="B260">
        <f>B8</f>
        <v>0</v>
      </c>
      <c r="C260" t="str">
        <f>C8</f>
        <v>ppm-mol</v>
      </c>
      <c r="D260" s="16"/>
      <c r="F260" s="3"/>
      <c r="G260" s="3"/>
      <c r="H260" s="6"/>
      <c r="I260" s="6"/>
      <c r="J260" s="6"/>
      <c r="K260" s="6"/>
      <c r="L260" s="4"/>
      <c r="M260" s="4"/>
      <c r="N260" s="4"/>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3"/>
      <c r="BB260" s="3"/>
      <c r="BC260" s="3"/>
      <c r="BD260" s="1"/>
      <c r="BE260" s="9"/>
      <c r="BF260" s="9"/>
      <c r="BG260" s="9"/>
      <c r="BH260" s="9"/>
      <c r="BI260" s="9"/>
      <c r="BJ260" s="9"/>
      <c r="BK260" s="9"/>
      <c r="BL260" s="9"/>
      <c r="BM260" s="9"/>
      <c r="BN260" s="9"/>
      <c r="BO260" s="9"/>
      <c r="BP260" s="9"/>
      <c r="BQ260" s="9"/>
      <c r="BR260" s="9"/>
      <c r="BS260" s="9"/>
    </row>
    <row r="261" spans="1:71">
      <c r="B261" s="218">
        <f>B260/1000000</f>
        <v>0</v>
      </c>
      <c r="C261" t="s">
        <v>1060</v>
      </c>
      <c r="D261" s="16"/>
      <c r="F261" s="3"/>
      <c r="G261" s="3"/>
      <c r="H261" s="6"/>
      <c r="I261" s="6"/>
      <c r="J261" s="6"/>
      <c r="K261" s="6"/>
      <c r="L261" s="4"/>
      <c r="M261" s="4"/>
      <c r="N261" s="4"/>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15"/>
      <c r="AU261" s="15"/>
      <c r="AV261" s="15"/>
      <c r="AW261" s="15"/>
      <c r="AX261" s="15"/>
      <c r="AY261" s="15"/>
      <c r="AZ261" s="15"/>
      <c r="BA261" s="3"/>
      <c r="BB261" s="3"/>
      <c r="BC261" s="3"/>
      <c r="BD261" s="1"/>
      <c r="BE261" s="9"/>
      <c r="BF261" s="9"/>
      <c r="BG261" s="9"/>
      <c r="BH261" s="9"/>
      <c r="BI261" s="9"/>
      <c r="BJ261" s="9"/>
      <c r="BK261" s="9"/>
      <c r="BL261" s="9"/>
      <c r="BM261" s="9"/>
      <c r="BN261" s="9"/>
      <c r="BO261" s="9"/>
      <c r="BP261" s="9"/>
      <c r="BQ261" s="9"/>
      <c r="BR261" s="9"/>
      <c r="BS261" s="9"/>
    </row>
    <row r="262" spans="1:71">
      <c r="A262" t="s">
        <v>1067</v>
      </c>
      <c r="B262" s="3">
        <f>1000000-B260</f>
        <v>1000000</v>
      </c>
      <c r="C262" t="s">
        <v>1056</v>
      </c>
      <c r="D262" s="16"/>
      <c r="F262" s="3"/>
      <c r="G262" s="3"/>
      <c r="H262" s="6"/>
      <c r="I262" s="6"/>
      <c r="J262" s="6"/>
      <c r="K262" s="6"/>
      <c r="L262" s="4"/>
      <c r="M262" s="4"/>
      <c r="N262" s="4"/>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3"/>
      <c r="BB262" s="3"/>
      <c r="BC262" s="3"/>
      <c r="BD262" s="1"/>
      <c r="BE262" s="9"/>
      <c r="BF262" s="9"/>
      <c r="BG262" s="9"/>
      <c r="BH262" s="9"/>
      <c r="BI262" s="9"/>
      <c r="BJ262" s="9"/>
      <c r="BK262" s="9"/>
      <c r="BL262" s="9"/>
      <c r="BM262" s="9"/>
      <c r="BN262" s="9"/>
      <c r="BO262" s="9"/>
      <c r="BP262" s="9"/>
      <c r="BQ262" s="9"/>
      <c r="BR262" s="9"/>
      <c r="BS262" s="9"/>
    </row>
    <row r="263" spans="1:71">
      <c r="A263" t="s">
        <v>1063</v>
      </c>
      <c r="B263" s="3">
        <v>70</v>
      </c>
      <c r="C263" t="s">
        <v>1056</v>
      </c>
      <c r="D263" s="16"/>
      <c r="F263" s="3"/>
      <c r="G263" s="3"/>
      <c r="H263" s="6"/>
      <c r="I263" s="6"/>
      <c r="J263" s="6"/>
      <c r="K263" s="6"/>
      <c r="L263" s="4"/>
      <c r="M263" s="4"/>
      <c r="N263" s="4"/>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15"/>
      <c r="AU263" s="15"/>
      <c r="AV263" s="15"/>
      <c r="AW263" s="15"/>
      <c r="AX263" s="15"/>
      <c r="AY263" s="15"/>
      <c r="AZ263" s="15"/>
      <c r="BA263" s="3"/>
      <c r="BB263" s="3"/>
      <c r="BC263" s="3"/>
      <c r="BD263" s="1"/>
      <c r="BE263" s="9"/>
      <c r="BF263" s="9"/>
      <c r="BG263" s="9"/>
      <c r="BH263" s="9"/>
      <c r="BI263" s="9"/>
      <c r="BJ263" s="9"/>
      <c r="BK263" s="9"/>
      <c r="BL263" s="9"/>
      <c r="BM263" s="9"/>
      <c r="BN263" s="9"/>
      <c r="BO263" s="9"/>
      <c r="BP263" s="9"/>
      <c r="BQ263" s="9"/>
      <c r="BR263" s="9"/>
      <c r="BS263" s="9"/>
    </row>
    <row r="264" spans="1:71">
      <c r="B264" s="218">
        <f>B263/1000000</f>
        <v>6.9999999999999994E-5</v>
      </c>
      <c r="C264" t="s">
        <v>1060</v>
      </c>
      <c r="D264" s="16"/>
      <c r="F264" s="3"/>
      <c r="G264" s="3"/>
      <c r="H264" s="6"/>
      <c r="I264" s="6"/>
      <c r="J264" s="6"/>
      <c r="K264" s="6"/>
      <c r="L264" s="4"/>
      <c r="M264" s="4"/>
      <c r="N264" s="4"/>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3"/>
      <c r="BB264" s="3"/>
      <c r="BC264" s="3"/>
      <c r="BD264" s="1"/>
      <c r="BE264" s="9"/>
      <c r="BF264" s="9"/>
      <c r="BG264" s="9"/>
      <c r="BH264" s="9"/>
      <c r="BI264" s="9"/>
      <c r="BJ264" s="9"/>
      <c r="BK264" s="9"/>
      <c r="BL264" s="9"/>
      <c r="BM264" s="9"/>
      <c r="BN264" s="9"/>
      <c r="BO264" s="9"/>
      <c r="BP264" s="9"/>
      <c r="BQ264" s="9"/>
      <c r="BR264" s="9"/>
      <c r="BS264" s="9"/>
    </row>
    <row r="265" spans="1:71">
      <c r="A265" t="s">
        <v>1066</v>
      </c>
      <c r="B265" s="3">
        <f>IF(B260&lt;=B263,0,(B260-(B260*B264)-(B262*B264))/(1-B264))</f>
        <v>0</v>
      </c>
      <c r="C265" t="s">
        <v>1056</v>
      </c>
      <c r="D265" s="3"/>
      <c r="E265" s="219"/>
      <c r="F265" s="3"/>
      <c r="G265" s="3"/>
      <c r="H265" s="6"/>
      <c r="I265" s="6"/>
      <c r="J265" s="6"/>
      <c r="K265" s="6"/>
      <c r="L265" s="4"/>
      <c r="M265" s="4"/>
      <c r="N265" s="4"/>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15"/>
      <c r="AU265" s="15"/>
      <c r="AV265" s="15"/>
      <c r="AW265" s="15"/>
      <c r="AX265" s="15"/>
      <c r="AY265" s="15"/>
      <c r="AZ265" s="15"/>
      <c r="BA265" s="3"/>
      <c r="BB265" s="3"/>
      <c r="BC265" s="3"/>
      <c r="BD265" s="1"/>
      <c r="BE265" s="9"/>
      <c r="BF265" s="9"/>
      <c r="BG265" s="9"/>
      <c r="BH265" s="9"/>
      <c r="BI265" s="9"/>
      <c r="BJ265" s="9"/>
      <c r="BK265" s="9"/>
      <c r="BL265" s="9"/>
      <c r="BM265" s="9"/>
      <c r="BN265" s="9"/>
      <c r="BO265" s="9"/>
      <c r="BP265" s="9"/>
      <c r="BQ265" s="9"/>
      <c r="BR265" s="9"/>
      <c r="BS265" s="9"/>
    </row>
    <row r="266" spans="1:71">
      <c r="A266" t="s">
        <v>1065</v>
      </c>
      <c r="B266" s="4">
        <f>B259*(B265/B262)</f>
        <v>0</v>
      </c>
      <c r="C266" s="5" t="s">
        <v>1061</v>
      </c>
      <c r="D266" s="16"/>
      <c r="F266" s="3"/>
      <c r="G266" s="3"/>
      <c r="H266" s="6"/>
      <c r="I266" s="6"/>
      <c r="J266" s="6"/>
      <c r="K266" s="6"/>
      <c r="L266" s="4"/>
      <c r="M266" s="4"/>
      <c r="N266" s="4"/>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3"/>
      <c r="BB266" s="3"/>
      <c r="BC266" s="3"/>
      <c r="BD266" s="1"/>
      <c r="BE266" s="9"/>
      <c r="BF266" s="9"/>
      <c r="BG266" s="9"/>
      <c r="BH266" s="9"/>
      <c r="BI266" s="9"/>
      <c r="BJ266" s="9"/>
      <c r="BK266" s="9"/>
      <c r="BL266" s="9"/>
      <c r="BM266" s="9"/>
      <c r="BN266" s="9"/>
      <c r="BO266" s="9"/>
      <c r="BP266" s="9"/>
      <c r="BQ266" s="9"/>
      <c r="BR266" s="9"/>
      <c r="BS266" s="9"/>
    </row>
    <row r="267" spans="1:71">
      <c r="B267" s="3">
        <f>B266*B101</f>
        <v>0</v>
      </c>
      <c r="C267" s="5" t="s">
        <v>1062</v>
      </c>
      <c r="D267" s="16"/>
      <c r="F267" s="3"/>
      <c r="G267" s="3"/>
      <c r="H267" s="6"/>
      <c r="I267" s="6"/>
      <c r="J267" s="6"/>
      <c r="K267" s="6"/>
      <c r="L267" s="4"/>
      <c r="M267" s="4"/>
      <c r="N267" s="4"/>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3"/>
      <c r="BB267" s="3"/>
      <c r="BC267" s="3"/>
      <c r="BD267" s="1"/>
      <c r="BE267" s="9"/>
      <c r="BF267" s="9"/>
      <c r="BG267" s="9"/>
      <c r="BH267" s="9"/>
      <c r="BI267" s="9"/>
      <c r="BJ267" s="9"/>
      <c r="BK267" s="9"/>
      <c r="BL267" s="9"/>
      <c r="BM267" s="9"/>
      <c r="BN267" s="9"/>
      <c r="BO267" s="9"/>
      <c r="BP267" s="9"/>
      <c r="BQ267" s="9"/>
      <c r="BR267" s="9"/>
      <c r="BS267" s="9"/>
    </row>
    <row r="268" spans="1:71">
      <c r="A268" s="79" t="s">
        <v>852</v>
      </c>
      <c r="B268" s="15">
        <v>90</v>
      </c>
      <c r="C268" s="5" t="s">
        <v>1068</v>
      </c>
      <c r="D268" s="16"/>
      <c r="F268" s="3"/>
      <c r="G268" s="3"/>
      <c r="H268" s="6"/>
      <c r="I268" s="6"/>
      <c r="J268" s="6"/>
      <c r="K268" s="6"/>
      <c r="L268" s="4"/>
      <c r="M268" s="4"/>
      <c r="N268" s="4"/>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3"/>
      <c r="BB268" s="3"/>
      <c r="BC268" s="3"/>
      <c r="BD268" s="1"/>
      <c r="BE268" s="9"/>
      <c r="BF268" s="9"/>
      <c r="BG268" s="9"/>
      <c r="BH268" s="9"/>
      <c r="BI268" s="9"/>
      <c r="BJ268" s="9"/>
      <c r="BK268" s="9"/>
      <c r="BL268" s="9"/>
      <c r="BM268" s="9"/>
      <c r="BN268" s="9"/>
      <c r="BO268" s="9"/>
      <c r="BP268" s="9"/>
      <c r="BQ268" s="9"/>
      <c r="BR268" s="9"/>
      <c r="BS268" s="9"/>
    </row>
    <row r="269" spans="1:71">
      <c r="A269" t="str">
        <f>"Equipment cost ("&amp;$B$128&amp;" USD)"</f>
        <v>Equipment cost (2024 USD)</v>
      </c>
      <c r="B269" s="15">
        <f>(B268/$C$146)*$B$146</f>
        <v>121.93120622171246</v>
      </c>
      <c r="C269" s="5" t="s">
        <v>1068</v>
      </c>
      <c r="D269" s="16"/>
      <c r="F269" s="3"/>
      <c r="G269" s="3"/>
      <c r="H269" s="6"/>
      <c r="I269" s="6"/>
      <c r="J269" s="6"/>
      <c r="K269" s="6"/>
      <c r="L269" s="4"/>
      <c r="M269" s="4"/>
      <c r="N269" s="4"/>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3"/>
      <c r="BB269" s="3"/>
      <c r="BC269" s="3"/>
      <c r="BD269" s="1"/>
      <c r="BE269" s="9"/>
      <c r="BF269" s="9"/>
      <c r="BG269" s="9"/>
      <c r="BH269" s="9"/>
      <c r="BI269" s="9"/>
      <c r="BJ269" s="9"/>
      <c r="BK269" s="9"/>
      <c r="BL269" s="9"/>
      <c r="BM269" s="9"/>
      <c r="BN269" s="9"/>
      <c r="BO269" s="9"/>
      <c r="BP269" s="9"/>
      <c r="BQ269" s="9"/>
      <c r="BR269" s="9"/>
      <c r="BS269" s="9"/>
    </row>
    <row r="270" spans="1:71">
      <c r="A270" t="s">
        <v>864</v>
      </c>
      <c r="B270" s="15">
        <f>B269*B267</f>
        <v>0</v>
      </c>
      <c r="C270" s="5"/>
      <c r="D270" s="16"/>
      <c r="F270" s="3"/>
      <c r="G270" s="3"/>
      <c r="H270" s="6"/>
      <c r="I270" s="6"/>
      <c r="J270" s="6"/>
      <c r="K270" s="6"/>
      <c r="L270" s="4"/>
      <c r="M270" s="4"/>
      <c r="N270" s="4"/>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3"/>
      <c r="BB270" s="3"/>
      <c r="BC270" s="3"/>
      <c r="BD270" s="1"/>
      <c r="BE270" s="9"/>
      <c r="BF270" s="9"/>
      <c r="BG270" s="9"/>
      <c r="BH270" s="9"/>
      <c r="BI270" s="9"/>
      <c r="BJ270" s="9"/>
      <c r="BK270" s="9"/>
      <c r="BL270" s="9"/>
      <c r="BM270" s="9"/>
      <c r="BN270" s="9"/>
      <c r="BO270" s="9"/>
      <c r="BP270" s="9"/>
      <c r="BQ270" s="9"/>
      <c r="BR270" s="9"/>
      <c r="BS270" s="9"/>
    </row>
    <row r="271" spans="1:71">
      <c r="C271" s="5"/>
      <c r="D271" s="16"/>
      <c r="F271" s="3"/>
      <c r="G271" s="3"/>
      <c r="H271" s="6"/>
      <c r="I271" s="6"/>
      <c r="J271" s="6"/>
      <c r="K271" s="6"/>
      <c r="L271" s="4"/>
      <c r="M271" s="4"/>
      <c r="N271" s="4"/>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3"/>
      <c r="BB271" s="3"/>
      <c r="BC271" s="3"/>
      <c r="BD271" s="1"/>
      <c r="BE271" s="9"/>
      <c r="BF271" s="9"/>
      <c r="BG271" s="9"/>
      <c r="BH271" s="9"/>
      <c r="BI271" s="9"/>
      <c r="BJ271" s="9"/>
      <c r="BK271" s="9"/>
      <c r="BL271" s="9"/>
      <c r="BM271" s="9"/>
      <c r="BN271" s="9"/>
      <c r="BO271" s="9"/>
      <c r="BP271" s="9"/>
      <c r="BQ271" s="9"/>
      <c r="BR271" s="9"/>
      <c r="BS271" s="9"/>
    </row>
    <row r="272" spans="1:71" s="37" customFormat="1">
      <c r="A272" s="37" t="s">
        <v>175</v>
      </c>
      <c r="C272" s="45"/>
      <c r="D272" s="72"/>
      <c r="F272" s="47"/>
      <c r="G272" s="47"/>
      <c r="H272" s="73"/>
      <c r="I272" s="73"/>
      <c r="J272" s="73"/>
      <c r="K272" s="73"/>
      <c r="L272" s="48"/>
      <c r="M272" s="48"/>
      <c r="N272" s="48"/>
      <c r="O272" s="59"/>
      <c r="P272" s="59"/>
      <c r="Q272" s="59"/>
      <c r="R272" s="59"/>
      <c r="S272" s="59"/>
      <c r="T272" s="59"/>
      <c r="U272" s="59"/>
      <c r="V272" s="59"/>
      <c r="W272" s="59"/>
      <c r="X272" s="59"/>
      <c r="Y272" s="59"/>
      <c r="Z272" s="59"/>
      <c r="AA272" s="59"/>
      <c r="AB272" s="59"/>
      <c r="AC272" s="59"/>
      <c r="AD272" s="59"/>
      <c r="AE272" s="59"/>
      <c r="AF272" s="59"/>
      <c r="AG272" s="59"/>
      <c r="AH272" s="59"/>
      <c r="AI272" s="59"/>
      <c r="AJ272" s="59"/>
      <c r="AK272" s="59"/>
      <c r="AL272" s="59"/>
      <c r="AM272" s="59"/>
      <c r="AN272" s="59"/>
      <c r="AO272" s="59"/>
      <c r="AP272" s="59"/>
      <c r="AQ272" s="59"/>
      <c r="AR272" s="59"/>
      <c r="AS272" s="59"/>
      <c r="AT272" s="59"/>
      <c r="AU272" s="59"/>
      <c r="AV272" s="59"/>
      <c r="AW272" s="59"/>
      <c r="AX272" s="59"/>
      <c r="AY272" s="59"/>
      <c r="AZ272" s="59"/>
      <c r="BA272" s="47"/>
      <c r="BB272" s="47"/>
      <c r="BC272" s="47"/>
      <c r="BD272" s="74"/>
      <c r="BE272" s="75"/>
      <c r="BF272" s="75"/>
      <c r="BG272" s="75"/>
      <c r="BH272" s="75"/>
      <c r="BI272" s="75"/>
      <c r="BJ272" s="75"/>
      <c r="BK272" s="75"/>
      <c r="BL272" s="75"/>
      <c r="BM272" s="75"/>
      <c r="BN272" s="75"/>
      <c r="BO272" s="75"/>
      <c r="BP272" s="75"/>
      <c r="BQ272" s="75"/>
      <c r="BR272" s="75"/>
      <c r="BS272" s="75"/>
    </row>
    <row r="273" spans="1:71">
      <c r="A273" s="79" t="s">
        <v>839</v>
      </c>
      <c r="B273" s="20" t="s">
        <v>837</v>
      </c>
      <c r="C273" s="79" t="s">
        <v>249</v>
      </c>
      <c r="D273" s="79" t="s">
        <v>250</v>
      </c>
      <c r="E273" s="79" t="s">
        <v>251</v>
      </c>
      <c r="F273" s="79" t="s">
        <v>252</v>
      </c>
      <c r="G273" s="79" t="s">
        <v>253</v>
      </c>
      <c r="H273" s="79" t="s">
        <v>262</v>
      </c>
      <c r="I273" s="79" t="s">
        <v>254</v>
      </c>
      <c r="J273" s="79" t="s">
        <v>250</v>
      </c>
      <c r="K273" s="79" t="s">
        <v>255</v>
      </c>
      <c r="L273" s="79" t="s">
        <v>256</v>
      </c>
      <c r="M273" s="79" t="s">
        <v>257</v>
      </c>
      <c r="N273" s="79" t="s">
        <v>258</v>
      </c>
      <c r="O273" s="79" t="s">
        <v>842</v>
      </c>
      <c r="P273" s="79" t="s">
        <v>259</v>
      </c>
      <c r="Q273" s="79" t="s">
        <v>843</v>
      </c>
      <c r="R273" s="79" t="s">
        <v>260</v>
      </c>
      <c r="S273" s="79" t="s">
        <v>261</v>
      </c>
      <c r="T273" s="79" t="s">
        <v>945</v>
      </c>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3"/>
      <c r="BB273" s="3"/>
      <c r="BC273" s="3"/>
      <c r="BD273" s="1"/>
      <c r="BE273" s="9"/>
      <c r="BF273" s="9"/>
      <c r="BG273" s="9"/>
      <c r="BH273" s="9"/>
      <c r="BI273" s="9"/>
      <c r="BJ273" s="9"/>
      <c r="BK273" s="9"/>
      <c r="BL273" s="9"/>
      <c r="BM273" s="9"/>
      <c r="BN273" s="9"/>
      <c r="BO273" s="9"/>
      <c r="BP273" s="9"/>
      <c r="BQ273" s="9"/>
      <c r="BR273" s="9"/>
      <c r="BS273" s="9"/>
    </row>
    <row r="274" spans="1:71">
      <c r="A274" s="79">
        <v>7</v>
      </c>
      <c r="B274" s="50">
        <v>118.75</v>
      </c>
      <c r="C274" s="82">
        <f>SUM(D274:G274)</f>
        <v>13.17</v>
      </c>
      <c r="D274" s="89">
        <v>9.19</v>
      </c>
      <c r="E274" s="89">
        <v>0.64</v>
      </c>
      <c r="F274" s="89">
        <v>1.58</v>
      </c>
      <c r="G274" s="89">
        <v>1.76</v>
      </c>
      <c r="H274" s="68">
        <f>G274/F274</f>
        <v>1.1139240506329113</v>
      </c>
      <c r="I274" s="82">
        <f t="shared" ref="I274:I283" si="26">SUM(J274:N274)</f>
        <v>43.3</v>
      </c>
      <c r="J274" s="89">
        <v>7.37</v>
      </c>
      <c r="K274" s="89">
        <v>3.77</v>
      </c>
      <c r="L274" s="89">
        <v>14.41</v>
      </c>
      <c r="M274" s="89">
        <v>0.82</v>
      </c>
      <c r="N274" s="89">
        <v>16.93</v>
      </c>
      <c r="O274" s="79">
        <v>22.9</v>
      </c>
      <c r="P274" s="79">
        <v>2.0299999999999998</v>
      </c>
      <c r="Q274" s="79">
        <v>-49.1</v>
      </c>
      <c r="R274" s="80">
        <v>1133</v>
      </c>
      <c r="S274" s="80">
        <v>37.31</v>
      </c>
      <c r="T274" s="79">
        <v>20</v>
      </c>
      <c r="W274" s="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3"/>
      <c r="BB274" s="3"/>
      <c r="BC274" s="3"/>
      <c r="BD274" s="1"/>
      <c r="BE274" s="9"/>
      <c r="BF274" s="9"/>
      <c r="BG274" s="9"/>
      <c r="BH274" s="9"/>
      <c r="BI274" s="9"/>
      <c r="BJ274" s="9"/>
      <c r="BK274" s="9"/>
      <c r="BL274" s="9"/>
      <c r="BM274" s="9"/>
      <c r="BN274" s="9"/>
      <c r="BO274" s="9"/>
      <c r="BP274" s="9"/>
      <c r="BQ274" s="9"/>
      <c r="BR274" s="9"/>
      <c r="BS274" s="9"/>
    </row>
    <row r="275" spans="1:71">
      <c r="A275" s="79">
        <v>10</v>
      </c>
      <c r="B275" s="50">
        <v>114.99999999999999</v>
      </c>
      <c r="C275" s="82">
        <f>SUM(D275:G275)</f>
        <v>12.68</v>
      </c>
      <c r="D275" s="89">
        <v>9.5500000000000007</v>
      </c>
      <c r="E275" s="89">
        <v>0.45</v>
      </c>
      <c r="F275" s="89">
        <v>1.27</v>
      </c>
      <c r="G275" s="89">
        <v>1.41</v>
      </c>
      <c r="H275" s="68">
        <f t="shared" ref="H275:H283" si="27">G275/F275</f>
        <v>1.110236220472441</v>
      </c>
      <c r="I275" s="82">
        <f t="shared" si="26"/>
        <v>41.42</v>
      </c>
      <c r="J275" s="89">
        <v>7.37</v>
      </c>
      <c r="K275" s="89">
        <v>4.03</v>
      </c>
      <c r="L275" s="89">
        <v>13.67</v>
      </c>
      <c r="M275" s="89">
        <v>0.61</v>
      </c>
      <c r="N275" s="89">
        <v>15.74</v>
      </c>
      <c r="O275" s="79">
        <v>25.8</v>
      </c>
      <c r="P275" s="79">
        <v>0.57999999999999996</v>
      </c>
      <c r="Q275" s="79">
        <v>-39.799999999999997</v>
      </c>
      <c r="R275" s="80">
        <v>1095</v>
      </c>
      <c r="S275" s="80">
        <v>37.31</v>
      </c>
      <c r="T275" s="79">
        <v>20</v>
      </c>
      <c r="W275" s="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3"/>
      <c r="BB275" s="3"/>
      <c r="BC275" s="3"/>
      <c r="BD275" s="1"/>
      <c r="BE275" s="9"/>
      <c r="BF275" s="9"/>
      <c r="BG275" s="9"/>
      <c r="BH275" s="9"/>
      <c r="BI275" s="9"/>
      <c r="BJ275" s="9"/>
      <c r="BK275" s="9"/>
      <c r="BL275" s="9"/>
      <c r="BM275" s="9"/>
      <c r="BN275" s="9"/>
      <c r="BO275" s="9"/>
      <c r="BP275" s="9"/>
      <c r="BQ275" s="9"/>
      <c r="BR275" s="9"/>
      <c r="BS275" s="9"/>
    </row>
    <row r="276" spans="1:71">
      <c r="A276" s="79">
        <v>15</v>
      </c>
      <c r="B276" s="50">
        <v>107.5</v>
      </c>
      <c r="C276" s="82">
        <f>SUM(D276:G276)</f>
        <v>12.229999999999999</v>
      </c>
      <c r="D276" s="89">
        <v>9.75</v>
      </c>
      <c r="E276" s="89">
        <v>0.2</v>
      </c>
      <c r="F276" s="89">
        <v>1.0900000000000001</v>
      </c>
      <c r="G276" s="89">
        <v>1.19</v>
      </c>
      <c r="H276" s="68">
        <f t="shared" si="27"/>
        <v>1.0917431192660549</v>
      </c>
      <c r="I276" s="82">
        <f t="shared" si="26"/>
        <v>39.07</v>
      </c>
      <c r="J276" s="89">
        <v>7.37</v>
      </c>
      <c r="K276" s="89">
        <v>4.13</v>
      </c>
      <c r="L276" s="89">
        <v>12.64</v>
      </c>
      <c r="M276" s="89">
        <v>0.56999999999999995</v>
      </c>
      <c r="N276" s="89">
        <v>14.36</v>
      </c>
      <c r="O276" s="79">
        <v>27.5</v>
      </c>
      <c r="P276" s="79">
        <v>0.48</v>
      </c>
      <c r="Q276" s="79">
        <v>-28.2</v>
      </c>
      <c r="R276" s="80">
        <v>1042</v>
      </c>
      <c r="S276" s="80">
        <v>37.31</v>
      </c>
      <c r="T276" s="79">
        <v>23.999999999999996</v>
      </c>
      <c r="W276" s="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3"/>
      <c r="BB276" s="3"/>
      <c r="BC276" s="3"/>
      <c r="BD276" s="1"/>
      <c r="BE276" s="9"/>
      <c r="BF276" s="9"/>
      <c r="BG276" s="9"/>
      <c r="BH276" s="9"/>
      <c r="BI276" s="9"/>
      <c r="BJ276" s="9"/>
      <c r="BK276" s="9"/>
      <c r="BL276" s="9"/>
      <c r="BM276" s="9"/>
      <c r="BN276" s="9"/>
      <c r="BO276" s="9"/>
      <c r="BP276" s="9"/>
      <c r="BQ276" s="9"/>
      <c r="BR276" s="9"/>
      <c r="BS276" s="9"/>
    </row>
    <row r="277" spans="1:71">
      <c r="A277" s="79">
        <v>20</v>
      </c>
      <c r="B277" s="50">
        <v>105.00000000000001</v>
      </c>
      <c r="C277" s="82">
        <f>SUM(D277:G277)</f>
        <v>12.01</v>
      </c>
      <c r="D277" s="89">
        <v>9.85</v>
      </c>
      <c r="E277" s="89">
        <v>7.0000000000000007E-2</v>
      </c>
      <c r="F277" s="89">
        <v>1</v>
      </c>
      <c r="G277" s="89">
        <v>1.0900000000000001</v>
      </c>
      <c r="H277" s="68">
        <f t="shared" si="27"/>
        <v>1.0900000000000001</v>
      </c>
      <c r="I277" s="82">
        <f t="shared" si="26"/>
        <v>37.29</v>
      </c>
      <c r="J277" s="89">
        <v>7.37</v>
      </c>
      <c r="K277" s="89">
        <v>4.2</v>
      </c>
      <c r="L277" s="89">
        <v>11.82</v>
      </c>
      <c r="M277" s="89">
        <v>0.53</v>
      </c>
      <c r="N277" s="89">
        <v>13.37</v>
      </c>
      <c r="O277" s="79">
        <v>28.3</v>
      </c>
      <c r="P277" s="79">
        <v>0.44</v>
      </c>
      <c r="Q277" s="79">
        <v>-19.2</v>
      </c>
      <c r="R277" s="80">
        <v>995.4</v>
      </c>
      <c r="S277" s="80">
        <v>37.31</v>
      </c>
      <c r="T277" s="79">
        <v>20</v>
      </c>
      <c r="W277" s="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3"/>
      <c r="BB277" s="3"/>
      <c r="BC277" s="3"/>
      <c r="BD277" s="1"/>
      <c r="BE277" s="9"/>
      <c r="BF277" s="9"/>
      <c r="BG277" s="9"/>
      <c r="BH277" s="9"/>
      <c r="BI277" s="9"/>
      <c r="BJ277" s="9"/>
      <c r="BK277" s="9"/>
      <c r="BL277" s="9"/>
      <c r="BM277" s="9"/>
      <c r="BN277" s="9"/>
      <c r="BO277" s="9"/>
      <c r="BP277" s="9"/>
      <c r="BQ277" s="9"/>
      <c r="BR277" s="9"/>
      <c r="BS277" s="9"/>
    </row>
    <row r="278" spans="1:71">
      <c r="A278" s="79">
        <v>25</v>
      </c>
      <c r="B278" s="50">
        <v>103.75000000000001</v>
      </c>
      <c r="C278" s="82">
        <f>SUM(D278:G278)</f>
        <v>11.739999999999998</v>
      </c>
      <c r="D278" s="89">
        <v>9.7799999999999994</v>
      </c>
      <c r="E278" s="89">
        <v>0.01</v>
      </c>
      <c r="F278" s="89">
        <v>0.92</v>
      </c>
      <c r="G278" s="89">
        <v>1.03</v>
      </c>
      <c r="H278" s="68">
        <f t="shared" si="27"/>
        <v>1.1195652173913044</v>
      </c>
      <c r="I278" s="82">
        <f t="shared" si="26"/>
        <v>35.5</v>
      </c>
      <c r="J278" s="89">
        <v>11.2</v>
      </c>
      <c r="K278" s="89">
        <v>0.5</v>
      </c>
      <c r="L278" s="89">
        <v>10.92</v>
      </c>
      <c r="M278" s="89">
        <v>0.37</v>
      </c>
      <c r="N278" s="89">
        <v>12.51</v>
      </c>
      <c r="O278" s="79">
        <v>28</v>
      </c>
      <c r="P278" s="79">
        <v>1.34</v>
      </c>
      <c r="Q278" s="79">
        <v>-11.7</v>
      </c>
      <c r="R278" s="80">
        <v>952.2</v>
      </c>
      <c r="S278" s="80">
        <v>37.31</v>
      </c>
      <c r="T278" s="79">
        <v>20</v>
      </c>
      <c r="W278" s="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3"/>
      <c r="BB278" s="3"/>
      <c r="BC278" s="3"/>
      <c r="BD278" s="1"/>
      <c r="BE278" s="9"/>
      <c r="BF278" s="9"/>
      <c r="BG278" s="9"/>
      <c r="BH278" s="9"/>
      <c r="BI278" s="9"/>
      <c r="BJ278" s="9"/>
      <c r="BK278" s="9"/>
      <c r="BL278" s="9"/>
      <c r="BM278" s="9"/>
      <c r="BN278" s="9"/>
      <c r="BO278" s="9"/>
      <c r="BP278" s="9"/>
      <c r="BQ278" s="9"/>
      <c r="BR278" s="9"/>
      <c r="BS278" s="9"/>
    </row>
    <row r="279" spans="1:71">
      <c r="A279" s="79">
        <v>30</v>
      </c>
      <c r="B279" s="50">
        <v>102.5</v>
      </c>
      <c r="C279" s="82">
        <f t="shared" ref="C279:C283" si="28">SUM(D279:G279)</f>
        <v>11.59</v>
      </c>
      <c r="D279" s="89">
        <v>10.01</v>
      </c>
      <c r="E279" s="89">
        <v>0</v>
      </c>
      <c r="F279" s="89">
        <v>0.76</v>
      </c>
      <c r="G279" s="89">
        <v>0.82</v>
      </c>
      <c r="H279" s="68">
        <f t="shared" si="27"/>
        <v>1.0789473684210527</v>
      </c>
      <c r="I279" s="82">
        <f t="shared" si="26"/>
        <v>34</v>
      </c>
      <c r="J279" s="89">
        <v>11.2</v>
      </c>
      <c r="K279" s="89">
        <v>0.91</v>
      </c>
      <c r="L279" s="89">
        <v>10.15</v>
      </c>
      <c r="M279" s="89">
        <v>0.37</v>
      </c>
      <c r="N279" s="89">
        <v>11.37</v>
      </c>
      <c r="O279" s="79">
        <v>31</v>
      </c>
      <c r="P279" s="79">
        <v>0.42</v>
      </c>
      <c r="Q279" s="79">
        <v>-5.3</v>
      </c>
      <c r="R279" s="80">
        <v>910.9</v>
      </c>
      <c r="S279" s="80">
        <v>37.31</v>
      </c>
      <c r="T279" s="79">
        <v>20</v>
      </c>
      <c r="W279" s="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3"/>
      <c r="BB279" s="3"/>
      <c r="BC279" s="3"/>
      <c r="BD279" s="1"/>
      <c r="BE279" s="9"/>
      <c r="BF279" s="9"/>
      <c r="BG279" s="9"/>
      <c r="BH279" s="9"/>
      <c r="BI279" s="9"/>
      <c r="BJ279" s="9"/>
      <c r="BK279" s="9"/>
      <c r="BL279" s="9"/>
      <c r="BM279" s="9"/>
      <c r="BN279" s="9"/>
      <c r="BO279" s="9"/>
      <c r="BP279" s="9"/>
      <c r="BQ279" s="9"/>
      <c r="BR279" s="9"/>
      <c r="BS279" s="9"/>
    </row>
    <row r="280" spans="1:71">
      <c r="A280" s="79">
        <v>40</v>
      </c>
      <c r="B280" s="50">
        <v>101.24999999999999</v>
      </c>
      <c r="C280" s="82">
        <f t="shared" si="28"/>
        <v>11.5</v>
      </c>
      <c r="D280" s="89">
        <v>10.67</v>
      </c>
      <c r="E280" s="89">
        <v>0</v>
      </c>
      <c r="F280" s="89">
        <v>0.41</v>
      </c>
      <c r="G280" s="89">
        <v>0.42</v>
      </c>
      <c r="H280" s="68">
        <f t="shared" si="27"/>
        <v>1.024390243902439</v>
      </c>
      <c r="I280" s="82">
        <f t="shared" si="26"/>
        <v>31.32</v>
      </c>
      <c r="J280" s="89">
        <v>11.2</v>
      </c>
      <c r="K280" s="89">
        <v>2.0099999999999998</v>
      </c>
      <c r="L280" s="89">
        <v>8.64</v>
      </c>
      <c r="M280" s="89">
        <v>0.25</v>
      </c>
      <c r="N280" s="89">
        <v>9.2200000000000006</v>
      </c>
      <c r="O280" s="79">
        <v>41</v>
      </c>
      <c r="P280" s="79">
        <v>0.99</v>
      </c>
      <c r="Q280" s="79">
        <v>5.4</v>
      </c>
      <c r="R280" s="80">
        <v>830.3</v>
      </c>
      <c r="S280" s="80">
        <v>37.31</v>
      </c>
      <c r="T280" s="79">
        <v>16</v>
      </c>
      <c r="W280" s="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3"/>
      <c r="BB280" s="3"/>
      <c r="BC280" s="3"/>
      <c r="BD280" s="1"/>
      <c r="BE280" s="9"/>
      <c r="BF280" s="9"/>
      <c r="BG280" s="9"/>
      <c r="BH280" s="9"/>
      <c r="BI280" s="9"/>
      <c r="BJ280" s="9"/>
      <c r="BK280" s="9"/>
      <c r="BL280" s="9"/>
      <c r="BM280" s="9"/>
      <c r="BN280" s="9"/>
      <c r="BO280" s="9"/>
      <c r="BP280" s="9"/>
      <c r="BQ280" s="9"/>
      <c r="BR280" s="9"/>
      <c r="BS280" s="9"/>
    </row>
    <row r="281" spans="1:71">
      <c r="A281" s="79">
        <v>50</v>
      </c>
      <c r="B281" s="50">
        <v>102.5</v>
      </c>
      <c r="C281" s="82">
        <f t="shared" si="28"/>
        <v>11.650000000000002</v>
      </c>
      <c r="D281" s="89">
        <v>11.21</v>
      </c>
      <c r="E281" s="89">
        <v>0</v>
      </c>
      <c r="F281" s="89">
        <v>0.21</v>
      </c>
      <c r="G281" s="89">
        <v>0.23</v>
      </c>
      <c r="H281" s="68">
        <f t="shared" si="27"/>
        <v>1.0952380952380953</v>
      </c>
      <c r="I281" s="82">
        <f t="shared" si="26"/>
        <v>28.990000000000002</v>
      </c>
      <c r="J281" s="89">
        <v>11.2</v>
      </c>
      <c r="K281" s="89">
        <v>2.92</v>
      </c>
      <c r="L281" s="89">
        <v>7.21</v>
      </c>
      <c r="M281" s="89">
        <v>0.01</v>
      </c>
      <c r="N281" s="89">
        <v>7.65</v>
      </c>
      <c r="O281" s="79">
        <v>51</v>
      </c>
      <c r="P281" s="79">
        <v>0.05</v>
      </c>
      <c r="Q281" s="79">
        <v>14.3</v>
      </c>
      <c r="R281" s="80">
        <v>747.6</v>
      </c>
      <c r="S281" s="80">
        <v>37.31</v>
      </c>
      <c r="T281" s="79">
        <v>16</v>
      </c>
      <c r="W281" s="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15"/>
      <c r="AU281" s="15"/>
      <c r="AV281" s="15"/>
      <c r="AW281" s="15"/>
      <c r="AX281" s="15"/>
      <c r="AY281" s="15"/>
      <c r="AZ281" s="15"/>
      <c r="BA281" s="3"/>
      <c r="BB281" s="3"/>
      <c r="BC281" s="3"/>
      <c r="BD281" s="1"/>
      <c r="BE281" s="9"/>
      <c r="BF281" s="9"/>
      <c r="BG281" s="9"/>
      <c r="BH281" s="9"/>
      <c r="BI281" s="9"/>
      <c r="BJ281" s="9"/>
      <c r="BK281" s="9"/>
      <c r="BL281" s="9"/>
      <c r="BM281" s="9"/>
      <c r="BN281" s="9"/>
      <c r="BO281" s="9"/>
      <c r="BP281" s="9"/>
      <c r="BQ281" s="9"/>
      <c r="BR281" s="9"/>
      <c r="BS281" s="9"/>
    </row>
    <row r="282" spans="1:71">
      <c r="A282" s="79">
        <v>60</v>
      </c>
      <c r="B282" s="50">
        <v>105.00000000000001</v>
      </c>
      <c r="C282" s="82">
        <f t="shared" si="28"/>
        <v>11.84</v>
      </c>
      <c r="D282" s="89">
        <v>11.67</v>
      </c>
      <c r="E282" s="89">
        <v>0</v>
      </c>
      <c r="F282" s="89">
        <v>0.08</v>
      </c>
      <c r="G282" s="89">
        <v>0.09</v>
      </c>
      <c r="H282" s="68">
        <f t="shared" si="27"/>
        <v>1.125</v>
      </c>
      <c r="I282" s="82">
        <f t="shared" si="26"/>
        <v>26.12</v>
      </c>
      <c r="J282" s="89">
        <v>11.2</v>
      </c>
      <c r="K282" s="89">
        <v>4.5999999999999996</v>
      </c>
      <c r="L282" s="89">
        <v>4.88</v>
      </c>
      <c r="M282" s="89">
        <v>0.19</v>
      </c>
      <c r="N282" s="89">
        <v>5.25</v>
      </c>
      <c r="O282" s="79">
        <v>61</v>
      </c>
      <c r="P282" s="79">
        <v>0</v>
      </c>
      <c r="Q282" s="79">
        <v>21.9</v>
      </c>
      <c r="R282" s="80">
        <v>655.8</v>
      </c>
      <c r="S282" s="80">
        <v>37.31</v>
      </c>
      <c r="T282" s="79">
        <v>11.999999999999998</v>
      </c>
      <c r="W282" s="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3"/>
      <c r="BB282" s="3"/>
      <c r="BC282" s="3"/>
      <c r="BD282" s="1"/>
      <c r="BE282" s="9"/>
      <c r="BF282" s="9"/>
      <c r="BG282" s="9"/>
      <c r="BH282" s="9"/>
      <c r="BI282" s="9"/>
      <c r="BJ282" s="9"/>
      <c r="BK282" s="9"/>
      <c r="BL282" s="9"/>
      <c r="BM282" s="9"/>
      <c r="BN282" s="9"/>
      <c r="BO282" s="9"/>
      <c r="BP282" s="9"/>
      <c r="BQ282" s="9"/>
      <c r="BR282" s="9"/>
      <c r="BS282" s="9"/>
    </row>
    <row r="283" spans="1:71">
      <c r="A283" s="79">
        <v>70</v>
      </c>
      <c r="B283" s="50">
        <v>107.5</v>
      </c>
      <c r="C283" s="82">
        <f t="shared" si="28"/>
        <v>12.149999999999999</v>
      </c>
      <c r="D283" s="89">
        <v>12.09</v>
      </c>
      <c r="E283" s="89">
        <v>0</v>
      </c>
      <c r="F283" s="89">
        <v>0.03</v>
      </c>
      <c r="G283" s="89">
        <v>0.03</v>
      </c>
      <c r="H283" s="68">
        <f t="shared" si="27"/>
        <v>1</v>
      </c>
      <c r="I283" s="82">
        <f t="shared" si="26"/>
        <v>22.16</v>
      </c>
      <c r="J283" s="89">
        <v>11.2</v>
      </c>
      <c r="K283" s="89">
        <v>5.98</v>
      </c>
      <c r="L283" s="89">
        <v>2.46</v>
      </c>
      <c r="M283" s="89">
        <v>0.02</v>
      </c>
      <c r="N283" s="89">
        <v>2.5</v>
      </c>
      <c r="O283" s="79">
        <v>71</v>
      </c>
      <c r="P283" s="79">
        <v>0</v>
      </c>
      <c r="Q283" s="79">
        <v>28.7</v>
      </c>
      <c r="R283" s="80">
        <v>531.20000000000005</v>
      </c>
      <c r="S283" s="80">
        <v>37.31</v>
      </c>
      <c r="T283" s="79">
        <v>11.999999999999998</v>
      </c>
      <c r="W283" s="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3"/>
      <c r="BB283" s="3"/>
      <c r="BC283" s="3"/>
      <c r="BD283" s="1"/>
      <c r="BE283" s="9"/>
      <c r="BF283" s="9"/>
      <c r="BG283" s="9"/>
      <c r="BH283" s="9"/>
      <c r="BI283" s="9"/>
      <c r="BJ283" s="9"/>
      <c r="BK283" s="9"/>
      <c r="BL283" s="9"/>
      <c r="BM283" s="9"/>
      <c r="BN283" s="9"/>
      <c r="BO283" s="9"/>
      <c r="BP283" s="9"/>
      <c r="BQ283" s="9"/>
      <c r="BR283" s="9"/>
      <c r="BS283" s="9"/>
    </row>
    <row r="284" spans="1:71">
      <c r="C284" s="5"/>
      <c r="D284" s="16"/>
      <c r="F284" s="3"/>
      <c r="G284" s="3"/>
      <c r="H284" s="6"/>
      <c r="I284" s="6"/>
      <c r="J284" s="6"/>
      <c r="K284" s="6"/>
      <c r="L284" s="4"/>
      <c r="M284" s="4"/>
      <c r="N284" s="4"/>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3"/>
      <c r="BB284" s="3"/>
      <c r="BC284" s="3"/>
      <c r="BD284" s="1"/>
      <c r="BE284" s="9"/>
      <c r="BF284" s="9"/>
      <c r="BG284" s="9"/>
      <c r="BH284" s="9"/>
      <c r="BI284" s="9"/>
      <c r="BJ284" s="9"/>
      <c r="BK284" s="9"/>
      <c r="BL284" s="9"/>
      <c r="BM284" s="9"/>
      <c r="BN284" s="9"/>
      <c r="BO284" s="9"/>
      <c r="BP284" s="9"/>
      <c r="BQ284" s="9"/>
      <c r="BR284" s="9"/>
      <c r="BS284" s="9"/>
    </row>
    <row r="285" spans="1:71">
      <c r="A285" t="s">
        <v>844</v>
      </c>
      <c r="C285" s="5"/>
      <c r="D285" s="16"/>
      <c r="F285" s="3"/>
      <c r="G285" s="3"/>
      <c r="H285" s="6"/>
      <c r="I285" s="6"/>
      <c r="J285" s="6"/>
      <c r="K285" s="6"/>
      <c r="L285" s="4"/>
      <c r="M285" s="4"/>
      <c r="N285" s="4"/>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15"/>
      <c r="AU285" s="15"/>
      <c r="AV285" s="15"/>
      <c r="AW285" s="15"/>
      <c r="AX285" s="15"/>
      <c r="AY285" s="15"/>
      <c r="AZ285" s="15"/>
      <c r="BA285" s="3"/>
      <c r="BB285" s="3"/>
      <c r="BC285" s="3"/>
      <c r="BD285" s="1"/>
      <c r="BE285" s="9"/>
      <c r="BF285" s="9"/>
      <c r="BG285" s="9"/>
      <c r="BH285" s="9"/>
      <c r="BI285" s="9"/>
      <c r="BJ285" s="9"/>
      <c r="BK285" s="9"/>
      <c r="BL285" s="9"/>
      <c r="BM285" s="9"/>
      <c r="BN285" s="9"/>
      <c r="BO285" s="9"/>
      <c r="BP285" s="9"/>
      <c r="BQ285" s="9"/>
      <c r="BR285" s="9"/>
      <c r="BS285" s="9"/>
    </row>
    <row r="286" spans="1:71">
      <c r="A286" s="28" t="s">
        <v>190</v>
      </c>
      <c r="B286" s="30">
        <f>$B$118</f>
        <v>15</v>
      </c>
      <c r="C286" s="28" t="s">
        <v>72</v>
      </c>
      <c r="D286" s="16"/>
      <c r="F286" s="3"/>
      <c r="G286" s="3"/>
      <c r="H286" s="6"/>
      <c r="I286" s="6"/>
      <c r="J286" s="6"/>
      <c r="K286" s="6"/>
      <c r="L286" s="4"/>
      <c r="M286" s="4"/>
      <c r="N286" s="4"/>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3"/>
      <c r="BB286" s="3"/>
      <c r="BC286" s="3"/>
      <c r="BD286" s="1"/>
      <c r="BE286" s="9"/>
      <c r="BF286" s="9"/>
      <c r="BG286" s="9"/>
      <c r="BH286" s="9"/>
      <c r="BI286" s="9"/>
      <c r="BJ286" s="9"/>
      <c r="BK286" s="9"/>
      <c r="BL286" s="9"/>
      <c r="BM286" s="9"/>
      <c r="BN286" s="9"/>
      <c r="BO286" s="9"/>
      <c r="BP286" s="9"/>
      <c r="BQ286" s="9"/>
      <c r="BR286" s="9"/>
      <c r="BS286" s="9"/>
    </row>
    <row r="287" spans="1:71">
      <c r="A287" s="28" t="s">
        <v>181</v>
      </c>
      <c r="B287" s="28">
        <f>B117</f>
        <v>1</v>
      </c>
      <c r="C287" s="28" t="s">
        <v>72</v>
      </c>
      <c r="D287" s="16"/>
      <c r="F287" s="3"/>
      <c r="G287" s="3"/>
      <c r="H287" s="3"/>
      <c r="I287" s="3"/>
      <c r="J287" s="3"/>
      <c r="K287" s="3"/>
      <c r="L287" s="4"/>
      <c r="M287" s="4"/>
      <c r="N287" s="4"/>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3"/>
      <c r="BB287" s="3"/>
      <c r="BC287" s="3"/>
      <c r="BD287" s="1"/>
      <c r="BE287" s="9"/>
      <c r="BF287" s="9"/>
      <c r="BG287" s="9"/>
      <c r="BH287" s="9"/>
      <c r="BI287" s="9"/>
      <c r="BJ287" s="9"/>
      <c r="BK287" s="9"/>
      <c r="BL287" s="9"/>
      <c r="BM287" s="9"/>
      <c r="BN287" s="9"/>
      <c r="BO287" s="9"/>
      <c r="BP287" s="9"/>
      <c r="BQ287" s="9"/>
      <c r="BR287" s="9"/>
      <c r="BS287" s="9"/>
    </row>
    <row r="288" spans="1:71">
      <c r="A288" s="28" t="s">
        <v>263</v>
      </c>
      <c r="B288" s="28">
        <f>LOOKUP(B286,$A$274:$A$283,$O$274:$O$283)</f>
        <v>27.5</v>
      </c>
      <c r="C288" s="28" t="s">
        <v>72</v>
      </c>
      <c r="D288" s="16"/>
      <c r="F288" s="3"/>
      <c r="G288" s="3"/>
      <c r="H288" s="3"/>
      <c r="I288" s="3"/>
      <c r="J288" s="3"/>
      <c r="K288" s="3"/>
      <c r="L288" s="4"/>
      <c r="M288" s="4"/>
      <c r="N288" s="4"/>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3"/>
      <c r="BB288" s="3"/>
      <c r="BC288" s="3"/>
      <c r="BD288" s="1"/>
      <c r="BE288" s="9"/>
      <c r="BF288" s="9"/>
      <c r="BG288" s="9"/>
      <c r="BH288" s="9"/>
      <c r="BI288" s="9"/>
      <c r="BJ288" s="9"/>
      <c r="BK288" s="9"/>
      <c r="BL288" s="9"/>
      <c r="BM288" s="9"/>
      <c r="BN288" s="9"/>
      <c r="BO288" s="9"/>
      <c r="BP288" s="9"/>
      <c r="BQ288" s="9"/>
      <c r="BR288" s="9"/>
      <c r="BS288" s="9"/>
    </row>
    <row r="289" spans="1:71">
      <c r="A289" s="28" t="s">
        <v>182</v>
      </c>
      <c r="B289" s="31">
        <f>B287/B288</f>
        <v>3.6363636363636362E-2</v>
      </c>
      <c r="C289" s="76" t="s">
        <v>568</v>
      </c>
      <c r="D289" s="16"/>
      <c r="F289" s="3"/>
      <c r="G289" s="3"/>
      <c r="H289" s="3"/>
      <c r="I289" s="3"/>
      <c r="J289" s="3"/>
      <c r="K289" s="3"/>
      <c r="L289" s="4"/>
      <c r="M289" s="4"/>
      <c r="N289" s="4"/>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15"/>
      <c r="AU289" s="15"/>
      <c r="AV289" s="15"/>
      <c r="AW289" s="15"/>
      <c r="AX289" s="15"/>
      <c r="AY289" s="15"/>
      <c r="AZ289" s="15"/>
      <c r="BA289" s="3"/>
      <c r="BB289" s="3"/>
      <c r="BC289" s="3"/>
      <c r="BD289" s="1"/>
      <c r="BE289" s="9"/>
      <c r="BF289" s="9"/>
      <c r="BG289" s="9"/>
      <c r="BH289" s="9"/>
      <c r="BI289" s="9"/>
      <c r="BJ289" s="9"/>
      <c r="BK289" s="9"/>
      <c r="BL289" s="9"/>
      <c r="BM289" s="9"/>
      <c r="BN289" s="9"/>
      <c r="BO289" s="9"/>
      <c r="BP289" s="9"/>
      <c r="BQ289" s="9"/>
      <c r="BR289" s="9"/>
      <c r="BS289" s="9"/>
    </row>
    <row r="290" spans="1:71">
      <c r="A290" s="28" t="s">
        <v>264</v>
      </c>
      <c r="B290" s="30">
        <v>4</v>
      </c>
      <c r="C290" s="28" t="s">
        <v>38</v>
      </c>
      <c r="D290" s="16"/>
      <c r="F290" s="3"/>
      <c r="G290" s="3"/>
      <c r="H290" s="3"/>
      <c r="I290" s="3"/>
      <c r="J290" s="3"/>
      <c r="K290" s="3"/>
      <c r="L290" s="4"/>
      <c r="M290" s="4"/>
      <c r="N290" s="4"/>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3"/>
      <c r="BB290" s="3"/>
      <c r="BC290" s="3"/>
      <c r="BD290" s="1"/>
      <c r="BE290" s="9"/>
      <c r="BF290" s="9"/>
      <c r="BG290" s="9"/>
      <c r="BH290" s="9"/>
      <c r="BI290" s="9"/>
      <c r="BJ290" s="9"/>
      <c r="BK290" s="9"/>
      <c r="BL290" s="9"/>
      <c r="BM290" s="9"/>
      <c r="BN290" s="9"/>
      <c r="BO290" s="9"/>
      <c r="BP290" s="9"/>
      <c r="BQ290" s="9"/>
      <c r="BR290" s="9"/>
      <c r="BS290" s="9"/>
    </row>
    <row r="291" spans="1:71">
      <c r="A291" s="28" t="s">
        <v>262</v>
      </c>
      <c r="B291" s="29">
        <f>LOOKUP(B286,$A$274:$A$283,$H$274:$H$283)</f>
        <v>1.0917431192660549</v>
      </c>
      <c r="C291" s="76" t="s">
        <v>568</v>
      </c>
      <c r="D291" s="16"/>
      <c r="F291" s="3"/>
      <c r="G291" s="3"/>
      <c r="H291" s="3"/>
      <c r="I291" s="3"/>
      <c r="J291" s="3"/>
      <c r="K291" s="3"/>
      <c r="L291" s="4"/>
      <c r="M291" s="4"/>
      <c r="N291" s="4"/>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15"/>
      <c r="AU291" s="15"/>
      <c r="AV291" s="15"/>
      <c r="AW291" s="15"/>
      <c r="AX291" s="15"/>
      <c r="AY291" s="15"/>
      <c r="AZ291" s="15"/>
      <c r="BA291" s="3"/>
      <c r="BB291" s="3"/>
      <c r="BC291" s="3"/>
      <c r="BD291" s="1"/>
      <c r="BE291" s="9"/>
      <c r="BF291" s="9"/>
      <c r="BG291" s="9"/>
      <c r="BH291" s="9"/>
      <c r="BI291" s="9"/>
      <c r="BJ291" s="9"/>
      <c r="BK291" s="9"/>
      <c r="BL291" s="9"/>
      <c r="BM291" s="9"/>
      <c r="BN291" s="9"/>
      <c r="BO291" s="9"/>
      <c r="BP291" s="9"/>
      <c r="BQ291" s="9"/>
      <c r="BR291" s="9"/>
      <c r="BS291" s="9"/>
    </row>
    <row r="292" spans="1:71">
      <c r="A292" s="28" t="s">
        <v>265</v>
      </c>
      <c r="B292" s="30">
        <f>(1000*LOOKUP(B286,$A$274:$A$283,$D$274:$D$283))</f>
        <v>9750</v>
      </c>
      <c r="C292" s="28" t="s">
        <v>180</v>
      </c>
      <c r="D292" s="16"/>
      <c r="F292" s="3"/>
      <c r="G292" s="3"/>
      <c r="H292" s="6"/>
      <c r="I292" s="6"/>
      <c r="J292" s="6"/>
      <c r="K292" s="6"/>
      <c r="L292" s="4"/>
      <c r="M292" s="4"/>
      <c r="N292" s="4"/>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3"/>
      <c r="BB292" s="3"/>
      <c r="BC292" s="3"/>
      <c r="BD292" s="1"/>
      <c r="BE292" s="9"/>
      <c r="BF292" s="9"/>
      <c r="BG292" s="9"/>
      <c r="BH292" s="9"/>
      <c r="BI292" s="9"/>
      <c r="BJ292" s="9"/>
      <c r="BK292" s="9"/>
      <c r="BL292" s="9"/>
      <c r="BM292" s="9"/>
      <c r="BN292" s="9"/>
      <c r="BO292" s="9"/>
      <c r="BP292" s="9"/>
      <c r="BQ292" s="9"/>
      <c r="BR292" s="9"/>
      <c r="BS292" s="9"/>
    </row>
    <row r="293" spans="1:71">
      <c r="A293" s="28" t="s">
        <v>266</v>
      </c>
      <c r="B293" s="30">
        <f>B292/(1+B291+(B291^2)+(B291^3))</f>
        <v>2126.5467170441275</v>
      </c>
      <c r="C293" s="28" t="s">
        <v>180</v>
      </c>
      <c r="D293" s="16"/>
      <c r="F293" s="3"/>
      <c r="G293" s="3"/>
      <c r="H293" s="6"/>
      <c r="I293" s="6"/>
      <c r="J293" s="6"/>
      <c r="K293" s="6"/>
      <c r="L293" s="4"/>
      <c r="M293" s="4"/>
      <c r="N293" s="4"/>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15"/>
      <c r="AU293" s="15"/>
      <c r="AV293" s="15"/>
      <c r="AW293" s="15"/>
      <c r="AX293" s="15"/>
      <c r="AY293" s="15"/>
      <c r="AZ293" s="15"/>
      <c r="BA293" s="3"/>
      <c r="BB293" s="3"/>
      <c r="BC293" s="3"/>
      <c r="BD293" s="1"/>
      <c r="BE293" s="9"/>
      <c r="BF293" s="9"/>
      <c r="BG293" s="9"/>
      <c r="BH293" s="9"/>
      <c r="BI293" s="9"/>
      <c r="BJ293" s="9"/>
      <c r="BK293" s="9"/>
      <c r="BL293" s="9"/>
      <c r="BM293" s="9"/>
      <c r="BN293" s="9"/>
      <c r="BO293" s="9"/>
      <c r="BP293" s="9"/>
      <c r="BQ293" s="9"/>
      <c r="BR293" s="9"/>
      <c r="BS293" s="9"/>
    </row>
    <row r="294" spans="1:71">
      <c r="A294" s="28" t="s">
        <v>848</v>
      </c>
      <c r="B294" s="30">
        <f>LOOKUP(B286,$A$274:$A$283,$F$274:$F$283)*1000</f>
        <v>1090</v>
      </c>
      <c r="C294" s="28" t="s">
        <v>180</v>
      </c>
      <c r="D294" s="16"/>
      <c r="F294" s="3"/>
      <c r="G294" s="3"/>
      <c r="L294" s="4"/>
      <c r="M294" s="4"/>
      <c r="N294" s="4"/>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3"/>
      <c r="BB294" s="3"/>
      <c r="BC294" s="3"/>
      <c r="BD294" s="1"/>
      <c r="BE294" s="9"/>
      <c r="BF294" s="9"/>
      <c r="BG294" s="9"/>
      <c r="BH294" s="9"/>
      <c r="BI294" s="9"/>
      <c r="BJ294" s="9"/>
      <c r="BK294" s="9"/>
      <c r="BL294" s="9"/>
      <c r="BM294" s="9"/>
      <c r="BN294" s="9"/>
      <c r="BO294" s="9"/>
      <c r="BP294" s="9"/>
      <c r="BQ294" s="9"/>
      <c r="BR294" s="9"/>
      <c r="BS294" s="9"/>
    </row>
    <row r="295" spans="1:71">
      <c r="A295" s="28" t="s">
        <v>849</v>
      </c>
      <c r="B295" s="30">
        <f>LOOKUP(B286,$A$274:$A$283,$E$274:$E$283)*1000</f>
        <v>200</v>
      </c>
      <c r="C295" s="28" t="s">
        <v>180</v>
      </c>
      <c r="D295" s="16"/>
      <c r="F295" s="3"/>
      <c r="G295" s="3"/>
      <c r="H295" s="6"/>
      <c r="I295" s="6"/>
      <c r="J295" s="6"/>
      <c r="K295" s="6"/>
      <c r="L295" s="4"/>
      <c r="M295" s="4"/>
      <c r="N295" s="4"/>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15"/>
      <c r="AU295" s="15"/>
      <c r="AV295" s="15"/>
      <c r="AW295" s="15"/>
      <c r="AX295" s="15"/>
      <c r="AY295" s="15"/>
      <c r="AZ295" s="15"/>
      <c r="BA295" s="3"/>
      <c r="BB295" s="3"/>
      <c r="BC295" s="3"/>
      <c r="BD295" s="1"/>
      <c r="BE295" s="9"/>
      <c r="BF295" s="9"/>
      <c r="BG295" s="9"/>
      <c r="BH295" s="9"/>
      <c r="BI295" s="9"/>
      <c r="BJ295" s="9"/>
      <c r="BK295" s="9"/>
      <c r="BL295" s="9"/>
      <c r="BM295" s="9"/>
      <c r="BN295" s="9"/>
      <c r="BO295" s="9"/>
      <c r="BP295" s="9"/>
      <c r="BQ295" s="9"/>
      <c r="BR295" s="9"/>
      <c r="BS295" s="9"/>
    </row>
    <row r="296" spans="1:71">
      <c r="A296" s="28" t="s">
        <v>872</v>
      </c>
      <c r="B296" s="34">
        <f>LOOKUP(B286,$A$274:$A$283,$S$274:$S$283)</f>
        <v>37.31</v>
      </c>
      <c r="C296" s="28" t="s">
        <v>26</v>
      </c>
      <c r="D296" s="16"/>
      <c r="F296" s="3"/>
      <c r="G296" s="3"/>
      <c r="H296" s="6"/>
      <c r="I296" s="6"/>
      <c r="J296" s="6"/>
      <c r="K296" s="6"/>
      <c r="L296" s="4"/>
      <c r="M296" s="4"/>
      <c r="N296" s="4"/>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3"/>
      <c r="BB296" s="3"/>
      <c r="BC296" s="3"/>
      <c r="BD296" s="1"/>
      <c r="BE296" s="9"/>
      <c r="BF296" s="9"/>
      <c r="BG296" s="9"/>
      <c r="BH296" s="9"/>
      <c r="BI296" s="9"/>
      <c r="BJ296" s="9"/>
      <c r="BK296" s="9"/>
      <c r="BL296" s="9"/>
      <c r="BM296" s="9"/>
      <c r="BN296" s="9"/>
      <c r="BO296" s="9"/>
      <c r="BP296" s="9"/>
      <c r="BQ296" s="9"/>
      <c r="BR296" s="9"/>
      <c r="BS296" s="9"/>
    </row>
    <row r="297" spans="1:71">
      <c r="A297" s="28" t="s">
        <v>210</v>
      </c>
      <c r="B297" s="34">
        <f>B7</f>
        <v>9.506426344208684</v>
      </c>
      <c r="C297" s="32" t="s">
        <v>26</v>
      </c>
      <c r="D297" s="16"/>
      <c r="F297" s="3"/>
      <c r="G297" s="3"/>
      <c r="H297" s="6"/>
      <c r="I297" s="6"/>
      <c r="J297" s="6"/>
      <c r="K297" s="6"/>
      <c r="L297" s="4"/>
      <c r="M297" s="4"/>
      <c r="N297" s="4"/>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15"/>
      <c r="AU297" s="15"/>
      <c r="AV297" s="15"/>
      <c r="AW297" s="15"/>
      <c r="AX297" s="15"/>
      <c r="AY297" s="15"/>
      <c r="AZ297" s="15"/>
      <c r="BA297" s="3"/>
      <c r="BB297" s="3"/>
      <c r="BC297" s="3"/>
      <c r="BD297" s="1"/>
      <c r="BE297" s="9"/>
      <c r="BF297" s="9"/>
      <c r="BG297" s="9"/>
      <c r="BH297" s="9"/>
      <c r="BI297" s="9"/>
      <c r="BJ297" s="9"/>
      <c r="BK297" s="9"/>
      <c r="BL297" s="9"/>
      <c r="BM297" s="9"/>
      <c r="BN297" s="9"/>
      <c r="BO297" s="9"/>
      <c r="BP297" s="9"/>
      <c r="BQ297" s="9"/>
      <c r="BR297" s="9"/>
      <c r="BS297" s="9"/>
    </row>
    <row r="298" spans="1:71">
      <c r="A298" s="28" t="s">
        <v>283</v>
      </c>
      <c r="B298" s="35">
        <f>B297/B296</f>
        <v>0.25479566722617752</v>
      </c>
      <c r="C298" s="77" t="s">
        <v>568</v>
      </c>
      <c r="D298" s="16"/>
      <c r="F298" s="3"/>
      <c r="G298" s="3"/>
      <c r="H298" s="6"/>
      <c r="I298" s="6"/>
      <c r="J298" s="6"/>
      <c r="K298" s="6"/>
      <c r="L298" s="4"/>
      <c r="M298" s="4"/>
      <c r="N298" s="4"/>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3"/>
      <c r="BB298" s="3"/>
      <c r="BC298" s="3"/>
      <c r="BD298" s="1"/>
      <c r="BE298" s="9"/>
      <c r="BF298" s="9"/>
      <c r="BG298" s="9"/>
      <c r="BH298" s="9"/>
      <c r="BI298" s="9"/>
      <c r="BJ298" s="9"/>
      <c r="BK298" s="9"/>
      <c r="BL298" s="9"/>
      <c r="BM298" s="9"/>
      <c r="BN298" s="9"/>
      <c r="BO298" s="9"/>
      <c r="BP298" s="9"/>
      <c r="BQ298" s="9"/>
      <c r="BR298" s="9"/>
      <c r="BS298" s="9"/>
    </row>
    <row r="299" spans="1:71">
      <c r="C299" s="5"/>
      <c r="D299" s="16"/>
      <c r="F299" s="3"/>
      <c r="G299" s="3"/>
      <c r="H299" s="6"/>
      <c r="I299" s="6"/>
      <c r="J299" s="6"/>
      <c r="K299" s="6"/>
      <c r="L299" s="4"/>
      <c r="M299" s="4"/>
      <c r="N299" s="4"/>
      <c r="O299" s="15"/>
      <c r="P299" s="15"/>
      <c r="Q299" s="15"/>
      <c r="R299" s="15"/>
      <c r="S299" s="15"/>
      <c r="T299" s="15"/>
      <c r="U299" s="15"/>
      <c r="V299" s="15"/>
      <c r="W299" s="15"/>
      <c r="X299" s="15"/>
      <c r="Y299" s="15"/>
      <c r="Z299" s="15"/>
      <c r="AA299" s="15"/>
      <c r="AB299" s="15"/>
      <c r="AC299" s="15"/>
      <c r="AD299" s="15"/>
      <c r="AE299" s="15"/>
      <c r="AF299" s="15"/>
      <c r="AG299" s="15"/>
      <c r="AH299" s="15"/>
      <c r="AI299" s="15"/>
      <c r="AJ299" s="15"/>
      <c r="AK299" s="15"/>
      <c r="AL299" s="15"/>
      <c r="AM299" s="15"/>
      <c r="AN299" s="15"/>
      <c r="AO299" s="15"/>
      <c r="AP299" s="15"/>
      <c r="AQ299" s="15"/>
      <c r="AR299" s="15"/>
      <c r="AS299" s="15"/>
      <c r="AT299" s="15"/>
      <c r="AU299" s="15"/>
      <c r="AV299" s="15"/>
      <c r="AW299" s="15"/>
      <c r="AX299" s="15"/>
      <c r="AY299" s="15"/>
      <c r="AZ299" s="15"/>
      <c r="BA299" s="3"/>
      <c r="BB299" s="3"/>
      <c r="BC299" s="3"/>
      <c r="BD299" s="1"/>
      <c r="BE299" s="9"/>
      <c r="BF299" s="9"/>
      <c r="BG299" s="9"/>
      <c r="BH299" s="9"/>
      <c r="BI299" s="9"/>
      <c r="BJ299" s="9"/>
      <c r="BK299" s="9"/>
      <c r="BL299" s="9"/>
      <c r="BM299" s="9"/>
      <c r="BN299" s="9"/>
      <c r="BO299" s="9"/>
      <c r="BP299" s="9"/>
      <c r="BQ299" s="9"/>
      <c r="BR299" s="9"/>
      <c r="BS299" s="9"/>
    </row>
    <row r="300" spans="1:71">
      <c r="B300" s="33" t="s">
        <v>184</v>
      </c>
      <c r="C300" s="33" t="s">
        <v>185</v>
      </c>
      <c r="D300" s="33" t="s">
        <v>186</v>
      </c>
      <c r="E300" s="33" t="s">
        <v>187</v>
      </c>
      <c r="F300" s="33" t="s">
        <v>188</v>
      </c>
      <c r="G300" s="33" t="s">
        <v>189</v>
      </c>
      <c r="H300" s="33" t="s">
        <v>183</v>
      </c>
      <c r="I300" s="33"/>
      <c r="J300" s="33"/>
      <c r="K300" s="6"/>
      <c r="L300" s="4"/>
      <c r="M300" s="4"/>
      <c r="N300" s="4"/>
      <c r="O300" s="15"/>
      <c r="P300" s="15"/>
      <c r="Q300" s="15"/>
      <c r="R300" s="15"/>
      <c r="S300" s="15"/>
      <c r="T300" s="15"/>
      <c r="U300" s="15"/>
      <c r="V300" s="15"/>
      <c r="W300" s="15"/>
      <c r="X300" s="15"/>
      <c r="Y300" s="15"/>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3"/>
      <c r="BB300" s="3"/>
      <c r="BC300" s="3"/>
      <c r="BD300" s="1"/>
      <c r="BE300" s="9"/>
      <c r="BF300" s="9"/>
      <c r="BG300" s="9"/>
      <c r="BH300" s="9"/>
      <c r="BI300" s="9"/>
      <c r="BJ300" s="9"/>
      <c r="BK300" s="9"/>
      <c r="BL300" s="9"/>
      <c r="BM300" s="9"/>
      <c r="BN300" s="9"/>
      <c r="BO300" s="9"/>
      <c r="BP300" s="9"/>
      <c r="BQ300" s="9"/>
      <c r="BR300" s="9"/>
      <c r="BS300" s="9"/>
    </row>
    <row r="301" spans="1:71">
      <c r="A301" s="28" t="s">
        <v>191</v>
      </c>
      <c r="B301" s="30">
        <f>B293*$B$298</f>
        <v>541.83488965689583</v>
      </c>
      <c r="C301" s="30">
        <f>B301*$B$291</f>
        <v>591.54451256119819</v>
      </c>
      <c r="D301" s="30">
        <f>C301*$B$291</f>
        <v>645.81465132828055</v>
      </c>
      <c r="E301" s="30">
        <f>D301*$B$291</f>
        <v>705.06370190885673</v>
      </c>
      <c r="F301" s="30">
        <f>B294*$B$298</f>
        <v>277.72727727653353</v>
      </c>
      <c r="G301" s="30">
        <f>F301*$B$291</f>
        <v>303.20684399915126</v>
      </c>
      <c r="H301" s="3">
        <f>B295*$B$298</f>
        <v>50.959133445235508</v>
      </c>
      <c r="I301" s="3"/>
      <c r="J301" s="3"/>
      <c r="K301" s="6"/>
      <c r="L301" s="4"/>
      <c r="M301" s="4"/>
      <c r="N301" s="4"/>
      <c r="O301" s="15"/>
      <c r="P301" s="15"/>
      <c r="Q301" s="15"/>
      <c r="R301" s="15"/>
      <c r="S301" s="15"/>
      <c r="T301" s="15"/>
      <c r="U301" s="15"/>
      <c r="V301" s="15"/>
      <c r="W301" s="15"/>
      <c r="X301" s="15"/>
      <c r="Y301" s="15"/>
      <c r="Z301" s="15"/>
      <c r="AA301" s="15"/>
      <c r="AB301" s="15"/>
      <c r="AC301" s="15"/>
      <c r="AD301" s="15"/>
      <c r="AE301" s="15"/>
      <c r="AF301" s="15"/>
      <c r="AG301" s="15"/>
      <c r="AH301" s="15"/>
      <c r="AI301" s="15"/>
      <c r="AJ301" s="15"/>
      <c r="AK301" s="15"/>
      <c r="AL301" s="15"/>
      <c r="AM301" s="15"/>
      <c r="AN301" s="15"/>
      <c r="AO301" s="15"/>
      <c r="AP301" s="15"/>
      <c r="AQ301" s="15"/>
      <c r="AR301" s="15"/>
      <c r="AS301" s="15"/>
      <c r="AT301" s="15"/>
      <c r="AU301" s="15"/>
      <c r="AV301" s="15"/>
      <c r="AW301" s="15"/>
      <c r="AX301" s="15"/>
      <c r="AY301" s="15"/>
      <c r="AZ301" s="15"/>
      <c r="BA301" s="3"/>
      <c r="BB301" s="3"/>
      <c r="BC301" s="3"/>
      <c r="BD301" s="1"/>
      <c r="BE301" s="9"/>
      <c r="BF301" s="9"/>
      <c r="BG301" s="9"/>
      <c r="BH301" s="9"/>
      <c r="BI301" s="9"/>
      <c r="BJ301" s="9"/>
      <c r="BK301" s="9"/>
      <c r="BL301" s="9"/>
      <c r="BM301" s="9"/>
      <c r="BN301" s="9"/>
      <c r="BO301" s="9"/>
      <c r="BP301" s="9"/>
      <c r="BQ301" s="9"/>
      <c r="BR301" s="9"/>
      <c r="BS301" s="9"/>
    </row>
    <row r="302" spans="1:71">
      <c r="A302" s="28" t="s">
        <v>845</v>
      </c>
      <c r="B302" s="30">
        <v>2212.3379539732732</v>
      </c>
      <c r="C302" s="30">
        <v>797.70714123929974</v>
      </c>
      <c r="D302" s="30">
        <v>236.81769234156653</v>
      </c>
      <c r="E302" t="s">
        <v>37</v>
      </c>
      <c r="F302" s="30">
        <v>1941.9191303253517</v>
      </c>
      <c r="G302" s="30">
        <v>778.01380455462231</v>
      </c>
      <c r="H302" s="6" t="s">
        <v>37</v>
      </c>
      <c r="I302" s="6"/>
      <c r="J302" s="6"/>
      <c r="K302" s="6"/>
      <c r="L302" s="4"/>
      <c r="M302" s="4"/>
      <c r="N302" s="4"/>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3"/>
      <c r="BB302" s="3"/>
      <c r="BC302" s="3"/>
      <c r="BD302" s="1"/>
      <c r="BE302" s="9"/>
      <c r="BF302" s="9"/>
      <c r="BG302" s="9"/>
      <c r="BH302" s="9"/>
      <c r="BI302" s="9"/>
      <c r="BJ302" s="9"/>
      <c r="BK302" s="9"/>
      <c r="BL302" s="9"/>
      <c r="BM302" s="9"/>
      <c r="BN302" s="9"/>
      <c r="BO302" s="9"/>
      <c r="BP302" s="9"/>
      <c r="BQ302" s="9"/>
      <c r="BR302" s="9"/>
      <c r="BS302" s="9"/>
    </row>
    <row r="303" spans="1:71">
      <c r="A303" s="28" t="s">
        <v>846</v>
      </c>
      <c r="B303" s="30">
        <v>519733.78879008163</v>
      </c>
      <c r="C303" s="30">
        <v>730104.76180764474</v>
      </c>
      <c r="D303" s="30">
        <v>1162483.2825981816</v>
      </c>
      <c r="E303" s="28" t="s">
        <v>37</v>
      </c>
      <c r="F303" s="30">
        <v>681871.49145716615</v>
      </c>
      <c r="G303" s="30">
        <v>794341.15470425505</v>
      </c>
      <c r="H303" s="6" t="s">
        <v>37</v>
      </c>
      <c r="I303" s="6"/>
      <c r="J303" s="6"/>
      <c r="K303" s="6"/>
      <c r="L303" s="4"/>
      <c r="M303" s="4"/>
      <c r="N303" s="4"/>
      <c r="O303" s="15"/>
      <c r="P303" s="15"/>
      <c r="Q303" s="15"/>
      <c r="R303" s="15"/>
      <c r="S303" s="15"/>
      <c r="T303" s="15"/>
      <c r="U303" s="15"/>
      <c r="V303" s="15"/>
      <c r="W303" s="15"/>
      <c r="X303" s="15"/>
      <c r="Y303" s="15"/>
      <c r="Z303" s="15"/>
      <c r="AA303" s="15"/>
      <c r="AB303" s="15"/>
      <c r="AC303" s="15"/>
      <c r="AD303" s="15"/>
      <c r="AE303" s="15"/>
      <c r="AF303" s="15"/>
      <c r="AG303" s="15"/>
      <c r="AH303" s="15"/>
      <c r="AI303" s="15"/>
      <c r="AJ303" s="15"/>
      <c r="AK303" s="15"/>
      <c r="AL303" s="15"/>
      <c r="AM303" s="15"/>
      <c r="AN303" s="15"/>
      <c r="AO303" s="15"/>
      <c r="AP303" s="15"/>
      <c r="AQ303" s="15"/>
      <c r="AR303" s="15"/>
      <c r="AS303" s="15"/>
      <c r="AT303" s="15"/>
      <c r="AU303" s="15"/>
      <c r="AV303" s="15"/>
      <c r="AW303" s="15"/>
      <c r="AX303" s="15"/>
      <c r="AY303" s="15"/>
      <c r="AZ303" s="15"/>
      <c r="BA303" s="3"/>
      <c r="BB303" s="3"/>
      <c r="BC303" s="3"/>
      <c r="BD303" s="1"/>
      <c r="BE303" s="9"/>
      <c r="BF303" s="9"/>
      <c r="BG303" s="9"/>
      <c r="BH303" s="9"/>
      <c r="BI303" s="9"/>
      <c r="BJ303" s="9"/>
      <c r="BK303" s="9"/>
      <c r="BL303" s="9"/>
      <c r="BM303" s="9"/>
      <c r="BN303" s="9"/>
      <c r="BO303" s="9"/>
      <c r="BP303" s="9"/>
      <c r="BQ303" s="9"/>
      <c r="BR303" s="9"/>
      <c r="BS303" s="9"/>
    </row>
    <row r="304" spans="1:71">
      <c r="A304" s="28" t="s">
        <v>850</v>
      </c>
      <c r="B304" t="s">
        <v>37</v>
      </c>
      <c r="C304" t="s">
        <v>37</v>
      </c>
      <c r="D304" t="s">
        <v>37</v>
      </c>
      <c r="E304" s="3">
        <v>694467.08610874426</v>
      </c>
      <c r="F304" t="s">
        <v>37</v>
      </c>
      <c r="G304" t="s">
        <v>37</v>
      </c>
      <c r="H304" s="6" t="s">
        <v>37</v>
      </c>
      <c r="I304" s="6"/>
      <c r="J304" s="6"/>
      <c r="K304" s="6"/>
      <c r="L304" s="4"/>
      <c r="M304" s="4"/>
      <c r="N304" s="4"/>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3"/>
      <c r="BB304" s="3"/>
      <c r="BC304" s="3"/>
      <c r="BD304" s="1"/>
      <c r="BE304" s="9"/>
      <c r="BF304" s="9"/>
      <c r="BG304" s="9"/>
      <c r="BH304" s="9"/>
      <c r="BI304" s="9"/>
      <c r="BJ304" s="9"/>
      <c r="BK304" s="9"/>
      <c r="BL304" s="9"/>
      <c r="BM304" s="9"/>
      <c r="BN304" s="9"/>
      <c r="BO304" s="9"/>
      <c r="BP304" s="9"/>
      <c r="BQ304" s="9"/>
      <c r="BR304" s="9"/>
      <c r="BS304" s="9"/>
    </row>
    <row r="305" spans="1:71">
      <c r="A305" s="28" t="s">
        <v>851</v>
      </c>
      <c r="B305" t="s">
        <v>37</v>
      </c>
      <c r="C305" t="s">
        <v>37</v>
      </c>
      <c r="D305" t="s">
        <v>37</v>
      </c>
      <c r="E305" s="5">
        <v>0.12638816729131871</v>
      </c>
      <c r="F305" t="s">
        <v>37</v>
      </c>
      <c r="G305" t="s">
        <v>37</v>
      </c>
      <c r="H305" s="6" t="s">
        <v>37</v>
      </c>
      <c r="I305" s="6"/>
      <c r="J305" s="6"/>
      <c r="K305" s="6"/>
      <c r="L305" s="4"/>
      <c r="M305" s="4"/>
      <c r="N305" s="4"/>
      <c r="O305" s="15"/>
      <c r="P305" s="15"/>
      <c r="Q305" s="15"/>
      <c r="R305" s="15"/>
      <c r="S305" s="15"/>
      <c r="T305" s="15"/>
      <c r="U305" s="15"/>
      <c r="V305" s="15"/>
      <c r="W305" s="15"/>
      <c r="X305" s="15"/>
      <c r="Y305" s="15"/>
      <c r="Z305" s="15"/>
      <c r="AA305" s="15"/>
      <c r="AB305" s="15"/>
      <c r="AC305" s="15"/>
      <c r="AD305" s="15"/>
      <c r="AE305" s="15"/>
      <c r="AF305" s="15"/>
      <c r="AG305" s="15"/>
      <c r="AH305" s="15"/>
      <c r="AI305" s="15"/>
      <c r="AJ305" s="15"/>
      <c r="AK305" s="15"/>
      <c r="AL305" s="15"/>
      <c r="AM305" s="15"/>
      <c r="AN305" s="15"/>
      <c r="AO305" s="15"/>
      <c r="AP305" s="15"/>
      <c r="AQ305" s="15"/>
      <c r="AR305" s="15"/>
      <c r="AS305" s="15"/>
      <c r="AT305" s="15"/>
      <c r="AU305" s="15"/>
      <c r="AV305" s="15"/>
      <c r="AW305" s="15"/>
      <c r="AX305" s="15"/>
      <c r="AY305" s="15"/>
      <c r="AZ305" s="15"/>
      <c r="BA305" s="3"/>
      <c r="BB305" s="3"/>
      <c r="BC305" s="3"/>
      <c r="BD305" s="1"/>
      <c r="BE305" s="9"/>
      <c r="BF305" s="9"/>
      <c r="BG305" s="9"/>
      <c r="BH305" s="9"/>
      <c r="BI305" s="9"/>
      <c r="BJ305" s="9"/>
      <c r="BK305" s="9"/>
      <c r="BL305" s="9"/>
      <c r="BM305" s="9"/>
      <c r="BN305" s="9"/>
      <c r="BO305" s="9"/>
      <c r="BP305" s="9"/>
      <c r="BQ305" s="9"/>
      <c r="BR305" s="9"/>
      <c r="BS305" s="9"/>
    </row>
    <row r="306" spans="1:71">
      <c r="A306" s="28" t="s">
        <v>267</v>
      </c>
      <c r="B306" t="s">
        <v>37</v>
      </c>
      <c r="C306" t="s">
        <v>37</v>
      </c>
      <c r="D306" t="s">
        <v>37</v>
      </c>
      <c r="E306" t="s">
        <v>37</v>
      </c>
      <c r="F306" t="s">
        <v>37</v>
      </c>
      <c r="G306" t="s">
        <v>37</v>
      </c>
      <c r="H306" s="30">
        <v>287.2</v>
      </c>
      <c r="I306" s="30"/>
      <c r="J306" s="30"/>
      <c r="K306" s="6"/>
      <c r="L306" s="4"/>
      <c r="M306" s="4"/>
      <c r="N306" s="4"/>
      <c r="O306" s="15"/>
      <c r="P306" s="15"/>
      <c r="Q306" s="15"/>
      <c r="R306" s="15"/>
      <c r="S306" s="15"/>
      <c r="T306" s="15"/>
      <c r="U306" s="15"/>
      <c r="V306" s="15"/>
      <c r="W306" s="15"/>
      <c r="X306" s="15"/>
      <c r="Y306" s="15"/>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3"/>
      <c r="BB306" s="3"/>
      <c r="BC306" s="3"/>
      <c r="BD306" s="1"/>
      <c r="BE306" s="9"/>
      <c r="BF306" s="9"/>
      <c r="BG306" s="9"/>
      <c r="BH306" s="9"/>
      <c r="BI306" s="9"/>
      <c r="BJ306" s="9"/>
      <c r="BK306" s="9"/>
      <c r="BL306" s="9"/>
      <c r="BM306" s="9"/>
      <c r="BN306" s="9"/>
      <c r="BO306" s="9"/>
      <c r="BP306" s="9"/>
      <c r="BQ306" s="9"/>
      <c r="BR306" s="9"/>
      <c r="BS306" s="9"/>
    </row>
    <row r="307" spans="1:71">
      <c r="A307" s="28" t="s">
        <v>268</v>
      </c>
      <c r="B307" t="s">
        <v>37</v>
      </c>
      <c r="C307" t="s">
        <v>37</v>
      </c>
      <c r="D307" t="s">
        <v>37</v>
      </c>
      <c r="E307" t="s">
        <v>37</v>
      </c>
      <c r="F307" t="s">
        <v>37</v>
      </c>
      <c r="G307" t="s">
        <v>37</v>
      </c>
      <c r="H307" s="30">
        <v>270</v>
      </c>
      <c r="I307" s="30"/>
      <c r="J307" s="30"/>
      <c r="K307" s="6"/>
      <c r="L307" s="4"/>
      <c r="M307" s="4"/>
      <c r="N307" s="4"/>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3"/>
      <c r="BB307" s="3"/>
      <c r="BC307" s="3"/>
      <c r="BD307" s="1"/>
      <c r="BE307" s="9"/>
      <c r="BF307" s="9"/>
      <c r="BG307" s="9"/>
      <c r="BH307" s="9"/>
      <c r="BI307" s="9"/>
      <c r="BJ307" s="9"/>
      <c r="BK307" s="9"/>
      <c r="BL307" s="9"/>
      <c r="BM307" s="9"/>
      <c r="BN307" s="9"/>
      <c r="BO307" s="9"/>
      <c r="BP307" s="9"/>
      <c r="BQ307" s="9"/>
      <c r="BR307" s="9"/>
      <c r="BS307" s="9"/>
    </row>
    <row r="308" spans="1:71">
      <c r="A308" s="28" t="s">
        <v>269</v>
      </c>
      <c r="B308" t="s">
        <v>37</v>
      </c>
      <c r="C308" t="s">
        <v>37</v>
      </c>
      <c r="D308" t="s">
        <v>37</v>
      </c>
      <c r="E308" t="s">
        <v>37</v>
      </c>
      <c r="F308" t="s">
        <v>37</v>
      </c>
      <c r="G308" t="s">
        <v>37</v>
      </c>
      <c r="H308" s="30">
        <v>29439</v>
      </c>
      <c r="I308" s="30"/>
      <c r="J308" s="30"/>
      <c r="K308" s="6"/>
      <c r="L308" s="4"/>
      <c r="M308" s="4"/>
      <c r="N308" s="4"/>
      <c r="O308" s="15"/>
      <c r="P308" s="15"/>
      <c r="Q308" s="15"/>
      <c r="R308" s="15"/>
      <c r="S308" s="15"/>
      <c r="T308" s="15"/>
      <c r="U308" s="15"/>
      <c r="V308" s="15"/>
      <c r="W308" s="15"/>
      <c r="X308" s="15"/>
      <c r="Y308" s="15"/>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3"/>
      <c r="BB308" s="3"/>
      <c r="BC308" s="3"/>
      <c r="BD308" s="1"/>
      <c r="BE308" s="9"/>
      <c r="BF308" s="9"/>
      <c r="BG308" s="9"/>
      <c r="BH308" s="9"/>
      <c r="BI308" s="9"/>
      <c r="BJ308" s="9"/>
      <c r="BK308" s="9"/>
      <c r="BL308" s="9"/>
      <c r="BM308" s="9"/>
      <c r="BN308" s="9"/>
      <c r="BO308" s="9"/>
      <c r="BP308" s="9"/>
      <c r="BQ308" s="9"/>
      <c r="BR308" s="9"/>
      <c r="BS308" s="9"/>
    </row>
    <row r="309" spans="1:71">
      <c r="A309" s="28" t="s">
        <v>847</v>
      </c>
      <c r="B309" t="s">
        <v>37</v>
      </c>
      <c r="C309" t="s">
        <v>37</v>
      </c>
      <c r="D309" t="s">
        <v>37</v>
      </c>
      <c r="E309" t="s">
        <v>37</v>
      </c>
      <c r="F309" t="s">
        <v>37</v>
      </c>
      <c r="G309" t="s">
        <v>37</v>
      </c>
      <c r="H309" s="78">
        <v>952751</v>
      </c>
      <c r="I309" s="78"/>
      <c r="J309" s="78"/>
      <c r="K309" s="6"/>
      <c r="L309" s="4"/>
      <c r="M309" s="4"/>
      <c r="N309" s="4"/>
      <c r="O309" s="15"/>
      <c r="P309" s="15"/>
      <c r="Q309" s="15"/>
      <c r="R309" s="15"/>
      <c r="S309" s="15"/>
      <c r="T309" s="15"/>
      <c r="U309" s="15"/>
      <c r="V309" s="15"/>
      <c r="W309" s="15"/>
      <c r="X309" s="15"/>
      <c r="Y309" s="15"/>
      <c r="Z309" s="15"/>
      <c r="AA309" s="15"/>
      <c r="AB309" s="15"/>
      <c r="AC309" s="15"/>
      <c r="AD309" s="15"/>
      <c r="AE309" s="15"/>
      <c r="AF309" s="15"/>
      <c r="AG309" s="15"/>
      <c r="AH309" s="15"/>
      <c r="AI309" s="15"/>
      <c r="AJ309" s="15"/>
      <c r="AK309" s="15"/>
      <c r="AL309" s="15"/>
      <c r="AM309" s="15"/>
      <c r="AN309" s="15"/>
      <c r="AO309" s="15"/>
      <c r="AP309" s="15"/>
      <c r="AQ309" s="15"/>
      <c r="AR309" s="15"/>
      <c r="AS309" s="15"/>
      <c r="AT309" s="15"/>
      <c r="AU309" s="15"/>
      <c r="AV309" s="15"/>
      <c r="AW309" s="15"/>
      <c r="AX309" s="15"/>
      <c r="AY309" s="15"/>
      <c r="AZ309" s="15"/>
      <c r="BA309" s="3"/>
      <c r="BB309" s="3"/>
      <c r="BC309" s="3"/>
      <c r="BD309" s="1"/>
      <c r="BE309" s="9"/>
      <c r="BF309" s="9"/>
      <c r="BG309" s="9"/>
      <c r="BH309" s="9"/>
      <c r="BI309" s="9"/>
      <c r="BJ309" s="9"/>
      <c r="BK309" s="9"/>
      <c r="BL309" s="9"/>
      <c r="BM309" s="9"/>
      <c r="BN309" s="9"/>
      <c r="BO309" s="9"/>
      <c r="BP309" s="9"/>
      <c r="BQ309" s="9"/>
      <c r="BR309" s="9"/>
      <c r="BS309" s="9"/>
    </row>
    <row r="310" spans="1:71">
      <c r="A310" s="28" t="s">
        <v>852</v>
      </c>
      <c r="B310" s="15">
        <f>(B302*B301)+B303</f>
        <v>1718455.6799649529</v>
      </c>
      <c r="C310" s="15">
        <f t="shared" ref="C310:G310" si="29">(C302*C301)+C303</f>
        <v>1201984.0438386332</v>
      </c>
      <c r="D310" s="15">
        <f t="shared" si="29"/>
        <v>1315423.6180061183</v>
      </c>
      <c r="E310" s="15">
        <f>E304*(E301^E305)</f>
        <v>1590867.5724738881</v>
      </c>
      <c r="F310" s="15">
        <f t="shared" si="29"/>
        <v>1221195.4042136399</v>
      </c>
      <c r="G310" s="15">
        <f t="shared" si="29"/>
        <v>1030240.2649710346</v>
      </c>
      <c r="H310" s="15">
        <f>(H306*H301)+(H307*B288)+(H308*B289)+H309</f>
        <v>975881.97221638076</v>
      </c>
      <c r="I310" s="15"/>
      <c r="J310" s="15"/>
      <c r="K310" s="6"/>
      <c r="L310" s="4"/>
      <c r="M310" s="4"/>
      <c r="N310" s="4"/>
      <c r="O310" s="15"/>
      <c r="P310" s="15"/>
      <c r="Q310" s="15"/>
      <c r="R310" s="15"/>
      <c r="S310" s="15"/>
      <c r="T310" s="15"/>
      <c r="U310" s="15"/>
      <c r="V310" s="15"/>
      <c r="W310" s="15"/>
      <c r="X310" s="15"/>
      <c r="Y310" s="15"/>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3"/>
      <c r="BB310" s="3"/>
      <c r="BC310" s="3"/>
      <c r="BD310" s="1"/>
      <c r="BE310" s="9"/>
      <c r="BF310" s="9"/>
      <c r="BG310" s="9"/>
      <c r="BH310" s="9"/>
      <c r="BI310" s="9"/>
      <c r="BJ310" s="9"/>
      <c r="BK310" s="9"/>
      <c r="BL310" s="9"/>
      <c r="BM310" s="9"/>
      <c r="BN310" s="9"/>
      <c r="BO310" s="9"/>
      <c r="BP310" s="9"/>
      <c r="BQ310" s="9"/>
      <c r="BR310" s="9"/>
      <c r="BS310" s="9"/>
    </row>
    <row r="311" spans="1:71">
      <c r="A311" t="str">
        <f>"Equipment cost ("&amp;$B$128&amp;" USD)"</f>
        <v>Equipment cost (2024 USD)</v>
      </c>
      <c r="B311" s="15">
        <f>(B310/$C$146)*$B$146</f>
        <v>2328148.5988519979</v>
      </c>
      <c r="C311" s="15">
        <f t="shared" ref="C311:G311" si="30">(C310/$C$146)*$B$146</f>
        <v>1628437.3813832917</v>
      </c>
      <c r="D311" s="15">
        <f t="shared" si="30"/>
        <v>1782124.3159557239</v>
      </c>
      <c r="E311" s="15">
        <f t="shared" si="30"/>
        <v>2155293.3561194306</v>
      </c>
      <c r="F311" s="15">
        <f t="shared" si="30"/>
        <v>1654464.7629797868</v>
      </c>
      <c r="G311" s="15">
        <f t="shared" si="30"/>
        <v>1395760.4245121656</v>
      </c>
      <c r="H311" s="15">
        <f>(H310/$C$146)*$B$146</f>
        <v>1322116.2889151888</v>
      </c>
      <c r="I311" s="15"/>
      <c r="J311" s="15"/>
      <c r="K311" s="6"/>
      <c r="L311" s="4"/>
      <c r="M311" s="4"/>
      <c r="N311" s="4"/>
      <c r="O311" s="15"/>
      <c r="P311" s="15"/>
      <c r="Q311" s="15"/>
      <c r="R311" s="15"/>
      <c r="S311" s="15"/>
      <c r="T311" s="15"/>
      <c r="U311" s="15"/>
      <c r="V311" s="15"/>
      <c r="W311" s="15"/>
      <c r="X311" s="15"/>
      <c r="Y311" s="15"/>
      <c r="Z311" s="15"/>
      <c r="AA311" s="15"/>
      <c r="AB311" s="15"/>
      <c r="AC311" s="15"/>
      <c r="AD311" s="15"/>
      <c r="AE311" s="15"/>
      <c r="AF311" s="15"/>
      <c r="AG311" s="15"/>
      <c r="AH311" s="15"/>
      <c r="AI311" s="15"/>
      <c r="AJ311" s="15"/>
      <c r="AK311" s="15"/>
      <c r="AL311" s="15"/>
      <c r="AM311" s="15"/>
      <c r="AN311" s="15"/>
      <c r="AO311" s="15"/>
      <c r="AP311" s="15"/>
      <c r="AQ311" s="15"/>
      <c r="AR311" s="15"/>
      <c r="AS311" s="15"/>
      <c r="AT311" s="15"/>
      <c r="AU311" s="15"/>
      <c r="AV311" s="15"/>
      <c r="AW311" s="15"/>
      <c r="AX311" s="15"/>
      <c r="AY311" s="15"/>
      <c r="AZ311" s="15"/>
      <c r="BA311" s="3"/>
      <c r="BB311" s="3"/>
      <c r="BC311" s="3"/>
      <c r="BD311" s="1"/>
      <c r="BE311" s="9"/>
      <c r="BF311" s="9"/>
      <c r="BG311" s="9"/>
      <c r="BH311" s="9"/>
      <c r="BI311" s="9"/>
      <c r="BJ311" s="9"/>
      <c r="BK311" s="9"/>
      <c r="BL311" s="9"/>
      <c r="BM311" s="9"/>
      <c r="BN311" s="9"/>
      <c r="BO311" s="9"/>
      <c r="BP311" s="9"/>
      <c r="BQ311" s="9"/>
      <c r="BR311" s="9"/>
      <c r="BS311" s="9"/>
    </row>
    <row r="312" spans="1:71">
      <c r="A312" t="s">
        <v>864</v>
      </c>
      <c r="B312" s="15">
        <f>SUM(B311:H311)</f>
        <v>12266345.128717585</v>
      </c>
      <c r="C312" s="15"/>
      <c r="D312" s="15"/>
      <c r="E312" s="15"/>
      <c r="F312" s="15"/>
      <c r="G312" s="15"/>
      <c r="H312" s="15"/>
      <c r="I312" s="15"/>
      <c r="J312" s="15"/>
      <c r="K312" s="6"/>
      <c r="L312" s="4"/>
      <c r="M312" s="4"/>
      <c r="N312" s="4"/>
      <c r="O312" s="15"/>
      <c r="P312" s="15"/>
      <c r="Q312" s="15"/>
      <c r="R312" s="15"/>
      <c r="S312" s="15"/>
      <c r="T312" s="15"/>
      <c r="U312" s="15"/>
      <c r="V312" s="15"/>
      <c r="W312" s="15"/>
      <c r="X312" s="15"/>
      <c r="Y312" s="15"/>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3"/>
      <c r="BB312" s="3"/>
      <c r="BC312" s="3"/>
      <c r="BD312" s="1"/>
      <c r="BE312" s="9"/>
      <c r="BF312" s="9"/>
      <c r="BG312" s="9"/>
      <c r="BH312" s="9"/>
      <c r="BI312" s="9"/>
      <c r="BJ312" s="9"/>
      <c r="BK312" s="9"/>
      <c r="BL312" s="9"/>
      <c r="BM312" s="9"/>
      <c r="BN312" s="9"/>
      <c r="BO312" s="9"/>
      <c r="BP312" s="9"/>
      <c r="BQ312" s="9"/>
      <c r="BR312" s="9"/>
      <c r="BS312" s="9"/>
    </row>
    <row r="313" spans="1:71">
      <c r="B313" s="15"/>
      <c r="C313" s="15"/>
      <c r="D313" s="15"/>
      <c r="E313" s="15"/>
      <c r="F313" s="15"/>
      <c r="G313" s="15"/>
      <c r="H313" s="15"/>
      <c r="I313" s="15"/>
      <c r="J313" s="15"/>
      <c r="K313" s="6"/>
      <c r="L313" s="4"/>
      <c r="M313" s="4"/>
      <c r="N313" s="4"/>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3"/>
      <c r="BB313" s="3"/>
      <c r="BC313" s="3"/>
      <c r="BD313" s="1"/>
      <c r="BE313" s="9"/>
      <c r="BF313" s="9"/>
      <c r="BG313" s="9"/>
      <c r="BH313" s="9"/>
      <c r="BI313" s="9"/>
      <c r="BJ313" s="9"/>
      <c r="BK313" s="9"/>
      <c r="BL313" s="9"/>
      <c r="BM313" s="9"/>
      <c r="BN313" s="9"/>
      <c r="BO313" s="9"/>
      <c r="BP313" s="9"/>
      <c r="BQ313" s="9"/>
      <c r="BR313" s="9"/>
      <c r="BS313" s="9"/>
    </row>
    <row r="314" spans="1:71">
      <c r="A314" t="s">
        <v>853</v>
      </c>
      <c r="C314" s="5"/>
      <c r="D314" s="16"/>
      <c r="F314" s="3"/>
      <c r="G314" s="3"/>
      <c r="H314" s="6"/>
      <c r="I314" s="6"/>
      <c r="J314" s="6"/>
      <c r="K314" s="6"/>
      <c r="L314" s="4"/>
      <c r="M314" s="4"/>
      <c r="N314" s="4"/>
      <c r="O314" s="15"/>
      <c r="P314" s="15"/>
      <c r="Q314" s="15"/>
      <c r="R314" s="15"/>
      <c r="S314" s="15"/>
      <c r="T314" s="15"/>
      <c r="U314" s="15"/>
      <c r="V314" s="15"/>
      <c r="W314" s="15"/>
      <c r="X314" s="15"/>
      <c r="Y314" s="15"/>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3"/>
      <c r="BB314" s="3"/>
      <c r="BC314" s="3"/>
      <c r="BD314" s="1"/>
      <c r="BE314" s="9"/>
      <c r="BF314" s="9"/>
      <c r="BG314" s="9"/>
      <c r="BH314" s="9"/>
      <c r="BI314" s="9"/>
      <c r="BJ314" s="9"/>
      <c r="BK314" s="9"/>
      <c r="BL314" s="9"/>
      <c r="BM314" s="9"/>
      <c r="BN314" s="9"/>
      <c r="BO314" s="9"/>
      <c r="BP314" s="9"/>
      <c r="BQ314" s="9"/>
      <c r="BR314" s="9"/>
      <c r="BS314" s="9"/>
    </row>
    <row r="315" spans="1:71">
      <c r="A315" s="79" t="s">
        <v>267</v>
      </c>
      <c r="B315" s="79">
        <v>12003</v>
      </c>
      <c r="C315" s="5"/>
      <c r="D315" s="16"/>
      <c r="F315" s="3"/>
      <c r="G315" s="3"/>
      <c r="H315" s="6"/>
      <c r="I315" s="6"/>
      <c r="J315" s="6"/>
      <c r="K315" s="6"/>
      <c r="L315" s="4"/>
      <c r="M315" s="4"/>
      <c r="N315" s="4"/>
      <c r="O315" s="15"/>
      <c r="P315" s="15"/>
      <c r="Q315" s="15"/>
      <c r="R315" s="15"/>
      <c r="S315" s="15"/>
      <c r="T315" s="15"/>
      <c r="U315" s="15"/>
      <c r="V315" s="15"/>
      <c r="W315" s="15"/>
      <c r="X315" s="15"/>
      <c r="Y315" s="15"/>
      <c r="Z315" s="15"/>
      <c r="AA315" s="15"/>
      <c r="AB315" s="15"/>
      <c r="AC315" s="15"/>
      <c r="AD315" s="15"/>
      <c r="AE315" s="15"/>
      <c r="AF315" s="15"/>
      <c r="AG315" s="15"/>
      <c r="AH315" s="15"/>
      <c r="AI315" s="15"/>
      <c r="AJ315" s="15"/>
      <c r="AK315" s="15"/>
      <c r="AL315" s="15"/>
      <c r="AM315" s="15"/>
      <c r="AN315" s="15"/>
      <c r="AO315" s="15"/>
      <c r="AP315" s="15"/>
      <c r="AQ315" s="15"/>
      <c r="AR315" s="15"/>
      <c r="AS315" s="15"/>
      <c r="AT315" s="15"/>
      <c r="AU315" s="15"/>
      <c r="AV315" s="15"/>
      <c r="AW315" s="15"/>
      <c r="AX315" s="15"/>
      <c r="AY315" s="15"/>
      <c r="AZ315" s="15"/>
      <c r="BA315" s="3"/>
      <c r="BB315" s="3"/>
      <c r="BC315" s="3"/>
      <c r="BD315" s="1"/>
      <c r="BE315" s="9"/>
      <c r="BF315" s="9"/>
      <c r="BG315" s="9"/>
      <c r="BH315" s="9"/>
      <c r="BI315" s="9"/>
      <c r="BJ315" s="9"/>
      <c r="BK315" s="9"/>
      <c r="BL315" s="9"/>
      <c r="BM315" s="9"/>
      <c r="BN315" s="9"/>
      <c r="BO315" s="9"/>
      <c r="BP315" s="9"/>
      <c r="BQ315" s="9"/>
      <c r="BR315" s="9"/>
      <c r="BS315" s="9"/>
    </row>
    <row r="316" spans="1:71">
      <c r="A316" s="79" t="s">
        <v>854</v>
      </c>
      <c r="B316" s="79">
        <v>0.60299999999999998</v>
      </c>
      <c r="C316" s="5"/>
      <c r="D316" s="16"/>
      <c r="F316" s="3"/>
      <c r="G316" s="3"/>
      <c r="H316" s="6"/>
      <c r="I316" s="6"/>
      <c r="J316" s="6"/>
      <c r="K316" s="6"/>
      <c r="L316" s="4"/>
      <c r="M316" s="4"/>
      <c r="N316" s="4"/>
      <c r="O316" s="15"/>
      <c r="P316" s="15"/>
      <c r="Q316" s="15"/>
      <c r="R316" s="15"/>
      <c r="S316" s="15"/>
      <c r="T316" s="15"/>
      <c r="U316" s="15"/>
      <c r="V316" s="15"/>
      <c r="W316" s="15"/>
      <c r="X316" s="15"/>
      <c r="Y316" s="15"/>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3"/>
      <c r="BB316" s="3"/>
      <c r="BC316" s="3"/>
      <c r="BD316" s="1"/>
      <c r="BE316" s="9"/>
      <c r="BF316" s="9"/>
      <c r="BG316" s="9"/>
      <c r="BH316" s="9"/>
      <c r="BI316" s="9"/>
      <c r="BJ316" s="9"/>
      <c r="BK316" s="9"/>
      <c r="BL316" s="9"/>
      <c r="BM316" s="9"/>
      <c r="BN316" s="9"/>
      <c r="BO316" s="9"/>
      <c r="BP316" s="9"/>
      <c r="BQ316" s="9"/>
      <c r="BR316" s="9"/>
      <c r="BS316" s="9"/>
    </row>
    <row r="317" spans="1:71">
      <c r="A317" s="79" t="s">
        <v>268</v>
      </c>
      <c r="B317" s="79">
        <v>1.0111870000000001</v>
      </c>
      <c r="C317" s="5"/>
      <c r="D317" s="16"/>
      <c r="F317" s="3"/>
      <c r="G317" s="3"/>
      <c r="H317" s="6"/>
      <c r="I317" s="6"/>
      <c r="J317" s="6"/>
      <c r="K317" s="6"/>
      <c r="L317" s="4"/>
      <c r="M317" s="4"/>
      <c r="N317" s="4"/>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3"/>
      <c r="BB317" s="3"/>
      <c r="BC317" s="3"/>
      <c r="BD317" s="1"/>
      <c r="BE317" s="9"/>
      <c r="BF317" s="9"/>
      <c r="BG317" s="9"/>
      <c r="BH317" s="9"/>
      <c r="BI317" s="9"/>
      <c r="BJ317" s="9"/>
      <c r="BK317" s="9"/>
      <c r="BL317" s="9"/>
      <c r="BM317" s="9"/>
      <c r="BN317" s="9"/>
      <c r="BO317" s="9"/>
      <c r="BP317" s="9"/>
      <c r="BQ317" s="9"/>
      <c r="BR317" s="9"/>
      <c r="BS317" s="9"/>
    </row>
    <row r="318" spans="1:71">
      <c r="A318" s="79"/>
      <c r="B318" s="79" t="s">
        <v>270</v>
      </c>
      <c r="C318" s="79" t="s">
        <v>271</v>
      </c>
      <c r="D318" s="79" t="s">
        <v>272</v>
      </c>
      <c r="E318" s="79" t="s">
        <v>284</v>
      </c>
      <c r="F318" s="79" t="s">
        <v>852</v>
      </c>
      <c r="G318" t="str">
        <f>"Equipment cost ("&amp;$B$128&amp;" USD)"</f>
        <v>Equipment cost (2024 USD)</v>
      </c>
      <c r="H318" s="6"/>
      <c r="I318" s="6"/>
      <c r="J318" s="6"/>
      <c r="K318" s="6"/>
      <c r="L318" s="4"/>
      <c r="M318" s="4"/>
      <c r="N318" s="4"/>
      <c r="O318" s="15"/>
      <c r="P318" s="15"/>
      <c r="Q318" s="15"/>
      <c r="R318" s="15"/>
      <c r="S318" s="15"/>
      <c r="T318" s="15"/>
      <c r="U318" s="15"/>
      <c r="V318" s="15"/>
      <c r="W318" s="15"/>
      <c r="X318" s="15"/>
      <c r="Y318" s="15"/>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3"/>
      <c r="BB318" s="3"/>
      <c r="BC318" s="3"/>
      <c r="BD318" s="1"/>
      <c r="BE318" s="9"/>
      <c r="BF318" s="9"/>
      <c r="BG318" s="9"/>
      <c r="BH318" s="9"/>
      <c r="BI318" s="9"/>
      <c r="BJ318" s="9"/>
      <c r="BK318" s="9"/>
      <c r="BL318" s="9"/>
      <c r="BM318" s="9"/>
      <c r="BN318" s="9"/>
      <c r="BO318" s="9"/>
      <c r="BP318" s="9"/>
      <c r="BQ318" s="9"/>
      <c r="BR318" s="9"/>
      <c r="BS318" s="9"/>
    </row>
    <row r="319" spans="1:71">
      <c r="A319" s="79" t="s">
        <v>273</v>
      </c>
      <c r="B319" s="79"/>
      <c r="D319" s="79"/>
      <c r="E319" s="81"/>
      <c r="F319" s="83">
        <f>SUM(F320:F321)</f>
        <v>0</v>
      </c>
      <c r="G319" s="15">
        <f>(F319/$C$146)*$B$146</f>
        <v>0</v>
      </c>
      <c r="H319" s="6"/>
      <c r="I319" s="6"/>
      <c r="J319" s="6"/>
      <c r="K319" s="6"/>
      <c r="L319" s="4"/>
      <c r="M319" s="4"/>
      <c r="N319" s="4"/>
      <c r="O319" s="15"/>
      <c r="P319" s="15"/>
      <c r="Q319" s="15"/>
      <c r="R319" s="15"/>
      <c r="S319" s="15"/>
      <c r="T319" s="15"/>
      <c r="U319" s="15"/>
      <c r="V319" s="15"/>
      <c r="W319" s="15"/>
      <c r="X319" s="15"/>
      <c r="Y319" s="15"/>
      <c r="Z319" s="15"/>
      <c r="AA319" s="15"/>
      <c r="AB319" s="15"/>
      <c r="AC319" s="15"/>
      <c r="AD319" s="15"/>
      <c r="AE319" s="15"/>
      <c r="AF319" s="15"/>
      <c r="AG319" s="15"/>
      <c r="AH319" s="15"/>
      <c r="AI319" s="15"/>
      <c r="AJ319" s="15"/>
      <c r="AK319" s="15"/>
      <c r="AL319" s="15"/>
      <c r="AM319" s="15"/>
      <c r="AN319" s="15"/>
      <c r="AO319" s="15"/>
      <c r="AP319" s="15"/>
      <c r="AQ319" s="15"/>
      <c r="AR319" s="15"/>
      <c r="AS319" s="15"/>
      <c r="AT319" s="15"/>
      <c r="AU319" s="15"/>
      <c r="AV319" s="15"/>
      <c r="AW319" s="15"/>
      <c r="AX319" s="15"/>
      <c r="AY319" s="15"/>
      <c r="AZ319" s="15"/>
      <c r="BA319" s="3"/>
      <c r="BB319" s="3"/>
      <c r="BC319" s="3"/>
      <c r="BD319" s="1"/>
      <c r="BE319" s="9"/>
      <c r="BF319" s="9"/>
      <c r="BG319" s="9"/>
      <c r="BH319" s="9"/>
      <c r="BI319" s="9"/>
      <c r="BJ319" s="9"/>
      <c r="BK319" s="9"/>
      <c r="BL319" s="9"/>
      <c r="BM319" s="9"/>
      <c r="BN319" s="9"/>
      <c r="BO319" s="9"/>
      <c r="BP319" s="9"/>
      <c r="BQ319" s="9"/>
      <c r="BR319" s="9"/>
      <c r="BS319" s="9"/>
    </row>
    <row r="320" spans="1:71">
      <c r="A320" s="79" t="s">
        <v>274</v>
      </c>
      <c r="B320" s="79">
        <f>B321/2</f>
        <v>13.75</v>
      </c>
      <c r="C320" s="80">
        <f>B329/COUNT(B320:B321)</f>
        <v>1399.5</v>
      </c>
      <c r="D320" s="80">
        <f>C320/$B$296</f>
        <v>37.510050924685068</v>
      </c>
      <c r="E320" s="80">
        <f>D320*$B$297</f>
        <v>356.58653628303546</v>
      </c>
      <c r="G320" s="15"/>
      <c r="H320" s="6"/>
      <c r="I320" s="6"/>
      <c r="J320" s="6"/>
      <c r="K320" s="6"/>
      <c r="L320" s="4"/>
      <c r="M320" s="4"/>
      <c r="N320" s="4"/>
      <c r="O320" s="15"/>
      <c r="P320" s="15"/>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15"/>
      <c r="AN320" s="15"/>
      <c r="AO320" s="15"/>
      <c r="AP320" s="15"/>
      <c r="AQ320" s="15"/>
      <c r="AR320" s="15"/>
      <c r="AS320" s="15"/>
      <c r="AT320" s="15"/>
      <c r="AU320" s="15"/>
      <c r="AV320" s="15"/>
      <c r="AW320" s="15"/>
      <c r="AX320" s="15"/>
      <c r="AY320" s="15"/>
      <c r="AZ320" s="15"/>
      <c r="BA320" s="3"/>
      <c r="BB320" s="3"/>
      <c r="BC320" s="3"/>
      <c r="BD320" s="1"/>
      <c r="BE320" s="9"/>
      <c r="BF320" s="9"/>
      <c r="BG320" s="9"/>
      <c r="BH320" s="9"/>
      <c r="BI320" s="9"/>
      <c r="BJ320" s="9"/>
      <c r="BK320" s="9"/>
      <c r="BL320" s="9"/>
      <c r="BM320" s="9"/>
      <c r="BN320" s="9"/>
      <c r="BO320" s="9"/>
      <c r="BP320" s="9"/>
      <c r="BQ320" s="9"/>
      <c r="BR320" s="9"/>
      <c r="BS320" s="9"/>
    </row>
    <row r="321" spans="1:71">
      <c r="A321" s="79" t="s">
        <v>275</v>
      </c>
      <c r="B321" s="79">
        <f>B288</f>
        <v>27.5</v>
      </c>
      <c r="C321" s="80">
        <f>B329-C320</f>
        <v>1399.5</v>
      </c>
      <c r="D321" s="80">
        <f t="shared" ref="D321" si="31">C321/$B$296</f>
        <v>37.510050924685068</v>
      </c>
      <c r="E321" s="80">
        <f t="shared" ref="E321:E327" si="32">D321*$B$297</f>
        <v>356.58653628303546</v>
      </c>
      <c r="G321" s="15"/>
      <c r="H321" s="6"/>
      <c r="I321" s="6"/>
      <c r="J321" s="6"/>
      <c r="K321" s="6"/>
      <c r="L321" s="4"/>
      <c r="M321" s="4"/>
      <c r="N321" s="4"/>
      <c r="O321" s="15"/>
      <c r="P321" s="15"/>
      <c r="Q321" s="15"/>
      <c r="R321" s="15"/>
      <c r="S321" s="15"/>
      <c r="T321" s="15"/>
      <c r="U321" s="15"/>
      <c r="V321" s="15"/>
      <c r="W321" s="15"/>
      <c r="X321" s="15"/>
      <c r="Y321" s="15"/>
      <c r="Z321" s="15"/>
      <c r="AA321" s="15"/>
      <c r="AB321" s="15"/>
      <c r="AC321" s="15"/>
      <c r="AD321" s="15"/>
      <c r="AE321" s="15"/>
      <c r="AF321" s="15"/>
      <c r="AG321" s="15"/>
      <c r="AH321" s="15"/>
      <c r="AI321" s="15"/>
      <c r="AJ321" s="15"/>
      <c r="AK321" s="15"/>
      <c r="AL321" s="15"/>
      <c r="AM321" s="15"/>
      <c r="AN321" s="15"/>
      <c r="AO321" s="15"/>
      <c r="AP321" s="15"/>
      <c r="AQ321" s="15"/>
      <c r="AR321" s="15"/>
      <c r="AS321" s="15"/>
      <c r="AT321" s="15"/>
      <c r="AU321" s="15"/>
      <c r="AV321" s="15"/>
      <c r="AW321" s="15"/>
      <c r="AX321" s="15"/>
      <c r="AY321" s="15"/>
      <c r="AZ321" s="15"/>
      <c r="BA321" s="3"/>
      <c r="BB321" s="3"/>
      <c r="BC321" s="3"/>
      <c r="BD321" s="1"/>
      <c r="BE321" s="9"/>
      <c r="BF321" s="9"/>
      <c r="BG321" s="9"/>
      <c r="BH321" s="9"/>
      <c r="BI321" s="9"/>
      <c r="BJ321" s="9"/>
      <c r="BK321" s="9"/>
      <c r="BL321" s="9"/>
      <c r="BM321" s="9"/>
      <c r="BN321" s="9"/>
      <c r="BO321" s="9"/>
      <c r="BP321" s="9"/>
      <c r="BQ321" s="9"/>
      <c r="BR321" s="9"/>
      <c r="BS321" s="9"/>
    </row>
    <row r="322" spans="1:71">
      <c r="A322" s="79" t="s">
        <v>276</v>
      </c>
      <c r="B322" s="79"/>
      <c r="D322" s="80"/>
      <c r="E322" s="80"/>
      <c r="F322" s="83">
        <f>SUM(F323:F324)</f>
        <v>0</v>
      </c>
      <c r="G322" s="15">
        <f t="shared" ref="G322:G325" si="33">(F322/$C$146)*$B$146</f>
        <v>0</v>
      </c>
      <c r="H322" s="6"/>
      <c r="I322" s="6"/>
      <c r="J322" s="6"/>
      <c r="K322" s="6"/>
      <c r="L322" s="4"/>
      <c r="M322" s="4"/>
      <c r="N322" s="4"/>
      <c r="O322" s="15"/>
      <c r="P322" s="15"/>
      <c r="Q322" s="15"/>
      <c r="R322" s="15"/>
      <c r="S322" s="15"/>
      <c r="T322" s="15"/>
      <c r="U322" s="15"/>
      <c r="V322" s="15"/>
      <c r="W322" s="15"/>
      <c r="X322" s="15"/>
      <c r="Y322" s="15"/>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3"/>
      <c r="BB322" s="3"/>
      <c r="BC322" s="3"/>
      <c r="BD322" s="1"/>
      <c r="BE322" s="9"/>
      <c r="BF322" s="9"/>
      <c r="BG322" s="9"/>
      <c r="BH322" s="9"/>
      <c r="BI322" s="9"/>
      <c r="BJ322" s="9"/>
      <c r="BK322" s="9"/>
      <c r="BL322" s="9"/>
      <c r="BM322" s="9"/>
      <c r="BN322" s="9"/>
      <c r="BO322" s="9"/>
      <c r="BP322" s="9"/>
      <c r="BQ322" s="9"/>
      <c r="BR322" s="9"/>
      <c r="BS322" s="9"/>
    </row>
    <row r="323" spans="1:71">
      <c r="A323" s="79" t="s">
        <v>277</v>
      </c>
      <c r="B323" s="79">
        <f>B288</f>
        <v>27.5</v>
      </c>
      <c r="D323" s="80">
        <f>D336/$B$296</f>
        <v>1.4151809669101745</v>
      </c>
      <c r="E323" s="80">
        <f t="shared" si="32"/>
        <v>13.4533136256576</v>
      </c>
      <c r="G323" s="15"/>
      <c r="H323" s="6"/>
      <c r="I323" s="6"/>
      <c r="J323" s="6"/>
      <c r="K323" s="6"/>
      <c r="L323" s="4"/>
      <c r="M323" s="4"/>
      <c r="N323" s="4"/>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3"/>
      <c r="BB323" s="3"/>
      <c r="BC323" s="3"/>
      <c r="BD323" s="1"/>
      <c r="BE323" s="9"/>
      <c r="BF323" s="9"/>
      <c r="BG323" s="9"/>
      <c r="BH323" s="9"/>
      <c r="BI323" s="9"/>
      <c r="BJ323" s="9"/>
      <c r="BK323" s="9"/>
      <c r="BL323" s="9"/>
      <c r="BM323" s="9"/>
      <c r="BN323" s="9"/>
      <c r="BO323" s="9"/>
      <c r="BP323" s="9"/>
      <c r="BQ323" s="9"/>
      <c r="BR323" s="9"/>
      <c r="BS323" s="9"/>
    </row>
    <row r="324" spans="1:71">
      <c r="A324" s="79" t="s">
        <v>278</v>
      </c>
      <c r="B324" s="79">
        <f>B288</f>
        <v>27.5</v>
      </c>
      <c r="D324" s="80">
        <f>E336/$B$296</f>
        <v>35.652629271631767</v>
      </c>
      <c r="E324" s="80">
        <f t="shared" si="32"/>
        <v>338.92909414814591</v>
      </c>
      <c r="G324" s="15"/>
      <c r="H324" s="6"/>
      <c r="I324" s="6"/>
      <c r="J324" s="6"/>
      <c r="K324" s="6"/>
      <c r="L324" s="4"/>
      <c r="M324" s="4"/>
      <c r="N324" s="4"/>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3"/>
      <c r="BB324" s="3"/>
      <c r="BC324" s="3"/>
      <c r="BD324" s="1"/>
      <c r="BE324" s="9"/>
      <c r="BF324" s="9"/>
      <c r="BG324" s="9"/>
      <c r="BH324" s="9"/>
      <c r="BI324" s="9"/>
      <c r="BJ324" s="9"/>
      <c r="BK324" s="9"/>
      <c r="BL324" s="9"/>
      <c r="BM324" s="9"/>
      <c r="BN324" s="9"/>
      <c r="BO324" s="9"/>
      <c r="BP324" s="9"/>
      <c r="BQ324" s="9"/>
      <c r="BR324" s="9"/>
      <c r="BS324" s="9"/>
    </row>
    <row r="325" spans="1:71">
      <c r="A325" s="79" t="s">
        <v>175</v>
      </c>
      <c r="B325" s="79"/>
      <c r="D325" s="80"/>
      <c r="E325" s="80"/>
      <c r="F325" s="83">
        <f>SUM(F326:F327)</f>
        <v>0</v>
      </c>
      <c r="G325" s="15">
        <f t="shared" si="33"/>
        <v>0</v>
      </c>
      <c r="H325" s="6"/>
      <c r="I325" s="6"/>
      <c r="J325" s="6"/>
      <c r="K325" s="6"/>
      <c r="L325" s="4"/>
      <c r="M325" s="4"/>
      <c r="N325" s="4"/>
      <c r="O325" s="15"/>
      <c r="P325" s="15"/>
      <c r="Q325" s="15"/>
      <c r="R325" s="15"/>
      <c r="S325" s="15"/>
      <c r="T325" s="15"/>
      <c r="U325" s="15"/>
      <c r="V325" s="15"/>
      <c r="W325" s="15"/>
      <c r="X325" s="15"/>
      <c r="Y325" s="15"/>
      <c r="Z325" s="15"/>
      <c r="AA325" s="15"/>
      <c r="AB325" s="15"/>
      <c r="AC325" s="15"/>
      <c r="AD325" s="15"/>
      <c r="AE325" s="15"/>
      <c r="AF325" s="15"/>
      <c r="AG325" s="15"/>
      <c r="AH325" s="15"/>
      <c r="AI325" s="15"/>
      <c r="AJ325" s="15"/>
      <c r="AK325" s="15"/>
      <c r="AL325" s="15"/>
      <c r="AM325" s="15"/>
      <c r="AN325" s="15"/>
      <c r="AO325" s="15"/>
      <c r="AP325" s="15"/>
      <c r="AQ325" s="15"/>
      <c r="AR325" s="15"/>
      <c r="AS325" s="15"/>
      <c r="AT325" s="15"/>
      <c r="AU325" s="15"/>
      <c r="AV325" s="15"/>
      <c r="AW325" s="15"/>
      <c r="AX325" s="15"/>
      <c r="AY325" s="15"/>
      <c r="AZ325" s="15"/>
      <c r="BA325" s="3"/>
      <c r="BB325" s="3"/>
      <c r="BC325" s="3"/>
      <c r="BD325" s="1"/>
      <c r="BE325" s="9"/>
      <c r="BF325" s="9"/>
      <c r="BG325" s="9"/>
      <c r="BH325" s="9"/>
      <c r="BI325" s="9"/>
      <c r="BJ325" s="9"/>
      <c r="BK325" s="9"/>
      <c r="BL325" s="9"/>
      <c r="BM325" s="9"/>
      <c r="BN325" s="9"/>
      <c r="BO325" s="9"/>
      <c r="BP325" s="9"/>
      <c r="BQ325" s="9"/>
      <c r="BR325" s="9"/>
      <c r="BS325" s="9"/>
    </row>
    <row r="326" spans="1:71">
      <c r="A326" s="79" t="s">
        <v>279</v>
      </c>
      <c r="B326" s="79">
        <f>B288</f>
        <v>27.5</v>
      </c>
      <c r="D326" s="80">
        <f>F336/$B$296</f>
        <v>13.887928613701988</v>
      </c>
      <c r="E326" s="80">
        <f t="shared" si="32"/>
        <v>132.02457043978617</v>
      </c>
      <c r="G326" s="15"/>
      <c r="H326" s="6"/>
      <c r="I326" s="6"/>
      <c r="J326" s="6"/>
      <c r="K326" s="6"/>
      <c r="L326" s="4"/>
      <c r="M326" s="4"/>
      <c r="N326" s="4"/>
      <c r="O326" s="15"/>
      <c r="P326" s="15"/>
      <c r="Q326" s="15"/>
      <c r="R326" s="15"/>
      <c r="S326" s="15"/>
      <c r="T326" s="15"/>
      <c r="U326" s="15"/>
      <c r="V326" s="15"/>
      <c r="W326" s="15"/>
      <c r="X326" s="15"/>
      <c r="Y326" s="15"/>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3"/>
      <c r="BB326" s="3"/>
      <c r="BC326" s="3"/>
      <c r="BD326" s="1"/>
      <c r="BE326" s="9"/>
      <c r="BF326" s="9"/>
      <c r="BG326" s="9"/>
      <c r="BH326" s="9"/>
      <c r="BI326" s="9"/>
      <c r="BJ326" s="9"/>
      <c r="BK326" s="9"/>
      <c r="BL326" s="9"/>
      <c r="BM326" s="9"/>
      <c r="BN326" s="9"/>
      <c r="BO326" s="9"/>
      <c r="BP326" s="9"/>
      <c r="BQ326" s="9"/>
      <c r="BR326" s="9"/>
      <c r="BS326" s="9"/>
    </row>
    <row r="327" spans="1:71">
      <c r="A327" s="79" t="s">
        <v>280</v>
      </c>
      <c r="B327" s="79">
        <f>B288</f>
        <v>27.5</v>
      </c>
      <c r="D327" s="80">
        <f>G336/$B$296</f>
        <v>42.504459486003178</v>
      </c>
      <c r="E327" s="80">
        <f t="shared" si="32"/>
        <v>404.06551340409129</v>
      </c>
      <c r="G327" s="15"/>
      <c r="H327" s="6"/>
      <c r="I327" s="6"/>
      <c r="J327" s="6"/>
      <c r="K327" s="6"/>
      <c r="L327" s="4"/>
      <c r="M327" s="4"/>
      <c r="N327" s="4"/>
      <c r="O327" s="15"/>
      <c r="P327" s="15"/>
      <c r="Q327" s="15"/>
      <c r="R327" s="15"/>
      <c r="S327" s="15"/>
      <c r="T327" s="15"/>
      <c r="U327" s="15"/>
      <c r="V327" s="15"/>
      <c r="W327" s="15"/>
      <c r="X327" s="15"/>
      <c r="Y327" s="15"/>
      <c r="Z327" s="15"/>
      <c r="AA327" s="15"/>
      <c r="AB327" s="15"/>
      <c r="AC327" s="15"/>
      <c r="AD327" s="15"/>
      <c r="AE327" s="15"/>
      <c r="AF327" s="15"/>
      <c r="AG327" s="15"/>
      <c r="AH327" s="15"/>
      <c r="AI327" s="15"/>
      <c r="AJ327" s="15"/>
      <c r="AK327" s="15"/>
      <c r="AL327" s="15"/>
      <c r="AM327" s="15"/>
      <c r="AN327" s="15"/>
      <c r="AO327" s="15"/>
      <c r="AP327" s="15"/>
      <c r="AQ327" s="15"/>
      <c r="AR327" s="15"/>
      <c r="AS327" s="15"/>
      <c r="AT327" s="15"/>
      <c r="AU327" s="15"/>
      <c r="AV327" s="15"/>
      <c r="AW327" s="15"/>
      <c r="AX327" s="15"/>
      <c r="AY327" s="15"/>
      <c r="AZ327" s="15"/>
      <c r="BA327" s="3"/>
      <c r="BB327" s="3"/>
      <c r="BC327" s="3"/>
      <c r="BD327" s="1"/>
      <c r="BE327" s="9"/>
      <c r="BF327" s="9"/>
      <c r="BG327" s="9"/>
      <c r="BH327" s="9"/>
      <c r="BI327" s="9"/>
      <c r="BJ327" s="9"/>
      <c r="BK327" s="9"/>
      <c r="BL327" s="9"/>
      <c r="BM327" s="9"/>
      <c r="BN327" s="9"/>
      <c r="BO327" s="9"/>
      <c r="BP327" s="9"/>
      <c r="BQ327" s="9"/>
      <c r="BR327" s="9"/>
      <c r="BS327" s="9"/>
    </row>
    <row r="328" spans="1:71">
      <c r="A328" s="79"/>
      <c r="B328" s="79"/>
      <c r="C328" s="80"/>
      <c r="D328" s="80"/>
      <c r="E328" s="80"/>
      <c r="F328" s="83"/>
      <c r="G328" s="15"/>
      <c r="H328" s="6"/>
      <c r="I328" s="6"/>
      <c r="J328" s="6"/>
      <c r="K328" s="6"/>
      <c r="L328" s="4"/>
      <c r="M328" s="4"/>
      <c r="N328" s="4"/>
      <c r="O328" s="15"/>
      <c r="P328" s="15"/>
      <c r="Q328" s="15"/>
      <c r="R328" s="15"/>
      <c r="S328" s="15"/>
      <c r="T328" s="15"/>
      <c r="U328" s="15"/>
      <c r="V328" s="15"/>
      <c r="W328" s="15"/>
      <c r="X328" s="15"/>
      <c r="Y328" s="15"/>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3"/>
      <c r="BB328" s="3"/>
      <c r="BC328" s="3"/>
      <c r="BD328" s="1"/>
      <c r="BE328" s="9"/>
      <c r="BF328" s="9"/>
      <c r="BG328" s="9"/>
      <c r="BH328" s="9"/>
      <c r="BI328" s="9"/>
      <c r="BJ328" s="9"/>
      <c r="BK328" s="9"/>
      <c r="BL328" s="9"/>
      <c r="BM328" s="9"/>
      <c r="BN328" s="9"/>
      <c r="BO328" s="9"/>
      <c r="BP328" s="9"/>
      <c r="BQ328" s="9"/>
      <c r="BR328" s="9"/>
      <c r="BS328" s="9"/>
    </row>
    <row r="329" spans="1:71">
      <c r="A329" s="79" t="s">
        <v>868</v>
      </c>
      <c r="B329" s="79">
        <v>2799</v>
      </c>
      <c r="H329" s="6"/>
      <c r="I329" s="6"/>
      <c r="J329" s="6"/>
      <c r="K329" s="6"/>
      <c r="L329" s="4"/>
      <c r="M329" s="4"/>
      <c r="N329" s="4"/>
      <c r="O329" s="15"/>
      <c r="P329" s="15"/>
      <c r="Q329" s="15"/>
      <c r="R329" s="15"/>
      <c r="S329" s="15"/>
      <c r="T329" s="15"/>
      <c r="U329" s="15"/>
      <c r="V329" s="15"/>
      <c r="W329" s="15"/>
      <c r="X329" s="15"/>
      <c r="Y329" s="15"/>
      <c r="Z329" s="15"/>
      <c r="AA329" s="15"/>
      <c r="AB329" s="15"/>
      <c r="AC329" s="15"/>
      <c r="AD329" s="15"/>
      <c r="AE329" s="15"/>
      <c r="AF329" s="15"/>
      <c r="AG329" s="15"/>
      <c r="AH329" s="15"/>
      <c r="AI329" s="15"/>
      <c r="AJ329" s="15"/>
      <c r="AK329" s="15"/>
      <c r="AL329" s="15"/>
      <c r="AM329" s="15"/>
      <c r="AN329" s="15"/>
      <c r="AO329" s="15"/>
      <c r="AP329" s="15"/>
      <c r="AQ329" s="15"/>
      <c r="AR329" s="15"/>
      <c r="AS329" s="15"/>
      <c r="AT329" s="15"/>
      <c r="AU329" s="15"/>
      <c r="AV329" s="15"/>
      <c r="AW329" s="15"/>
      <c r="AX329" s="15"/>
      <c r="AY329" s="15"/>
      <c r="AZ329" s="15"/>
      <c r="BA329" s="3"/>
      <c r="BB329" s="3"/>
      <c r="BC329" s="3"/>
      <c r="BD329" s="1"/>
      <c r="BE329" s="9"/>
      <c r="BF329" s="9"/>
      <c r="BG329" s="9"/>
      <c r="BH329" s="9"/>
      <c r="BI329" s="9"/>
      <c r="BJ329" s="9"/>
      <c r="BK329" s="9"/>
      <c r="BL329" s="9"/>
      <c r="BM329" s="9"/>
      <c r="BN329" s="9"/>
      <c r="BO329" s="9"/>
      <c r="BP329" s="9"/>
      <c r="BQ329" s="9"/>
      <c r="BR329" s="9"/>
      <c r="BS329" s="9"/>
    </row>
    <row r="330" spans="1:71">
      <c r="A330" s="79" t="s">
        <v>871</v>
      </c>
      <c r="B330" s="79">
        <v>2</v>
      </c>
      <c r="H330" s="6"/>
      <c r="I330" s="6"/>
      <c r="J330" s="6"/>
      <c r="K330" s="6"/>
      <c r="L330" s="4"/>
      <c r="M330" s="4"/>
      <c r="N330" s="4"/>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3"/>
      <c r="BB330" s="3"/>
      <c r="BC330" s="3"/>
      <c r="BD330" s="1"/>
      <c r="BE330" s="9"/>
      <c r="BF330" s="9"/>
      <c r="BG330" s="9"/>
      <c r="BH330" s="9"/>
      <c r="BI330" s="9"/>
      <c r="BJ330" s="9"/>
      <c r="BK330" s="9"/>
      <c r="BL330" s="9"/>
      <c r="BM330" s="9"/>
      <c r="BN330" s="9"/>
      <c r="BO330" s="9"/>
      <c r="BP330" s="9"/>
      <c r="BQ330" s="9"/>
      <c r="BR330" s="9"/>
      <c r="BS330" s="9"/>
    </row>
    <row r="331" spans="1:71">
      <c r="A331" s="79" t="s">
        <v>869</v>
      </c>
      <c r="B331" s="79">
        <v>1383</v>
      </c>
      <c r="H331" s="6"/>
      <c r="I331" s="6"/>
      <c r="J331" s="6"/>
      <c r="K331" s="6"/>
      <c r="L331" s="4"/>
      <c r="M331" s="4"/>
      <c r="N331" s="4"/>
      <c r="O331" s="15"/>
      <c r="P331" s="15"/>
      <c r="Q331" s="15"/>
      <c r="R331" s="15"/>
      <c r="S331" s="15"/>
      <c r="T331" s="15"/>
      <c r="U331" s="15"/>
      <c r="V331" s="15"/>
      <c r="W331" s="15"/>
      <c r="X331" s="15"/>
      <c r="Y331" s="15"/>
      <c r="Z331" s="15"/>
      <c r="AA331" s="15"/>
      <c r="AB331" s="15"/>
      <c r="AC331" s="15"/>
      <c r="AD331" s="15"/>
      <c r="AE331" s="15"/>
      <c r="AF331" s="15"/>
      <c r="AG331" s="15"/>
      <c r="AH331" s="15"/>
      <c r="AI331" s="15"/>
      <c r="AJ331" s="15"/>
      <c r="AK331" s="15"/>
      <c r="AL331" s="15"/>
      <c r="AM331" s="15"/>
      <c r="AN331" s="15"/>
      <c r="AO331" s="15"/>
      <c r="AP331" s="15"/>
      <c r="AQ331" s="15"/>
      <c r="AR331" s="15"/>
      <c r="AS331" s="15"/>
      <c r="AT331" s="15"/>
      <c r="AU331" s="15"/>
      <c r="AV331" s="15"/>
      <c r="AW331" s="15"/>
      <c r="AX331" s="15"/>
      <c r="AY331" s="15"/>
      <c r="AZ331" s="15"/>
      <c r="BA331" s="3"/>
      <c r="BB331" s="3"/>
      <c r="BC331" s="3"/>
      <c r="BD331" s="1"/>
      <c r="BE331" s="9"/>
      <c r="BF331" s="9"/>
      <c r="BG331" s="9"/>
      <c r="BH331" s="9"/>
      <c r="BI331" s="9"/>
      <c r="BJ331" s="9"/>
      <c r="BK331" s="9"/>
      <c r="BL331" s="9"/>
      <c r="BM331" s="9"/>
      <c r="BN331" s="9"/>
      <c r="BO331" s="9"/>
      <c r="BP331" s="9"/>
      <c r="BQ331" s="9"/>
      <c r="BR331" s="9"/>
      <c r="BS331" s="9"/>
    </row>
    <row r="332" spans="1:71">
      <c r="A332" s="79" t="s">
        <v>870</v>
      </c>
      <c r="B332" s="79">
        <v>2104</v>
      </c>
      <c r="H332" s="6"/>
      <c r="I332" s="6"/>
      <c r="J332" s="6"/>
      <c r="K332" s="6"/>
      <c r="L332" s="4"/>
      <c r="M332" s="4"/>
      <c r="N332" s="4"/>
      <c r="O332" s="15"/>
      <c r="P332" s="15"/>
      <c r="Q332" s="15"/>
      <c r="R332" s="15"/>
      <c r="S332" s="15"/>
      <c r="T332" s="15"/>
      <c r="U332" s="15"/>
      <c r="V332" s="15"/>
      <c r="W332" s="15"/>
      <c r="X332" s="15"/>
      <c r="Y332" s="15"/>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3"/>
      <c r="BB332" s="3"/>
      <c r="BC332" s="3"/>
      <c r="BD332" s="1"/>
      <c r="BE332" s="9"/>
      <c r="BF332" s="9"/>
      <c r="BG332" s="9"/>
      <c r="BH332" s="9"/>
      <c r="BI332" s="9"/>
      <c r="BJ332" s="9"/>
      <c r="BK332" s="9"/>
      <c r="BL332" s="9"/>
      <c r="BM332" s="9"/>
      <c r="BN332" s="9"/>
      <c r="BO332" s="9"/>
      <c r="BP332" s="9"/>
      <c r="BQ332" s="9"/>
      <c r="BR332" s="9"/>
      <c r="BS332" s="9"/>
    </row>
    <row r="333" spans="1:71">
      <c r="H333" s="6"/>
      <c r="I333" s="6"/>
      <c r="J333" s="6"/>
      <c r="K333" s="6"/>
      <c r="L333" s="4"/>
      <c r="M333" s="4"/>
      <c r="N333" s="4"/>
      <c r="O333" s="15"/>
      <c r="P333" s="15"/>
      <c r="Q333" s="15"/>
      <c r="R333" s="15"/>
      <c r="S333" s="15"/>
      <c r="T333" s="15"/>
      <c r="U333" s="15"/>
      <c r="V333" s="15"/>
      <c r="W333" s="15"/>
      <c r="X333" s="15"/>
      <c r="Y333" s="15"/>
      <c r="Z333" s="15"/>
      <c r="AA333" s="15"/>
      <c r="AB333" s="15"/>
      <c r="AC333" s="15"/>
      <c r="AD333" s="15"/>
      <c r="AE333" s="15"/>
      <c r="AF333" s="15"/>
      <c r="AG333" s="15"/>
      <c r="AH333" s="15"/>
      <c r="AI333" s="15"/>
      <c r="AJ333" s="15"/>
      <c r="AK333" s="15"/>
      <c r="AL333" s="15"/>
      <c r="AM333" s="15"/>
      <c r="AN333" s="15"/>
      <c r="AO333" s="15"/>
      <c r="AP333" s="15"/>
      <c r="AQ333" s="15"/>
      <c r="AR333" s="15"/>
      <c r="AS333" s="15"/>
      <c r="AT333" s="15"/>
      <c r="AU333" s="15"/>
      <c r="AV333" s="15"/>
      <c r="AW333" s="15"/>
      <c r="AX333" s="15"/>
      <c r="AY333" s="15"/>
      <c r="AZ333" s="15"/>
      <c r="BA333" s="3"/>
      <c r="BB333" s="3"/>
      <c r="BC333" s="3"/>
      <c r="BD333" s="1"/>
      <c r="BE333" s="9"/>
      <c r="BF333" s="9"/>
      <c r="BG333" s="9"/>
      <c r="BH333" s="9"/>
      <c r="BI333" s="9"/>
      <c r="BJ333" s="9"/>
      <c r="BK333" s="9"/>
      <c r="BL333" s="9"/>
      <c r="BM333" s="9"/>
      <c r="BN333" s="9"/>
      <c r="BO333" s="9"/>
      <c r="BP333" s="9"/>
      <c r="BQ333" s="9"/>
      <c r="BR333" s="9"/>
      <c r="BS333" s="9"/>
    </row>
    <row r="334" spans="1:71">
      <c r="A334" s="79"/>
      <c r="B334" s="79" t="s">
        <v>862</v>
      </c>
      <c r="C334" s="79" t="s">
        <v>863</v>
      </c>
      <c r="D334" s="80" t="s">
        <v>865</v>
      </c>
      <c r="E334" s="80" t="s">
        <v>866</v>
      </c>
      <c r="F334" s="83" t="s">
        <v>867</v>
      </c>
      <c r="G334" s="15" t="s">
        <v>280</v>
      </c>
      <c r="H334" s="6"/>
      <c r="I334" s="6"/>
      <c r="J334" s="6"/>
      <c r="K334" s="6"/>
      <c r="L334" s="4"/>
      <c r="M334" s="4"/>
      <c r="N334" s="4"/>
      <c r="O334" s="15"/>
      <c r="P334" s="15"/>
      <c r="Q334" s="15"/>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15"/>
      <c r="AO334" s="15"/>
      <c r="AP334" s="15"/>
      <c r="AQ334" s="15"/>
      <c r="AR334" s="15"/>
      <c r="AS334" s="15"/>
      <c r="AT334" s="15"/>
      <c r="AU334" s="15"/>
      <c r="AV334" s="15"/>
      <c r="AW334" s="15"/>
      <c r="AX334" s="15"/>
      <c r="AY334" s="15"/>
      <c r="AZ334" s="15"/>
      <c r="BA334" s="3"/>
      <c r="BB334" s="3"/>
      <c r="BC334" s="3"/>
      <c r="BD334" s="1"/>
      <c r="BE334" s="9"/>
      <c r="BF334" s="9"/>
      <c r="BG334" s="9"/>
      <c r="BH334" s="9"/>
      <c r="BI334" s="9"/>
      <c r="BJ334" s="9"/>
      <c r="BK334" s="9"/>
      <c r="BL334" s="9"/>
      <c r="BM334" s="9"/>
      <c r="BN334" s="9"/>
      <c r="BO334" s="9"/>
      <c r="BP334" s="9"/>
      <c r="BQ334" s="9"/>
      <c r="BR334" s="9"/>
      <c r="BS334" s="9"/>
    </row>
    <row r="335" spans="1:71">
      <c r="A335" s="79" t="s">
        <v>270</v>
      </c>
      <c r="B335" s="80">
        <f>$B$288/2</f>
        <v>13.75</v>
      </c>
      <c r="C335" s="80">
        <f t="shared" ref="C335:G335" si="34">$B$288</f>
        <v>27.5</v>
      </c>
      <c r="D335" s="80">
        <f t="shared" si="34"/>
        <v>27.5</v>
      </c>
      <c r="E335" s="80">
        <f t="shared" si="34"/>
        <v>27.5</v>
      </c>
      <c r="F335" s="80">
        <f t="shared" si="34"/>
        <v>27.5</v>
      </c>
      <c r="G335" s="80">
        <f t="shared" si="34"/>
        <v>27.5</v>
      </c>
      <c r="H335" s="6"/>
      <c r="I335" s="6"/>
      <c r="J335" s="6"/>
      <c r="K335" s="6"/>
      <c r="L335" s="4"/>
      <c r="M335" s="4"/>
      <c r="N335" s="4"/>
      <c r="O335" s="15"/>
      <c r="P335" s="15"/>
      <c r="Q335" s="15"/>
      <c r="R335" s="15"/>
      <c r="S335" s="15"/>
      <c r="T335" s="15"/>
      <c r="U335" s="15"/>
      <c r="V335" s="15"/>
      <c r="W335" s="15"/>
      <c r="X335" s="15"/>
      <c r="Y335" s="15"/>
      <c r="Z335" s="15"/>
      <c r="AA335" s="15"/>
      <c r="AB335" s="15"/>
      <c r="AC335" s="15"/>
      <c r="AD335" s="15"/>
      <c r="AE335" s="15"/>
      <c r="AF335" s="15"/>
      <c r="AG335" s="15"/>
      <c r="AH335" s="15"/>
      <c r="AI335" s="15"/>
      <c r="AJ335" s="15"/>
      <c r="AK335" s="15"/>
      <c r="AL335" s="15"/>
      <c r="AM335" s="15"/>
      <c r="AN335" s="15"/>
      <c r="AO335" s="15"/>
      <c r="AP335" s="15"/>
      <c r="AQ335" s="15"/>
      <c r="AR335" s="15"/>
      <c r="AS335" s="15"/>
      <c r="AT335" s="15"/>
      <c r="AU335" s="15"/>
      <c r="AV335" s="15"/>
      <c r="AW335" s="15"/>
      <c r="AX335" s="15"/>
      <c r="AY335" s="15"/>
      <c r="AZ335" s="15"/>
      <c r="BA335" s="3"/>
      <c r="BB335" s="3"/>
      <c r="BC335" s="3"/>
      <c r="BD335" s="1"/>
      <c r="BE335" s="9"/>
      <c r="BF335" s="9"/>
      <c r="BG335" s="9"/>
      <c r="BH335" s="9"/>
      <c r="BI335" s="9"/>
      <c r="BJ335" s="9"/>
      <c r="BK335" s="9"/>
      <c r="BL335" s="9"/>
      <c r="BM335" s="9"/>
      <c r="BN335" s="9"/>
      <c r="BO335" s="9"/>
      <c r="BP335" s="9"/>
      <c r="BQ335" s="9"/>
      <c r="BR335" s="9"/>
      <c r="BS335" s="9"/>
    </row>
    <row r="336" spans="1:71">
      <c r="A336" s="79" t="s">
        <v>873</v>
      </c>
      <c r="B336" s="80">
        <f>$B$329/$B$330</f>
        <v>1399.5</v>
      </c>
      <c r="C336" s="80">
        <f>$B$329/$B$330</f>
        <v>1399.5</v>
      </c>
      <c r="D336" s="80">
        <f>$B$331*(LOOKUP($B$286,$A$274:$A$283,$M$274:$M$283)/(LOOKUP($B$286,$A$274:$A$283,$M$274:$M$283)+LOOKUP($B$286,$A$274:$A$283,$N$274:$N$283)))</f>
        <v>52.800401875418615</v>
      </c>
      <c r="E336" s="80">
        <f>B331-D336</f>
        <v>1330.1995981245814</v>
      </c>
      <c r="F336" s="80">
        <f>B332*(LOOKUP($B$286,$A$274:$A$283,$K$274:$K$283)/(LOOKUP($B$286,$A$274:$A$283,$K$274:$K$283)+LOOKUP($B$286,$A$274:$A$283,$L$274:$L$283)))</f>
        <v>518.15861657722121</v>
      </c>
      <c r="G336" s="80">
        <f>B332-F336</f>
        <v>1585.8413834227788</v>
      </c>
      <c r="H336" s="6"/>
      <c r="I336" s="6"/>
      <c r="J336" s="6"/>
      <c r="K336" s="6"/>
      <c r="L336" s="4"/>
      <c r="M336" s="4"/>
      <c r="N336" s="4"/>
      <c r="O336" s="15"/>
      <c r="P336" s="15"/>
      <c r="Q336" s="15"/>
      <c r="R336" s="15"/>
      <c r="S336" s="15"/>
      <c r="T336" s="15"/>
      <c r="U336" s="15"/>
      <c r="V336" s="15"/>
      <c r="W336" s="15"/>
      <c r="X336" s="15"/>
      <c r="Y336" s="15"/>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3"/>
      <c r="BB336" s="3"/>
      <c r="BC336" s="3"/>
      <c r="BD336" s="1"/>
      <c r="BE336" s="9"/>
      <c r="BF336" s="9"/>
      <c r="BG336" s="9"/>
      <c r="BH336" s="9"/>
      <c r="BI336" s="9"/>
      <c r="BJ336" s="9"/>
      <c r="BK336" s="9"/>
      <c r="BL336" s="9"/>
      <c r="BM336" s="9"/>
      <c r="BN336" s="9"/>
      <c r="BO336" s="9"/>
      <c r="BP336" s="9"/>
      <c r="BQ336" s="9"/>
      <c r="BR336" s="9"/>
      <c r="BS336" s="9"/>
    </row>
    <row r="337" spans="1:71">
      <c r="A337" s="79" t="s">
        <v>272</v>
      </c>
      <c r="B337" s="80">
        <f>B336/$B$296</f>
        <v>37.510050924685068</v>
      </c>
      <c r="C337" s="80">
        <f t="shared" ref="C337:G337" si="35">C336/$B$296</f>
        <v>37.510050924685068</v>
      </c>
      <c r="D337" s="80">
        <f t="shared" si="35"/>
        <v>1.4151809669101745</v>
      </c>
      <c r="E337" s="80">
        <f t="shared" si="35"/>
        <v>35.652629271631767</v>
      </c>
      <c r="F337" s="80">
        <f t="shared" si="35"/>
        <v>13.887928613701988</v>
      </c>
      <c r="G337" s="80">
        <f t="shared" si="35"/>
        <v>42.504459486003178</v>
      </c>
      <c r="H337" s="6"/>
      <c r="I337" s="6"/>
      <c r="J337" s="6"/>
      <c r="K337" s="6"/>
      <c r="L337" s="4"/>
      <c r="M337" s="4"/>
      <c r="N337" s="4"/>
      <c r="O337" s="15"/>
      <c r="P337" s="15"/>
      <c r="Q337" s="15"/>
      <c r="R337" s="15"/>
      <c r="S337" s="15"/>
      <c r="T337" s="15"/>
      <c r="U337" s="15"/>
      <c r="V337" s="15"/>
      <c r="W337" s="15"/>
      <c r="X337" s="15"/>
      <c r="Y337" s="15"/>
      <c r="Z337" s="15"/>
      <c r="AA337" s="15"/>
      <c r="AB337" s="15"/>
      <c r="AC337" s="15"/>
      <c r="AD337" s="15"/>
      <c r="AE337" s="15"/>
      <c r="AF337" s="15"/>
      <c r="AG337" s="15"/>
      <c r="AH337" s="15"/>
      <c r="AI337" s="15"/>
      <c r="AJ337" s="15"/>
      <c r="AK337" s="15"/>
      <c r="AL337" s="15"/>
      <c r="AM337" s="15"/>
      <c r="AN337" s="15"/>
      <c r="AO337" s="15"/>
      <c r="AP337" s="15"/>
      <c r="AQ337" s="15"/>
      <c r="AR337" s="15"/>
      <c r="AS337" s="15"/>
      <c r="AT337" s="15"/>
      <c r="AU337" s="15"/>
      <c r="AV337" s="15"/>
      <c r="AW337" s="15"/>
      <c r="AX337" s="15"/>
      <c r="AY337" s="15"/>
      <c r="AZ337" s="15"/>
      <c r="BA337" s="3"/>
      <c r="BB337" s="3"/>
      <c r="BC337" s="3"/>
      <c r="BD337" s="1"/>
      <c r="BE337" s="9"/>
      <c r="BF337" s="9"/>
      <c r="BG337" s="9"/>
      <c r="BH337" s="9"/>
      <c r="BI337" s="9"/>
      <c r="BJ337" s="9"/>
      <c r="BK337" s="9"/>
      <c r="BL337" s="9"/>
      <c r="BM337" s="9"/>
      <c r="BN337" s="9"/>
      <c r="BO337" s="9"/>
      <c r="BP337" s="9"/>
      <c r="BQ337" s="9"/>
      <c r="BR337" s="9"/>
      <c r="BS337" s="9"/>
    </row>
    <row r="338" spans="1:71">
      <c r="A338" s="79" t="s">
        <v>271</v>
      </c>
      <c r="B338" s="80">
        <f>B337*$B$297</f>
        <v>356.58653628303546</v>
      </c>
      <c r="C338" s="80">
        <f t="shared" ref="C338:G338" si="36">C337*$B$297</f>
        <v>356.58653628303546</v>
      </c>
      <c r="D338" s="80">
        <f t="shared" si="36"/>
        <v>13.4533136256576</v>
      </c>
      <c r="E338" s="80">
        <f t="shared" si="36"/>
        <v>338.92909414814591</v>
      </c>
      <c r="F338" s="80">
        <f t="shared" si="36"/>
        <v>132.02457043978617</v>
      </c>
      <c r="G338" s="80">
        <f t="shared" si="36"/>
        <v>404.06551340409129</v>
      </c>
      <c r="H338" s="6"/>
      <c r="I338" s="6"/>
      <c r="J338" s="6"/>
      <c r="K338" s="6"/>
      <c r="L338" s="4"/>
      <c r="M338" s="4"/>
      <c r="N338" s="4"/>
      <c r="O338" s="15"/>
      <c r="P338" s="15"/>
      <c r="Q338" s="15"/>
      <c r="R338" s="15"/>
      <c r="S338" s="15"/>
      <c r="T338" s="15"/>
      <c r="U338" s="15"/>
      <c r="V338" s="15"/>
      <c r="W338" s="15"/>
      <c r="X338" s="15"/>
      <c r="Y338" s="15"/>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3"/>
      <c r="BB338" s="3"/>
      <c r="BC338" s="3"/>
      <c r="BD338" s="1"/>
      <c r="BE338" s="9"/>
      <c r="BF338" s="9"/>
      <c r="BG338" s="9"/>
      <c r="BH338" s="9"/>
      <c r="BI338" s="9"/>
      <c r="BJ338" s="9"/>
      <c r="BK338" s="9"/>
      <c r="BL338" s="9"/>
      <c r="BM338" s="9"/>
      <c r="BN338" s="9"/>
      <c r="BO338" s="9"/>
      <c r="BP338" s="9"/>
      <c r="BQ338" s="9"/>
      <c r="BR338" s="9"/>
      <c r="BS338" s="9"/>
    </row>
    <row r="339" spans="1:71">
      <c r="A339" s="79" t="s">
        <v>852</v>
      </c>
      <c r="B339" s="83">
        <f t="shared" ref="B339:G339" si="37">$B$315*(B338^$B$316)*($B$317^B335)</f>
        <v>483813.61185583571</v>
      </c>
      <c r="C339" s="83">
        <f t="shared" si="37"/>
        <v>563781.60278945637</v>
      </c>
      <c r="D339" s="83">
        <f t="shared" si="37"/>
        <v>78133.897431145524</v>
      </c>
      <c r="E339" s="83">
        <f t="shared" si="37"/>
        <v>546778.05700102961</v>
      </c>
      <c r="F339" s="83">
        <f t="shared" si="37"/>
        <v>309677.93507658667</v>
      </c>
      <c r="G339" s="83">
        <f t="shared" si="37"/>
        <v>607919.20967535919</v>
      </c>
      <c r="H339" s="6"/>
      <c r="I339" s="6"/>
      <c r="J339" s="6"/>
      <c r="K339" s="6"/>
      <c r="L339" s="4"/>
      <c r="M339" s="4"/>
      <c r="N339" s="4"/>
      <c r="O339" s="15"/>
      <c r="P339" s="15"/>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c r="AP339" s="15"/>
      <c r="AQ339" s="15"/>
      <c r="AR339" s="15"/>
      <c r="AS339" s="15"/>
      <c r="AT339" s="15"/>
      <c r="AU339" s="15"/>
      <c r="AV339" s="15"/>
      <c r="AW339" s="15"/>
      <c r="AX339" s="15"/>
      <c r="AY339" s="15"/>
      <c r="AZ339" s="15"/>
      <c r="BA339" s="3"/>
      <c r="BB339" s="3"/>
      <c r="BC339" s="3"/>
      <c r="BD339" s="1"/>
      <c r="BE339" s="9"/>
      <c r="BF339" s="9"/>
      <c r="BG339" s="9"/>
      <c r="BH339" s="9"/>
      <c r="BI339" s="9"/>
      <c r="BJ339" s="9"/>
      <c r="BK339" s="9"/>
      <c r="BL339" s="9"/>
      <c r="BM339" s="9"/>
      <c r="BN339" s="9"/>
      <c r="BO339" s="9"/>
      <c r="BP339" s="9"/>
      <c r="BQ339" s="9"/>
      <c r="BR339" s="9"/>
      <c r="BS339" s="9"/>
    </row>
    <row r="340" spans="1:71">
      <c r="A340" s="79" t="str">
        <f>"Equipment cost ("&amp;$B$128&amp;" USD)"</f>
        <v>Equipment cost (2024 USD)</v>
      </c>
      <c r="B340" s="15">
        <f>(B339/$C$146)*$B$146</f>
        <v>655466.41422294953</v>
      </c>
      <c r="C340" s="15">
        <f t="shared" ref="C340:G340" si="38">(C339/$C$146)*$B$146</f>
        <v>763806.34304143093</v>
      </c>
      <c r="D340" s="15">
        <f t="shared" si="38"/>
        <v>105855.11511759038</v>
      </c>
      <c r="E340" s="15">
        <f t="shared" si="38"/>
        <v>740770.08917444211</v>
      </c>
      <c r="F340" s="15">
        <f t="shared" si="38"/>
        <v>419548.93515708193</v>
      </c>
      <c r="G340" s="15">
        <f t="shared" si="38"/>
        <v>823603.58356740756</v>
      </c>
      <c r="H340" s="6"/>
      <c r="I340" s="6"/>
      <c r="J340" s="6"/>
      <c r="K340" s="6"/>
      <c r="L340" s="4"/>
      <c r="M340" s="4"/>
      <c r="N340" s="4"/>
      <c r="O340" s="15"/>
      <c r="P340" s="15"/>
      <c r="Q340" s="15"/>
      <c r="R340" s="15"/>
      <c r="S340" s="15"/>
      <c r="T340" s="15"/>
      <c r="U340" s="15"/>
      <c r="V340" s="15"/>
      <c r="W340" s="15"/>
      <c r="X340" s="15"/>
      <c r="Y340" s="15"/>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3"/>
      <c r="BB340" s="3"/>
      <c r="BC340" s="3"/>
      <c r="BD340" s="1"/>
      <c r="BE340" s="9"/>
      <c r="BF340" s="9"/>
      <c r="BG340" s="9"/>
      <c r="BH340" s="9"/>
      <c r="BI340" s="9"/>
      <c r="BJ340" s="9"/>
      <c r="BK340" s="9"/>
      <c r="BL340" s="9"/>
      <c r="BM340" s="9"/>
      <c r="BN340" s="9"/>
      <c r="BO340" s="9"/>
      <c r="BP340" s="9"/>
      <c r="BQ340" s="9"/>
      <c r="BR340" s="9"/>
      <c r="BS340" s="9"/>
    </row>
    <row r="341" spans="1:71">
      <c r="A341" s="79" t="s">
        <v>864</v>
      </c>
      <c r="B341" s="83">
        <f>SUM(B340:G340)</f>
        <v>3509050.4802809022</v>
      </c>
      <c r="C341" s="80"/>
      <c r="D341" s="80"/>
      <c r="E341" s="80"/>
      <c r="F341" s="83"/>
      <c r="G341" s="15"/>
      <c r="H341" s="6"/>
      <c r="I341" s="6"/>
      <c r="J341" s="6"/>
      <c r="K341" s="6"/>
      <c r="L341" s="4"/>
      <c r="M341" s="4"/>
      <c r="N341" s="4"/>
      <c r="O341" s="15"/>
      <c r="P341" s="15"/>
      <c r="Q341" s="15"/>
      <c r="R341" s="15"/>
      <c r="S341" s="15"/>
      <c r="T341" s="15"/>
      <c r="U341" s="15"/>
      <c r="V341" s="15"/>
      <c r="W341" s="15"/>
      <c r="X341" s="15"/>
      <c r="Y341" s="15"/>
      <c r="Z341" s="15"/>
      <c r="AA341" s="15"/>
      <c r="AB341" s="15"/>
      <c r="AC341" s="15"/>
      <c r="AD341" s="15"/>
      <c r="AE341" s="15"/>
      <c r="AF341" s="15"/>
      <c r="AG341" s="15"/>
      <c r="AH341" s="15"/>
      <c r="AI341" s="15"/>
      <c r="AJ341" s="15"/>
      <c r="AK341" s="15"/>
      <c r="AL341" s="15"/>
      <c r="AM341" s="15"/>
      <c r="AN341" s="15"/>
      <c r="AO341" s="15"/>
      <c r="AP341" s="15"/>
      <c r="AQ341" s="15"/>
      <c r="AR341" s="15"/>
      <c r="AS341" s="15"/>
      <c r="AT341" s="15"/>
      <c r="AU341" s="15"/>
      <c r="AV341" s="15"/>
      <c r="AW341" s="15"/>
      <c r="AX341" s="15"/>
      <c r="AY341" s="15"/>
      <c r="AZ341" s="15"/>
      <c r="BA341" s="3"/>
      <c r="BB341" s="3"/>
      <c r="BC341" s="3"/>
      <c r="BD341" s="1"/>
      <c r="BE341" s="9"/>
      <c r="BF341" s="9"/>
      <c r="BG341" s="9"/>
      <c r="BH341" s="9"/>
      <c r="BI341" s="9"/>
      <c r="BJ341" s="9"/>
      <c r="BK341" s="9"/>
      <c r="BL341" s="9"/>
      <c r="BM341" s="9"/>
      <c r="BN341" s="9"/>
      <c r="BO341" s="9"/>
      <c r="BP341" s="9"/>
      <c r="BQ341" s="9"/>
      <c r="BR341" s="9"/>
      <c r="BS341" s="9"/>
    </row>
    <row r="342" spans="1:71">
      <c r="A342" s="79"/>
      <c r="B342" s="79"/>
      <c r="C342" s="80"/>
      <c r="D342" s="80"/>
      <c r="E342" s="80"/>
      <c r="F342" s="83"/>
      <c r="G342" s="15"/>
      <c r="H342" s="6"/>
      <c r="I342" s="6"/>
      <c r="J342" s="6"/>
      <c r="K342" s="6"/>
      <c r="L342" s="4"/>
      <c r="M342" s="4"/>
      <c r="N342" s="4"/>
      <c r="O342" s="15"/>
      <c r="P342" s="15"/>
      <c r="Q342" s="15"/>
      <c r="R342" s="15"/>
      <c r="S342" s="15"/>
      <c r="T342" s="15"/>
      <c r="U342" s="15"/>
      <c r="V342" s="15"/>
      <c r="W342" s="15"/>
      <c r="X342" s="15"/>
      <c r="Y342" s="15"/>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3"/>
      <c r="BB342" s="3"/>
      <c r="BC342" s="3"/>
      <c r="BD342" s="1"/>
      <c r="BE342" s="9"/>
      <c r="BF342" s="9"/>
      <c r="BG342" s="9"/>
      <c r="BH342" s="9"/>
      <c r="BI342" s="9"/>
      <c r="BJ342" s="9"/>
      <c r="BK342" s="9"/>
      <c r="BL342" s="9"/>
      <c r="BM342" s="9"/>
      <c r="BN342" s="9"/>
      <c r="BO342" s="9"/>
      <c r="BP342" s="9"/>
      <c r="BQ342" s="9"/>
      <c r="BR342" s="9"/>
      <c r="BS342" s="9"/>
    </row>
    <row r="343" spans="1:71">
      <c r="A343" s="79" t="s">
        <v>856</v>
      </c>
      <c r="C343" s="5"/>
      <c r="D343" s="16"/>
      <c r="F343" s="3"/>
      <c r="G343" s="3"/>
      <c r="H343" s="6"/>
      <c r="I343" s="6"/>
      <c r="J343" s="6"/>
      <c r="K343" s="6"/>
      <c r="L343" s="4"/>
      <c r="M343" s="4"/>
      <c r="N343" s="4"/>
      <c r="O343" s="15"/>
      <c r="P343" s="15"/>
      <c r="Q343" s="15"/>
      <c r="R343" s="15"/>
      <c r="S343" s="15"/>
      <c r="T343" s="15"/>
      <c r="U343" s="15"/>
      <c r="V343" s="15"/>
      <c r="W343" s="15"/>
      <c r="X343" s="15"/>
      <c r="Y343" s="15"/>
      <c r="Z343" s="15"/>
      <c r="AA343" s="15"/>
      <c r="AB343" s="15"/>
      <c r="AC343" s="15"/>
      <c r="AD343" s="15"/>
      <c r="AE343" s="15"/>
      <c r="AF343" s="15"/>
      <c r="AG343" s="15"/>
      <c r="AH343" s="15"/>
      <c r="AI343" s="15"/>
      <c r="AJ343" s="15"/>
      <c r="AK343" s="15"/>
      <c r="AL343" s="15"/>
      <c r="AM343" s="15"/>
      <c r="AN343" s="15"/>
      <c r="AO343" s="15"/>
      <c r="AP343" s="15"/>
      <c r="AQ343" s="15"/>
      <c r="AR343" s="15"/>
      <c r="AS343" s="15"/>
      <c r="AT343" s="15"/>
      <c r="AU343" s="15"/>
      <c r="AV343" s="15"/>
      <c r="AW343" s="15"/>
      <c r="AX343" s="15"/>
      <c r="AY343" s="15"/>
      <c r="AZ343" s="15"/>
      <c r="BA343" s="3"/>
      <c r="BB343" s="3"/>
      <c r="BC343" s="3"/>
      <c r="BD343" s="1"/>
      <c r="BE343" s="9"/>
      <c r="BF343" s="9"/>
      <c r="BG343" s="9"/>
      <c r="BH343" s="9"/>
      <c r="BI343" s="9"/>
      <c r="BJ343" s="9"/>
      <c r="BK343" s="9"/>
      <c r="BL343" s="9"/>
      <c r="BM343" s="9"/>
      <c r="BN343" s="9"/>
      <c r="BO343" s="9"/>
      <c r="BP343" s="9"/>
      <c r="BQ343" s="9"/>
      <c r="BR343" s="9"/>
      <c r="BS343" s="9"/>
    </row>
    <row r="344" spans="1:71">
      <c r="A344" t="s">
        <v>267</v>
      </c>
      <c r="B344">
        <v>70693</v>
      </c>
      <c r="C344" s="5"/>
      <c r="D344" s="16"/>
      <c r="F344" s="3"/>
      <c r="G344" s="3"/>
      <c r="H344" s="6"/>
      <c r="I344" s="6"/>
      <c r="J344" s="6"/>
      <c r="K344" s="6"/>
      <c r="L344" s="4"/>
      <c r="M344" s="4"/>
      <c r="N344" s="4"/>
      <c r="O344" s="15"/>
      <c r="P344" s="15"/>
      <c r="Q344" s="15"/>
      <c r="R344" s="15"/>
      <c r="S344" s="15"/>
      <c r="T344" s="15"/>
      <c r="U344" s="15"/>
      <c r="V344" s="15"/>
      <c r="W344" s="15"/>
      <c r="X344" s="15"/>
      <c r="Y344" s="15"/>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3"/>
      <c r="BB344" s="3"/>
      <c r="BC344" s="3"/>
      <c r="BD344" s="1"/>
      <c r="BE344" s="9"/>
      <c r="BF344" s="9"/>
      <c r="BG344" s="9"/>
      <c r="BH344" s="9"/>
      <c r="BI344" s="9"/>
      <c r="BJ344" s="9"/>
      <c r="BK344" s="9"/>
      <c r="BL344" s="9"/>
      <c r="BM344" s="9"/>
      <c r="BN344" s="9"/>
      <c r="BO344" s="9"/>
      <c r="BP344" s="9"/>
      <c r="BQ344" s="9"/>
      <c r="BR344" s="9"/>
      <c r="BS344" s="9"/>
    </row>
    <row r="345" spans="1:71">
      <c r="A345" t="s">
        <v>854</v>
      </c>
      <c r="B345">
        <v>0.56200000000000006</v>
      </c>
      <c r="C345" s="5"/>
      <c r="D345" s="16"/>
      <c r="F345" s="3"/>
      <c r="G345" s="3"/>
      <c r="H345" s="6"/>
      <c r="I345" s="6"/>
      <c r="J345" s="6"/>
      <c r="K345" s="6"/>
      <c r="L345" s="4"/>
      <c r="M345" s="4"/>
      <c r="N345" s="4"/>
      <c r="O345" s="15"/>
      <c r="P345" s="15"/>
      <c r="Q345" s="15"/>
      <c r="R345" s="15"/>
      <c r="S345" s="15"/>
      <c r="T345" s="15"/>
      <c r="U345" s="15"/>
      <c r="V345" s="15"/>
      <c r="W345" s="15"/>
      <c r="X345" s="15"/>
      <c r="Y345" s="15"/>
      <c r="Z345" s="15"/>
      <c r="AA345" s="15"/>
      <c r="AB345" s="15"/>
      <c r="AC345" s="15"/>
      <c r="AD345" s="15"/>
      <c r="AE345" s="15"/>
      <c r="AF345" s="15"/>
      <c r="AG345" s="15"/>
      <c r="AH345" s="15"/>
      <c r="AI345" s="15"/>
      <c r="AJ345" s="15"/>
      <c r="AK345" s="15"/>
      <c r="AL345" s="15"/>
      <c r="AM345" s="15"/>
      <c r="AN345" s="15"/>
      <c r="AO345" s="15"/>
      <c r="AP345" s="15"/>
      <c r="AQ345" s="15"/>
      <c r="AR345" s="15"/>
      <c r="AS345" s="15"/>
      <c r="AT345" s="15"/>
      <c r="AU345" s="15"/>
      <c r="AV345" s="15"/>
      <c r="AW345" s="15"/>
      <c r="AX345" s="15"/>
      <c r="AY345" s="15"/>
      <c r="AZ345" s="15"/>
      <c r="BA345" s="3"/>
      <c r="BB345" s="3"/>
      <c r="BC345" s="3"/>
      <c r="BD345" s="1"/>
      <c r="BE345" s="9"/>
      <c r="BF345" s="9"/>
      <c r="BG345" s="9"/>
      <c r="BH345" s="9"/>
      <c r="BI345" s="9"/>
      <c r="BJ345" s="9"/>
      <c r="BK345" s="9"/>
      <c r="BL345" s="9"/>
      <c r="BM345" s="9"/>
      <c r="BN345" s="9"/>
      <c r="BO345" s="9"/>
      <c r="BP345" s="9"/>
      <c r="BQ345" s="9"/>
      <c r="BR345" s="9"/>
      <c r="BS345" s="9"/>
    </row>
    <row r="346" spans="1:71">
      <c r="A346" t="s">
        <v>268</v>
      </c>
      <c r="B346">
        <v>1.015215</v>
      </c>
      <c r="C346" s="5"/>
      <c r="D346" s="16"/>
      <c r="F346" s="3"/>
      <c r="G346" s="3"/>
      <c r="H346" s="3"/>
      <c r="I346" s="6"/>
      <c r="J346" s="6"/>
      <c r="K346" s="6"/>
      <c r="L346" s="4"/>
      <c r="M346" s="4"/>
      <c r="N346" s="4"/>
      <c r="O346" s="15"/>
      <c r="P346" s="15"/>
      <c r="Q346" s="15"/>
      <c r="R346" s="15"/>
      <c r="S346" s="15"/>
      <c r="T346" s="15"/>
      <c r="U346" s="15"/>
      <c r="V346" s="15"/>
      <c r="W346" s="15"/>
      <c r="X346" s="15"/>
      <c r="Y346" s="15"/>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3"/>
      <c r="BB346" s="3"/>
      <c r="BC346" s="3"/>
      <c r="BD346" s="1"/>
      <c r="BE346" s="9"/>
      <c r="BF346" s="9"/>
      <c r="BG346" s="9"/>
      <c r="BH346" s="9"/>
      <c r="BI346" s="9"/>
      <c r="BJ346" s="9"/>
      <c r="BK346" s="9"/>
      <c r="BL346" s="9"/>
      <c r="BM346" s="9"/>
      <c r="BN346" s="9"/>
      <c r="BO346" s="9"/>
      <c r="BP346" s="9"/>
      <c r="BQ346" s="9"/>
      <c r="BR346" s="9"/>
      <c r="BS346" s="9"/>
    </row>
    <row r="347" spans="1:71">
      <c r="A347" t="s">
        <v>855</v>
      </c>
      <c r="B347">
        <v>300</v>
      </c>
      <c r="C347" s="5"/>
      <c r="D347" s="16"/>
      <c r="F347" s="3"/>
      <c r="G347" s="3"/>
      <c r="H347" s="3"/>
      <c r="I347" s="6"/>
      <c r="J347" s="6"/>
      <c r="K347" s="6"/>
      <c r="L347" s="4"/>
      <c r="M347" s="4"/>
      <c r="N347" s="4"/>
      <c r="O347" s="15"/>
      <c r="P347" s="15"/>
      <c r="Q347" s="15"/>
      <c r="R347" s="15"/>
      <c r="S347" s="15"/>
      <c r="T347" s="15"/>
      <c r="U347" s="15"/>
      <c r="V347" s="15"/>
      <c r="W347" s="15"/>
      <c r="X347" s="15"/>
      <c r="Y347" s="15"/>
      <c r="Z347" s="15"/>
      <c r="AA347" s="15"/>
      <c r="AB347" s="15"/>
      <c r="AC347" s="15"/>
      <c r="AD347" s="15"/>
      <c r="AE347" s="15"/>
      <c r="AF347" s="15"/>
      <c r="AG347" s="15"/>
      <c r="AH347" s="15"/>
      <c r="AI347" s="15"/>
      <c r="AJ347" s="15"/>
      <c r="AK347" s="15"/>
      <c r="AL347" s="15"/>
      <c r="AM347" s="15"/>
      <c r="AN347" s="15"/>
      <c r="AO347" s="15"/>
      <c r="AP347" s="15"/>
      <c r="AQ347" s="15"/>
      <c r="AR347" s="15"/>
      <c r="AS347" s="15"/>
      <c r="AT347" s="15"/>
      <c r="AU347" s="15"/>
      <c r="AV347" s="15"/>
      <c r="AW347" s="15"/>
      <c r="AX347" s="15"/>
      <c r="AY347" s="15"/>
      <c r="AZ347" s="15"/>
      <c r="BA347" s="3"/>
      <c r="BB347" s="3"/>
      <c r="BC347" s="3"/>
      <c r="BD347" s="1"/>
      <c r="BE347" s="9"/>
      <c r="BF347" s="9"/>
      <c r="BG347" s="9"/>
      <c r="BH347" s="9"/>
      <c r="BI347" s="9"/>
      <c r="BJ347" s="9"/>
      <c r="BK347" s="9"/>
      <c r="BL347" s="9"/>
      <c r="BM347" s="9"/>
      <c r="BN347" s="9"/>
      <c r="BO347" s="9"/>
      <c r="BP347" s="9"/>
      <c r="BQ347" s="9"/>
      <c r="BR347" s="9"/>
      <c r="BS347" s="9"/>
    </row>
    <row r="348" spans="1:71">
      <c r="A348" t="s">
        <v>281</v>
      </c>
      <c r="B348" s="16">
        <v>0.5</v>
      </c>
      <c r="C348" s="5"/>
      <c r="D348" s="16"/>
      <c r="F348" s="3"/>
      <c r="G348" s="3"/>
      <c r="H348" s="1"/>
      <c r="I348" s="6"/>
      <c r="J348" s="6"/>
      <c r="K348" s="6"/>
      <c r="L348" s="4"/>
      <c r="M348" s="4"/>
      <c r="N348" s="4"/>
      <c r="O348" s="15"/>
      <c r="P348" s="15"/>
      <c r="Q348" s="15"/>
      <c r="R348" s="15"/>
      <c r="S348" s="15"/>
      <c r="T348" s="15"/>
      <c r="U348" s="15"/>
      <c r="V348" s="15"/>
      <c r="W348" s="15"/>
      <c r="X348" s="15"/>
      <c r="Y348" s="15"/>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3"/>
      <c r="BB348" s="3"/>
      <c r="BC348" s="3"/>
      <c r="BD348" s="1"/>
      <c r="BE348" s="9"/>
      <c r="BF348" s="9"/>
      <c r="BG348" s="9"/>
      <c r="BH348" s="9"/>
      <c r="BI348" s="9"/>
      <c r="BJ348" s="9"/>
      <c r="BK348" s="9"/>
      <c r="BL348" s="9"/>
      <c r="BM348" s="9"/>
      <c r="BN348" s="9"/>
      <c r="BO348" s="9"/>
      <c r="BP348" s="9"/>
      <c r="BQ348" s="9"/>
      <c r="BR348" s="9"/>
      <c r="BS348" s="9"/>
    </row>
    <row r="349" spans="1:71">
      <c r="B349" s="79" t="s">
        <v>282</v>
      </c>
      <c r="C349" s="79" t="s">
        <v>852</v>
      </c>
      <c r="D349" t="str">
        <f>"Equipment cost ("&amp;$B$128&amp;" USD)"</f>
        <v>Equipment cost (2024 USD)</v>
      </c>
      <c r="E349" s="79"/>
      <c r="F349" s="79"/>
      <c r="H349" s="3"/>
      <c r="K349" s="6"/>
      <c r="L349" s="4"/>
      <c r="M349" s="4"/>
      <c r="N349" s="4"/>
      <c r="O349" s="15"/>
      <c r="P349" s="15"/>
      <c r="Q349" s="15"/>
      <c r="R349" s="15"/>
      <c r="S349" s="15"/>
      <c r="T349" s="15"/>
      <c r="U349" s="15"/>
      <c r="V349" s="15"/>
      <c r="W349" s="15"/>
      <c r="X349" s="15"/>
      <c r="Y349" s="15"/>
      <c r="Z349" s="15"/>
      <c r="AA349" s="15"/>
      <c r="AB349" s="15"/>
      <c r="AC349" s="15"/>
      <c r="AD349" s="15"/>
      <c r="AE349" s="15"/>
      <c r="AF349" s="15"/>
      <c r="AG349" s="15"/>
      <c r="AH349" s="15"/>
      <c r="AI349" s="15"/>
      <c r="AJ349" s="15"/>
      <c r="AK349" s="15"/>
      <c r="AL349" s="15"/>
      <c r="AM349" s="15"/>
      <c r="AN349" s="15"/>
      <c r="AO349" s="15"/>
      <c r="AP349" s="15"/>
      <c r="AQ349" s="15"/>
      <c r="AR349" s="15"/>
      <c r="AS349" s="15"/>
      <c r="AT349" s="15"/>
      <c r="AU349" s="15"/>
      <c r="AV349" s="15"/>
      <c r="AW349" s="15"/>
      <c r="AX349" s="15"/>
      <c r="AY349" s="15"/>
      <c r="AZ349" s="15"/>
      <c r="BA349" s="3"/>
      <c r="BB349" s="3"/>
      <c r="BC349" s="3"/>
      <c r="BD349" s="1"/>
      <c r="BE349" s="9"/>
      <c r="BF349" s="9"/>
      <c r="BG349" s="9"/>
      <c r="BH349" s="9"/>
      <c r="BI349" s="9"/>
      <c r="BJ349" s="9"/>
      <c r="BK349" s="9"/>
      <c r="BL349" s="9"/>
      <c r="BM349" s="9"/>
      <c r="BN349" s="9"/>
      <c r="BO349" s="9"/>
      <c r="BP349" s="9"/>
      <c r="BQ349" s="9"/>
      <c r="BR349" s="9"/>
      <c r="BS349" s="9"/>
    </row>
    <row r="350" spans="1:71">
      <c r="A350" t="s">
        <v>175</v>
      </c>
      <c r="B350" s="82">
        <f>((($B$297*$B$347)/$B$122)/$B$348)</f>
        <v>5.4739499102929079</v>
      </c>
      <c r="C350" s="83">
        <f>$B$344*(B350^$B$345)*($B$346^$B$288)</f>
        <v>278385.86824218114</v>
      </c>
      <c r="D350" s="15">
        <f>(C350/$C$146)*$B$146</f>
        <v>377154.71899830957</v>
      </c>
      <c r="E350" s="83"/>
      <c r="F350" s="82"/>
      <c r="H350" s="3"/>
      <c r="K350" s="6"/>
      <c r="L350" s="4"/>
      <c r="M350" s="4"/>
      <c r="N350" s="4"/>
      <c r="O350" s="15"/>
      <c r="P350" s="15"/>
      <c r="Q350" s="15"/>
      <c r="R350" s="15"/>
      <c r="S350" s="15"/>
      <c r="T350" s="15"/>
      <c r="U350" s="15"/>
      <c r="V350" s="15"/>
      <c r="W350" s="15"/>
      <c r="X350" s="15"/>
      <c r="Y350" s="15"/>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3"/>
      <c r="BB350" s="3"/>
      <c r="BC350" s="3"/>
      <c r="BD350" s="1"/>
      <c r="BE350" s="9"/>
      <c r="BF350" s="9"/>
      <c r="BG350" s="9"/>
      <c r="BH350" s="9"/>
      <c r="BI350" s="9"/>
      <c r="BJ350" s="9"/>
      <c r="BK350" s="9"/>
      <c r="BL350" s="9"/>
      <c r="BM350" s="9"/>
      <c r="BN350" s="9"/>
      <c r="BO350" s="9"/>
      <c r="BP350" s="9"/>
      <c r="BQ350" s="9"/>
      <c r="BR350" s="9"/>
      <c r="BS350" s="9"/>
    </row>
    <row r="351" spans="1:71">
      <c r="A351" t="s">
        <v>183</v>
      </c>
      <c r="B351" s="82">
        <f>((($B$297*$B$347)/$B$122)/$B$348)</f>
        <v>5.4739499102929079</v>
      </c>
      <c r="C351" s="83">
        <f>$B$344*(B351^$B$345)*($B$346^$B$288)</f>
        <v>278385.86824218114</v>
      </c>
      <c r="D351" s="15">
        <f>(C351/$C$146)*$B$146</f>
        <v>377154.71899830957</v>
      </c>
      <c r="E351" s="83"/>
      <c r="F351" s="82"/>
      <c r="H351" s="3"/>
      <c r="K351" s="6"/>
      <c r="L351" s="4"/>
      <c r="M351" s="4"/>
      <c r="N351" s="4"/>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3"/>
      <c r="BB351" s="3"/>
      <c r="BC351" s="3"/>
      <c r="BD351" s="1"/>
      <c r="BE351" s="9"/>
      <c r="BF351" s="9"/>
      <c r="BG351" s="9"/>
      <c r="BH351" s="9"/>
      <c r="BI351" s="9"/>
      <c r="BJ351" s="9"/>
      <c r="BK351" s="9"/>
      <c r="BL351" s="9"/>
      <c r="BM351" s="9"/>
      <c r="BN351" s="9"/>
      <c r="BO351" s="9"/>
      <c r="BP351" s="9"/>
      <c r="BQ351" s="9"/>
      <c r="BR351" s="9"/>
      <c r="BS351" s="9"/>
    </row>
    <row r="352" spans="1:71">
      <c r="A352" t="s">
        <v>864</v>
      </c>
      <c r="C352" s="83"/>
      <c r="D352" s="83">
        <f>SUM(D350:D351)</f>
        <v>754309.43799661915</v>
      </c>
      <c r="E352" s="83"/>
      <c r="F352" s="82"/>
      <c r="K352" s="6"/>
      <c r="L352" s="4"/>
      <c r="M352" s="4"/>
      <c r="N352" s="4"/>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3"/>
      <c r="BB352" s="3"/>
      <c r="BC352" s="3"/>
      <c r="BD352" s="1"/>
      <c r="BE352" s="9"/>
      <c r="BF352" s="9"/>
      <c r="BG352" s="9"/>
      <c r="BH352" s="9"/>
      <c r="BI352" s="9"/>
      <c r="BJ352" s="9"/>
      <c r="BK352" s="9"/>
      <c r="BL352" s="9"/>
      <c r="BM352" s="9"/>
      <c r="BN352" s="9"/>
      <c r="BO352" s="9"/>
      <c r="BP352" s="9"/>
      <c r="BQ352" s="9"/>
      <c r="BR352" s="9"/>
      <c r="BS352" s="9"/>
    </row>
    <row r="353" spans="1:71">
      <c r="C353" s="5"/>
      <c r="D353" s="16"/>
      <c r="F353" s="3"/>
      <c r="G353" s="3"/>
      <c r="H353" s="6"/>
      <c r="I353" s="6"/>
      <c r="J353" s="6"/>
      <c r="K353" s="6"/>
      <c r="L353" s="4"/>
      <c r="M353" s="4"/>
      <c r="N353" s="4"/>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3"/>
      <c r="BB353" s="3"/>
      <c r="BC353" s="3"/>
      <c r="BD353" s="1"/>
      <c r="BE353" s="9"/>
      <c r="BF353" s="9"/>
      <c r="BG353" s="9"/>
      <c r="BH353" s="9"/>
      <c r="BI353" s="9"/>
      <c r="BJ353" s="9"/>
      <c r="BK353" s="9"/>
      <c r="BL353" s="9"/>
      <c r="BM353" s="9"/>
      <c r="BN353" s="9"/>
      <c r="BO353" s="9"/>
      <c r="BP353" s="9"/>
      <c r="BQ353" s="9"/>
      <c r="BR353" s="9"/>
      <c r="BS353" s="9"/>
    </row>
    <row r="354" spans="1:71">
      <c r="A354" t="s">
        <v>378</v>
      </c>
      <c r="C354" s="5"/>
      <c r="D354" s="16"/>
      <c r="F354" s="3"/>
      <c r="G354" s="3"/>
      <c r="H354" s="6"/>
      <c r="I354" s="6"/>
      <c r="J354" s="6"/>
      <c r="K354" s="6"/>
      <c r="L354" s="4"/>
      <c r="M354" s="4"/>
      <c r="N354" s="4"/>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3"/>
      <c r="BB354" s="3"/>
      <c r="BC354" s="3"/>
      <c r="BD354" s="1"/>
      <c r="BE354" s="9"/>
      <c r="BF354" s="9"/>
      <c r="BG354" s="9"/>
      <c r="BH354" s="9"/>
      <c r="BI354" s="9"/>
      <c r="BJ354" s="9"/>
      <c r="BK354" s="9"/>
      <c r="BL354" s="9"/>
      <c r="BM354" s="9"/>
      <c r="BN354" s="9"/>
      <c r="BO354" s="9"/>
      <c r="BP354" s="9"/>
      <c r="BQ354" s="9"/>
      <c r="BR354" s="9"/>
      <c r="BS354" s="9"/>
    </row>
    <row r="355" spans="1:71">
      <c r="A355" t="s">
        <v>840</v>
      </c>
      <c r="B355" s="3">
        <f>$B$118</f>
        <v>15</v>
      </c>
      <c r="C355" s="5" t="s">
        <v>72</v>
      </c>
      <c r="D355" s="16"/>
      <c r="F355" s="3"/>
      <c r="G355" s="3"/>
      <c r="H355" s="6"/>
      <c r="I355" s="6"/>
      <c r="J355" s="6"/>
      <c r="K355" s="6"/>
      <c r="L355" s="4"/>
      <c r="M355" s="4"/>
      <c r="N355" s="4"/>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3"/>
      <c r="BB355" s="3"/>
      <c r="BC355" s="3"/>
      <c r="BD355" s="1"/>
      <c r="BE355" s="9"/>
      <c r="BF355" s="9"/>
      <c r="BG355" s="9"/>
      <c r="BH355" s="9"/>
      <c r="BI355" s="9"/>
      <c r="BJ355" s="9"/>
      <c r="BK355" s="9"/>
      <c r="BL355" s="9"/>
      <c r="BM355" s="9"/>
      <c r="BN355" s="9"/>
      <c r="BO355" s="9"/>
      <c r="BP355" s="9"/>
      <c r="BQ355" s="9"/>
      <c r="BR355" s="9"/>
      <c r="BS355" s="9"/>
    </row>
    <row r="356" spans="1:71">
      <c r="A356" t="s">
        <v>841</v>
      </c>
      <c r="B356" s="3">
        <f>LOOKUP(B355,$A$274:$A$283,$B$274:$B$283)</f>
        <v>107.5</v>
      </c>
      <c r="C356" s="5" t="s">
        <v>59</v>
      </c>
      <c r="D356" s="5"/>
      <c r="E356" s="1"/>
      <c r="F356" s="3"/>
      <c r="G356" s="3"/>
      <c r="H356" s="6"/>
      <c r="I356" s="6"/>
      <c r="J356" s="6"/>
      <c r="K356" s="6"/>
      <c r="L356" s="4"/>
      <c r="M356" s="4"/>
      <c r="N356" s="4"/>
      <c r="O356" s="15"/>
      <c r="P356" s="15"/>
      <c r="Q356" s="15"/>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3"/>
      <c r="BB356" s="3"/>
      <c r="BC356" s="3"/>
      <c r="BD356" s="1"/>
      <c r="BE356" s="9"/>
      <c r="BF356" s="9"/>
      <c r="BG356" s="9"/>
      <c r="BH356" s="9"/>
      <c r="BI356" s="9"/>
      <c r="BJ356" s="9"/>
      <c r="BK356" s="9"/>
      <c r="BL356" s="9"/>
      <c r="BM356" s="9"/>
      <c r="BN356" s="9"/>
      <c r="BO356" s="9"/>
      <c r="BP356" s="9"/>
      <c r="BQ356" s="9"/>
      <c r="BR356" s="9"/>
      <c r="BS356" s="9"/>
    </row>
    <row r="357" spans="1:71">
      <c r="A357" t="s">
        <v>877</v>
      </c>
      <c r="B357" s="15">
        <f>B356*$B$15*$B$4*1000</f>
        <v>4841865.1063840613</v>
      </c>
      <c r="C357" s="5"/>
      <c r="D357" s="16"/>
      <c r="F357" s="3"/>
      <c r="G357" s="3"/>
      <c r="H357" s="6"/>
      <c r="I357" s="6"/>
      <c r="J357" s="6"/>
      <c r="K357" s="6"/>
      <c r="L357" s="4"/>
      <c r="M357" s="4"/>
      <c r="N357" s="4"/>
      <c r="O357" s="15"/>
      <c r="P357" s="15"/>
      <c r="Q357" s="15"/>
      <c r="R357" s="15"/>
      <c r="S357" s="15"/>
      <c r="T357" s="15"/>
      <c r="U357" s="15"/>
      <c r="V357" s="15"/>
      <c r="W357" s="15"/>
      <c r="X357" s="15"/>
      <c r="Y357" s="15"/>
      <c r="Z357" s="15"/>
      <c r="AA357" s="15"/>
      <c r="AB357" s="15"/>
      <c r="AC357" s="15"/>
      <c r="AD357" s="15"/>
      <c r="AE357" s="15"/>
      <c r="AF357" s="15"/>
      <c r="AG357" s="15"/>
      <c r="AH357" s="15"/>
      <c r="AI357" s="15"/>
      <c r="AJ357" s="15"/>
      <c r="AK357" s="15"/>
      <c r="AL357" s="15"/>
      <c r="AM357" s="15"/>
      <c r="AN357" s="15"/>
      <c r="AO357" s="15"/>
      <c r="AP357" s="15"/>
      <c r="AQ357" s="15"/>
      <c r="AR357" s="15"/>
      <c r="AS357" s="15"/>
      <c r="AT357" s="15"/>
      <c r="AU357" s="15"/>
      <c r="AV357" s="15"/>
      <c r="AW357" s="15"/>
      <c r="AX357" s="15"/>
      <c r="AY357" s="15"/>
      <c r="AZ357" s="15"/>
      <c r="BA357" s="3"/>
      <c r="BB357" s="3"/>
      <c r="BC357" s="3"/>
      <c r="BD357" s="1"/>
      <c r="BE357" s="9"/>
      <c r="BF357" s="9"/>
      <c r="BG357" s="9"/>
      <c r="BH357" s="9"/>
      <c r="BI357" s="9"/>
      <c r="BJ357" s="9"/>
      <c r="BK357" s="9"/>
      <c r="BL357" s="9"/>
      <c r="BM357" s="9"/>
      <c r="BN357" s="9"/>
      <c r="BO357" s="9"/>
      <c r="BP357" s="9"/>
      <c r="BQ357" s="9"/>
      <c r="BR357" s="9"/>
      <c r="BS357" s="9"/>
    </row>
    <row r="358" spans="1:71">
      <c r="A358" t="s">
        <v>946</v>
      </c>
      <c r="B358" s="3">
        <f>LOOKUP($B$118,$A$274:$A$283,$T$274:$T$283)</f>
        <v>23.999999999999996</v>
      </c>
      <c r="C358" s="5" t="s">
        <v>948</v>
      </c>
      <c r="D358" s="91"/>
      <c r="E358" s="18"/>
      <c r="F358" s="6"/>
      <c r="G358" s="3"/>
      <c r="H358" s="6"/>
      <c r="I358" s="6"/>
      <c r="J358" s="6"/>
      <c r="K358" s="6"/>
      <c r="L358" s="4"/>
      <c r="M358" s="4"/>
      <c r="N358" s="4"/>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3"/>
      <c r="BB358" s="3"/>
      <c r="BC358" s="3"/>
      <c r="BD358" s="1"/>
      <c r="BE358" s="9"/>
      <c r="BF358" s="9"/>
      <c r="BG358" s="9"/>
      <c r="BH358" s="9"/>
      <c r="BI358" s="9"/>
      <c r="BJ358" s="9"/>
      <c r="BK358" s="9"/>
      <c r="BL358" s="9"/>
      <c r="BM358" s="9"/>
      <c r="BN358" s="9"/>
      <c r="BO358" s="9"/>
      <c r="BP358" s="9"/>
      <c r="BQ358" s="9"/>
      <c r="BR358" s="9"/>
      <c r="BS358" s="9"/>
    </row>
    <row r="359" spans="1:71">
      <c r="A359" t="s">
        <v>952</v>
      </c>
      <c r="B359" s="6">
        <v>0.02</v>
      </c>
      <c r="C359" s="5" t="s">
        <v>953</v>
      </c>
      <c r="D359" s="91"/>
      <c r="E359" s="18"/>
      <c r="F359" s="6"/>
      <c r="G359" s="3"/>
      <c r="H359" s="6"/>
      <c r="I359" s="6"/>
      <c r="J359" s="6"/>
      <c r="K359" s="6"/>
      <c r="L359" s="4"/>
      <c r="M359" s="4"/>
      <c r="N359" s="4"/>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3"/>
      <c r="BB359" s="3"/>
      <c r="BC359" s="3"/>
      <c r="BD359" s="1"/>
      <c r="BE359" s="9"/>
      <c r="BF359" s="9"/>
      <c r="BG359" s="9"/>
      <c r="BH359" s="9"/>
      <c r="BI359" s="9"/>
      <c r="BJ359" s="9"/>
      <c r="BK359" s="9"/>
      <c r="BL359" s="9"/>
      <c r="BM359" s="9"/>
      <c r="BN359" s="9"/>
      <c r="BO359" s="9"/>
      <c r="BP359" s="9"/>
      <c r="BQ359" s="9"/>
      <c r="BR359" s="9"/>
      <c r="BS359" s="9"/>
    </row>
    <row r="360" spans="1:71">
      <c r="B360" s="6">
        <f>((B359/1000)/A47)*1000*$B$153</f>
        <v>5.5292742814891322E-3</v>
      </c>
      <c r="C360" s="5" t="str">
        <f>$B$128&amp;" USD/m3"</f>
        <v>2024 USD/m3</v>
      </c>
      <c r="D360" s="91"/>
      <c r="E360" s="18"/>
      <c r="F360" s="6"/>
      <c r="G360" s="3"/>
      <c r="H360" s="6"/>
      <c r="I360" s="6"/>
      <c r="J360" s="6"/>
      <c r="K360" s="6"/>
      <c r="L360" s="4"/>
      <c r="M360" s="4"/>
      <c r="N360" s="4"/>
      <c r="O360" s="15"/>
      <c r="P360" s="15"/>
      <c r="Q360" s="15"/>
      <c r="R360" s="15"/>
      <c r="S360" s="15"/>
      <c r="T360" s="15"/>
      <c r="U360" s="15"/>
      <c r="V360" s="15"/>
      <c r="W360" s="15"/>
      <c r="X360" s="15"/>
      <c r="Y360" s="15"/>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3"/>
      <c r="BB360" s="3"/>
      <c r="BC360" s="3"/>
      <c r="BD360" s="1"/>
      <c r="BE360" s="9"/>
      <c r="BF360" s="9"/>
      <c r="BG360" s="9"/>
      <c r="BH360" s="9"/>
      <c r="BI360" s="9"/>
      <c r="BJ360" s="9"/>
      <c r="BK360" s="9"/>
      <c r="BL360" s="9"/>
      <c r="BM360" s="9"/>
      <c r="BN360" s="9"/>
      <c r="BO360" s="9"/>
      <c r="BP360" s="9"/>
      <c r="BQ360" s="9"/>
      <c r="BR360" s="9"/>
      <c r="BS360" s="9"/>
    </row>
    <row r="361" spans="1:71">
      <c r="A361" t="s">
        <v>947</v>
      </c>
      <c r="B361" s="15">
        <f>B358*($B$4*1000)*B360</f>
        <v>39810.774826721747</v>
      </c>
      <c r="C361" s="5" t="str">
        <f>$B$128&amp;" USD"</f>
        <v>2024 USD</v>
      </c>
      <c r="D361" s="90"/>
      <c r="E361" s="18"/>
      <c r="F361" s="6"/>
      <c r="G361" s="3"/>
      <c r="H361" s="6"/>
      <c r="I361" s="6"/>
      <c r="J361" s="6"/>
      <c r="K361" s="6"/>
      <c r="L361" s="4"/>
      <c r="M361" s="4"/>
      <c r="N361" s="4"/>
      <c r="O361" s="15"/>
      <c r="P361" s="15"/>
      <c r="Q361" s="15"/>
      <c r="R361" s="15"/>
      <c r="S361" s="15"/>
      <c r="T361" s="15"/>
      <c r="U361" s="15"/>
      <c r="V361" s="15"/>
      <c r="W361" s="15"/>
      <c r="X361" s="15"/>
      <c r="Y361" s="15"/>
      <c r="Z361" s="15"/>
      <c r="AA361" s="15"/>
      <c r="AB361" s="15"/>
      <c r="AC361" s="15"/>
      <c r="AD361" s="15"/>
      <c r="AE361" s="15"/>
      <c r="AF361" s="15"/>
      <c r="AG361" s="15"/>
      <c r="AH361" s="15"/>
      <c r="AI361" s="15"/>
      <c r="AJ361" s="15"/>
      <c r="AK361" s="15"/>
      <c r="AL361" s="15"/>
      <c r="AM361" s="15"/>
      <c r="AN361" s="15"/>
      <c r="AO361" s="15"/>
      <c r="AP361" s="15"/>
      <c r="AQ361" s="15"/>
      <c r="AR361" s="15"/>
      <c r="AS361" s="15"/>
      <c r="AT361" s="15"/>
      <c r="AU361" s="15"/>
      <c r="AV361" s="15"/>
      <c r="AW361" s="15"/>
      <c r="AX361" s="15"/>
      <c r="AY361" s="15"/>
      <c r="AZ361" s="15"/>
      <c r="BA361" s="3"/>
      <c r="BB361" s="3"/>
      <c r="BC361" s="3"/>
      <c r="BD361" s="1"/>
      <c r="BE361" s="9"/>
      <c r="BF361" s="9"/>
      <c r="BG361" s="9"/>
      <c r="BH361" s="9"/>
      <c r="BI361" s="9"/>
      <c r="BJ361" s="9"/>
      <c r="BK361" s="9"/>
      <c r="BL361" s="9"/>
      <c r="BM361" s="9"/>
      <c r="BN361" s="9"/>
      <c r="BO361" s="9"/>
      <c r="BP361" s="9"/>
      <c r="BQ361" s="9"/>
      <c r="BR361" s="9"/>
      <c r="BS361" s="9"/>
    </row>
    <row r="362" spans="1:71">
      <c r="A362" t="s">
        <v>857</v>
      </c>
      <c r="B362" s="15">
        <f>SUM(B270,B312,B341,D352)</f>
        <v>16529705.046995105</v>
      </c>
      <c r="C362" s="5" t="str">
        <f>$B$128&amp;" USD"</f>
        <v>2024 USD</v>
      </c>
      <c r="D362" s="6"/>
      <c r="E362" s="18"/>
      <c r="F362" s="3"/>
      <c r="G362" s="3"/>
      <c r="H362" s="6"/>
      <c r="I362" s="6"/>
      <c r="J362" s="6"/>
      <c r="K362" s="6"/>
      <c r="L362" s="4"/>
      <c r="M362" s="4"/>
      <c r="N362" s="4"/>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3"/>
      <c r="BB362" s="3"/>
      <c r="BC362" s="3"/>
      <c r="BD362" s="1"/>
      <c r="BE362" s="9"/>
      <c r="BF362" s="9"/>
      <c r="BG362" s="9"/>
      <c r="BH362" s="9"/>
      <c r="BI362" s="9"/>
      <c r="BJ362" s="9"/>
      <c r="BK362" s="9"/>
      <c r="BL362" s="9"/>
      <c r="BM362" s="9"/>
      <c r="BN362" s="9"/>
      <c r="BO362" s="9"/>
      <c r="BP362" s="9"/>
      <c r="BQ362" s="9"/>
      <c r="BR362" s="9"/>
      <c r="BS362" s="9"/>
    </row>
    <row r="363" spans="1:71">
      <c r="C363" s="5"/>
      <c r="D363" s="6"/>
      <c r="F363" s="3"/>
      <c r="G363" s="3"/>
      <c r="H363" s="6"/>
      <c r="I363" s="6"/>
      <c r="J363" s="6"/>
      <c r="K363" s="6"/>
      <c r="L363" s="4"/>
      <c r="M363" s="4"/>
      <c r="N363" s="4"/>
      <c r="O363" s="15"/>
      <c r="P363" s="15"/>
      <c r="Q363" s="15"/>
      <c r="R363" s="15"/>
      <c r="S363" s="15"/>
      <c r="T363" s="15"/>
      <c r="U363" s="15"/>
      <c r="V363" s="15"/>
      <c r="W363" s="15"/>
      <c r="X363" s="15"/>
      <c r="Y363" s="15"/>
      <c r="Z363" s="15"/>
      <c r="AA363" s="15"/>
      <c r="AB363" s="15"/>
      <c r="AC363" s="15"/>
      <c r="AD363" s="15"/>
      <c r="AE363" s="15"/>
      <c r="AF363" s="15"/>
      <c r="AG363" s="15"/>
      <c r="AH363" s="15"/>
      <c r="AI363" s="15"/>
      <c r="AJ363" s="15"/>
      <c r="AK363" s="15"/>
      <c r="AL363" s="15"/>
      <c r="AM363" s="15"/>
      <c r="AN363" s="15"/>
      <c r="AO363" s="15"/>
      <c r="AP363" s="15"/>
      <c r="AQ363" s="15"/>
      <c r="AR363" s="15"/>
      <c r="AS363" s="15"/>
      <c r="AT363" s="15"/>
      <c r="AU363" s="15"/>
      <c r="AV363" s="15"/>
      <c r="AW363" s="15"/>
      <c r="AX363" s="15"/>
      <c r="AY363" s="15"/>
      <c r="AZ363" s="15"/>
      <c r="BA363" s="3"/>
      <c r="BB363" s="3"/>
      <c r="BC363" s="3"/>
      <c r="BD363" s="1"/>
      <c r="BE363" s="9"/>
      <c r="BF363" s="9"/>
      <c r="BG363" s="9"/>
      <c r="BH363" s="9"/>
      <c r="BI363" s="9"/>
      <c r="BJ363" s="9"/>
      <c r="BK363" s="9"/>
      <c r="BL363" s="9"/>
      <c r="BM363" s="9"/>
      <c r="BN363" s="9"/>
      <c r="BO363" s="9"/>
      <c r="BP363" s="9"/>
      <c r="BQ363" s="9"/>
      <c r="BR363" s="9"/>
      <c r="BS363" s="9"/>
    </row>
    <row r="364" spans="1:71" s="37" customFormat="1">
      <c r="A364" s="37" t="s">
        <v>858</v>
      </c>
      <c r="C364" s="45"/>
      <c r="D364" s="72"/>
      <c r="F364" s="47"/>
      <c r="G364" s="47"/>
      <c r="H364" s="73"/>
      <c r="I364" s="73"/>
      <c r="J364" s="73"/>
      <c r="K364" s="73"/>
      <c r="L364" s="48"/>
      <c r="M364" s="48"/>
      <c r="N364" s="48"/>
      <c r="O364" s="59"/>
      <c r="P364" s="59"/>
      <c r="Q364" s="59"/>
      <c r="R364" s="59"/>
      <c r="S364" s="59"/>
      <c r="T364" s="59"/>
      <c r="U364" s="59"/>
      <c r="V364" s="59"/>
      <c r="W364" s="59"/>
      <c r="X364" s="59"/>
      <c r="Y364" s="59"/>
      <c r="Z364" s="59"/>
      <c r="AA364" s="59"/>
      <c r="AB364" s="59"/>
      <c r="AC364" s="59"/>
      <c r="AD364" s="59"/>
      <c r="AE364" s="59"/>
      <c r="AF364" s="59"/>
      <c r="AG364" s="59"/>
      <c r="AH364" s="59"/>
      <c r="AI364" s="59"/>
      <c r="AJ364" s="59"/>
      <c r="AK364" s="59"/>
      <c r="AL364" s="59"/>
      <c r="AM364" s="59"/>
      <c r="AN364" s="59"/>
      <c r="AO364" s="59"/>
      <c r="AP364" s="59"/>
      <c r="AQ364" s="59"/>
      <c r="AR364" s="59"/>
      <c r="AS364" s="59"/>
      <c r="AT364" s="59"/>
      <c r="AU364" s="59"/>
      <c r="AV364" s="59"/>
      <c r="AW364" s="59"/>
      <c r="AX364" s="59"/>
      <c r="AY364" s="59"/>
      <c r="AZ364" s="59"/>
      <c r="BA364" s="47"/>
      <c r="BB364" s="47"/>
      <c r="BC364" s="47"/>
      <c r="BD364" s="74"/>
      <c r="BE364" s="75"/>
      <c r="BF364" s="75"/>
      <c r="BG364" s="75"/>
      <c r="BH364" s="75"/>
      <c r="BI364" s="75"/>
      <c r="BJ364" s="75"/>
      <c r="BK364" s="75"/>
      <c r="BL364" s="75"/>
      <c r="BM364" s="75"/>
      <c r="BN364" s="75"/>
      <c r="BO364" s="75"/>
      <c r="BP364" s="75"/>
      <c r="BQ364" s="75"/>
      <c r="BR364" s="75"/>
      <c r="BS364" s="75"/>
    </row>
    <row r="365" spans="1:71">
      <c r="A365" t="s">
        <v>861</v>
      </c>
      <c r="B365">
        <v>1</v>
      </c>
      <c r="C365">
        <v>2</v>
      </c>
      <c r="D365" s="16"/>
      <c r="F365" s="3"/>
      <c r="G365" s="3"/>
      <c r="H365" s="6"/>
      <c r="I365" s="6"/>
      <c r="J365" s="6"/>
      <c r="K365" s="6"/>
      <c r="L365" s="4"/>
      <c r="M365" s="4"/>
      <c r="N365" s="4"/>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3"/>
      <c r="BB365" s="3"/>
      <c r="BC365" s="3"/>
      <c r="BD365" s="1"/>
      <c r="BE365" s="9"/>
      <c r="BF365" s="9"/>
      <c r="BG365" s="9"/>
      <c r="BH365" s="9"/>
      <c r="BI365" s="9"/>
      <c r="BJ365" s="9"/>
      <c r="BK365" s="9"/>
      <c r="BL365" s="9"/>
      <c r="BM365" s="9"/>
      <c r="BN365" s="9"/>
      <c r="BO365" s="9"/>
      <c r="BP365" s="9"/>
      <c r="BQ365" s="9"/>
      <c r="BR365" s="9"/>
      <c r="BS365" s="9"/>
    </row>
    <row r="366" spans="1:71">
      <c r="A366" t="s">
        <v>859</v>
      </c>
      <c r="B366" s="5">
        <v>0</v>
      </c>
      <c r="C366" s="5">
        <v>1.2889618352521</v>
      </c>
      <c r="D366" s="16"/>
      <c r="F366" s="3"/>
      <c r="G366" s="3"/>
      <c r="H366" s="6"/>
      <c r="I366" s="6"/>
      <c r="J366" s="6"/>
      <c r="K366" s="6"/>
      <c r="L366" s="4"/>
      <c r="M366" s="4"/>
      <c r="N366" s="4"/>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3"/>
      <c r="BB366" s="3"/>
      <c r="BC366" s="3"/>
      <c r="BD366" s="1"/>
      <c r="BE366" s="9"/>
      <c r="BF366" s="9"/>
      <c r="BG366" s="9"/>
      <c r="BH366" s="9"/>
      <c r="BI366" s="9"/>
      <c r="BJ366" s="9"/>
      <c r="BK366" s="9"/>
      <c r="BL366" s="9"/>
      <c r="BM366" s="9"/>
      <c r="BN366" s="9"/>
      <c r="BO366" s="9"/>
      <c r="BP366" s="9"/>
      <c r="BQ366" s="9"/>
      <c r="BR366" s="9"/>
      <c r="BS366" s="9"/>
    </row>
    <row r="367" spans="1:71">
      <c r="A367" t="s">
        <v>860</v>
      </c>
      <c r="B367" s="5">
        <v>1.2889618352521</v>
      </c>
      <c r="C367" s="5">
        <v>5.00235592321381</v>
      </c>
      <c r="D367" s="16"/>
      <c r="F367" s="3"/>
      <c r="G367" s="3"/>
      <c r="H367" s="6"/>
      <c r="I367" s="6"/>
      <c r="J367" s="6"/>
      <c r="K367" s="6"/>
      <c r="L367" s="4"/>
      <c r="M367" s="4"/>
      <c r="N367" s="4"/>
      <c r="O367" s="15"/>
      <c r="P367" s="15"/>
      <c r="Q367" s="15"/>
      <c r="R367" s="15"/>
      <c r="S367" s="15"/>
      <c r="T367" s="15"/>
      <c r="U367" s="15"/>
      <c r="V367" s="15"/>
      <c r="W367" s="15"/>
      <c r="X367" s="15"/>
      <c r="Y367" s="15"/>
      <c r="Z367" s="15"/>
      <c r="AA367" s="15"/>
      <c r="AB367" s="15"/>
      <c r="AC367" s="15"/>
      <c r="AD367" s="15"/>
      <c r="AE367" s="15"/>
      <c r="AF367" s="15"/>
      <c r="AG367" s="15"/>
      <c r="AH367" s="15"/>
      <c r="AI367" s="15"/>
      <c r="AJ367" s="15"/>
      <c r="AK367" s="15"/>
      <c r="AL367" s="15"/>
      <c r="AM367" s="15"/>
      <c r="AN367" s="15"/>
      <c r="AO367" s="15"/>
      <c r="AP367" s="15"/>
      <c r="AQ367" s="15"/>
      <c r="AR367" s="15"/>
      <c r="AS367" s="15"/>
      <c r="AT367" s="15"/>
      <c r="AU367" s="15"/>
      <c r="AV367" s="15"/>
      <c r="AW367" s="15"/>
      <c r="AX367" s="15"/>
      <c r="AY367" s="15"/>
      <c r="AZ367" s="15"/>
      <c r="BA367" s="3"/>
      <c r="BB367" s="3"/>
      <c r="BC367" s="3"/>
      <c r="BD367" s="1"/>
      <c r="BE367" s="9"/>
      <c r="BF367" s="9"/>
      <c r="BG367" s="9"/>
      <c r="BH367" s="9"/>
      <c r="BI367" s="9"/>
      <c r="BJ367" s="9"/>
      <c r="BK367" s="9"/>
      <c r="BL367" s="9"/>
      <c r="BM367" s="9"/>
      <c r="BN367" s="9"/>
      <c r="BO367" s="9"/>
      <c r="BP367" s="9"/>
      <c r="BQ367" s="9"/>
      <c r="BR367" s="9"/>
      <c r="BS367" s="9"/>
    </row>
    <row r="368" spans="1:71">
      <c r="A368" s="16" t="s">
        <v>294</v>
      </c>
      <c r="B368" s="16" t="s">
        <v>292</v>
      </c>
      <c r="C368" s="16" t="s">
        <v>293</v>
      </c>
      <c r="D368" s="16"/>
      <c r="F368" s="3"/>
      <c r="G368" s="3"/>
      <c r="H368" s="6"/>
      <c r="I368" s="6"/>
      <c r="J368" s="6"/>
      <c r="K368" s="6"/>
      <c r="L368" s="4"/>
      <c r="M368" s="4"/>
      <c r="N368" s="4"/>
      <c r="O368" s="15"/>
      <c r="P368" s="15"/>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3"/>
      <c r="BB368" s="3"/>
      <c r="BC368" s="3"/>
      <c r="BD368" s="1"/>
      <c r="BE368" s="9"/>
      <c r="BF368" s="9"/>
      <c r="BG368" s="9"/>
      <c r="BH368" s="9"/>
      <c r="BI368" s="9"/>
      <c r="BJ368" s="9"/>
      <c r="BK368" s="9"/>
      <c r="BL368" s="9"/>
      <c r="BM368" s="9"/>
      <c r="BN368" s="9"/>
      <c r="BO368" s="9"/>
      <c r="BP368" s="9"/>
      <c r="BQ368" s="9"/>
      <c r="BR368" s="9"/>
      <c r="BS368" s="9"/>
    </row>
    <row r="369" spans="1:71">
      <c r="A369" t="s">
        <v>41</v>
      </c>
      <c r="B369" t="s">
        <v>37</v>
      </c>
      <c r="C369" s="3">
        <v>839851.3150892203</v>
      </c>
      <c r="D369" s="16"/>
      <c r="F369" s="3"/>
      <c r="G369" s="3"/>
      <c r="H369" s="6"/>
      <c r="I369" s="6"/>
      <c r="J369" s="6"/>
      <c r="K369" s="6"/>
      <c r="L369" s="4"/>
      <c r="M369" s="4"/>
      <c r="N369" s="4"/>
      <c r="O369" s="15"/>
      <c r="P369" s="15"/>
      <c r="Q369" s="15"/>
      <c r="R369" s="15"/>
      <c r="S369" s="15"/>
      <c r="T369" s="15"/>
      <c r="U369" s="15"/>
      <c r="V369" s="15"/>
      <c r="W369" s="15"/>
      <c r="X369" s="15"/>
      <c r="Y369" s="15"/>
      <c r="Z369" s="15"/>
      <c r="AA369" s="15"/>
      <c r="AB369" s="15"/>
      <c r="AC369" s="15"/>
      <c r="AD369" s="15"/>
      <c r="AE369" s="15"/>
      <c r="AF369" s="15"/>
      <c r="AG369" s="15"/>
      <c r="AH369" s="15"/>
      <c r="AI369" s="15"/>
      <c r="AJ369" s="15"/>
      <c r="AK369" s="15"/>
      <c r="AL369" s="15"/>
      <c r="AM369" s="15"/>
      <c r="AN369" s="15"/>
      <c r="AO369" s="15"/>
      <c r="AP369" s="15"/>
      <c r="AQ369" s="15"/>
      <c r="AR369" s="15"/>
      <c r="AS369" s="15"/>
      <c r="AT369" s="15"/>
      <c r="AU369" s="15"/>
      <c r="AV369" s="15"/>
      <c r="AW369" s="15"/>
      <c r="AX369" s="15"/>
      <c r="AY369" s="15"/>
      <c r="AZ369" s="15"/>
      <c r="BA369" s="3"/>
      <c r="BB369" s="3"/>
      <c r="BC369" s="3"/>
      <c r="BD369" s="1"/>
      <c r="BE369" s="9"/>
      <c r="BF369" s="9"/>
      <c r="BG369" s="9"/>
      <c r="BH369" s="9"/>
      <c r="BI369" s="9"/>
      <c r="BJ369" s="9"/>
      <c r="BK369" s="9"/>
      <c r="BL369" s="9"/>
      <c r="BM369" s="9"/>
      <c r="BN369" s="9"/>
      <c r="BO369" s="9"/>
      <c r="BP369" s="9"/>
      <c r="BQ369" s="9"/>
      <c r="BR369" s="9"/>
      <c r="BS369" s="9"/>
    </row>
    <row r="370" spans="1:71">
      <c r="A370" s="3" t="s">
        <v>42</v>
      </c>
      <c r="B370" s="3" t="s">
        <v>37</v>
      </c>
      <c r="C370" s="3">
        <v>3821096.1690433603</v>
      </c>
      <c r="L370" s="4"/>
      <c r="M370" s="4"/>
      <c r="N370" s="4"/>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3"/>
      <c r="BB370" s="3"/>
      <c r="BC370" s="3"/>
      <c r="BD370" s="1"/>
      <c r="BE370" s="9"/>
      <c r="BF370" s="9"/>
      <c r="BG370" s="9"/>
      <c r="BH370" s="9"/>
      <c r="BI370" s="9"/>
      <c r="BJ370" s="9"/>
      <c r="BK370" s="9"/>
      <c r="BL370" s="9"/>
      <c r="BM370" s="9"/>
      <c r="BN370" s="9"/>
      <c r="BO370" s="9"/>
      <c r="BP370" s="9"/>
      <c r="BQ370" s="9"/>
      <c r="BR370" s="9"/>
      <c r="BS370" s="9"/>
    </row>
    <row r="371" spans="1:71">
      <c r="A371" s="3" t="s">
        <v>292</v>
      </c>
      <c r="B371" s="5">
        <v>0.25</v>
      </c>
      <c r="C371" s="3" t="s">
        <v>37</v>
      </c>
      <c r="L371" s="4"/>
      <c r="M371" s="4"/>
      <c r="N371" s="4"/>
      <c r="O371" s="15"/>
      <c r="P371" s="15"/>
      <c r="Q371" s="15"/>
      <c r="R371" s="15"/>
      <c r="S371" s="15"/>
      <c r="T371" s="15"/>
      <c r="U371" s="15"/>
      <c r="V371" s="15"/>
      <c r="W371" s="15"/>
      <c r="X371" s="15"/>
      <c r="Y371" s="15"/>
      <c r="Z371" s="15"/>
      <c r="AA371" s="15"/>
      <c r="AB371" s="15"/>
      <c r="AC371" s="15"/>
      <c r="AD371" s="15"/>
      <c r="AE371" s="15"/>
      <c r="AF371" s="15"/>
      <c r="AG371" s="15"/>
      <c r="AH371" s="15"/>
      <c r="AI371" s="15"/>
      <c r="AJ371" s="15"/>
      <c r="AK371" s="15"/>
      <c r="AL371" s="15"/>
      <c r="AM371" s="15"/>
      <c r="AN371" s="15"/>
      <c r="AO371" s="15"/>
      <c r="AP371" s="15"/>
      <c r="AQ371" s="15"/>
      <c r="AR371" s="15"/>
      <c r="AS371" s="15"/>
      <c r="AT371" s="15"/>
      <c r="AU371" s="15"/>
      <c r="AV371" s="15"/>
      <c r="AW371" s="15"/>
      <c r="AX371" s="15"/>
      <c r="AY371" s="15"/>
      <c r="AZ371" s="15"/>
      <c r="BA371" s="3"/>
      <c r="BB371" s="3"/>
      <c r="BC371" s="3"/>
      <c r="BD371" s="1"/>
      <c r="BE371" s="9"/>
      <c r="BF371" s="9"/>
      <c r="BG371" s="9"/>
      <c r="BH371" s="9"/>
      <c r="BI371" s="9"/>
      <c r="BJ371" s="9"/>
      <c r="BK371" s="9"/>
      <c r="BL371" s="9"/>
      <c r="BM371" s="9"/>
      <c r="BN371" s="9"/>
      <c r="BO371" s="9"/>
      <c r="BP371" s="9"/>
      <c r="BQ371" s="9"/>
      <c r="BR371" s="9"/>
      <c r="BS371" s="9"/>
    </row>
    <row r="372" spans="1:71">
      <c r="A372" s="6" t="s">
        <v>295</v>
      </c>
      <c r="B372" s="5">
        <v>0.99276791981645496</v>
      </c>
      <c r="C372" s="6" t="s">
        <v>37</v>
      </c>
      <c r="L372" s="4"/>
      <c r="M372" s="4"/>
      <c r="N372" s="4"/>
      <c r="O372" s="15"/>
      <c r="P372" s="15"/>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3"/>
      <c r="BB372" s="3"/>
      <c r="BC372" s="3"/>
      <c r="BD372" s="1"/>
      <c r="BE372" s="9"/>
      <c r="BF372" s="9"/>
      <c r="BG372" s="9"/>
      <c r="BH372" s="9"/>
      <c r="BI372" s="9"/>
      <c r="BJ372" s="9"/>
      <c r="BK372" s="9"/>
      <c r="BL372" s="9"/>
      <c r="BM372" s="9"/>
      <c r="BN372" s="9"/>
      <c r="BO372" s="9"/>
      <c r="BP372" s="9"/>
      <c r="BQ372" s="9"/>
      <c r="BR372" s="9"/>
      <c r="BS372" s="9"/>
    </row>
    <row r="373" spans="1:71">
      <c r="A373" s="6" t="s">
        <v>296</v>
      </c>
      <c r="B373" s="15">
        <v>4561535.0254525496</v>
      </c>
      <c r="C373" s="6" t="s">
        <v>37</v>
      </c>
      <c r="D373" s="16"/>
      <c r="F373" s="3"/>
      <c r="G373" s="3"/>
      <c r="H373" s="6"/>
      <c r="I373" s="6"/>
      <c r="J373" s="6"/>
      <c r="K373" s="6"/>
      <c r="L373" s="4"/>
      <c r="M373" s="4"/>
      <c r="N373" s="4"/>
      <c r="O373" s="15"/>
      <c r="P373" s="15"/>
      <c r="Q373" s="15"/>
      <c r="R373" s="15"/>
      <c r="S373" s="15"/>
      <c r="T373" s="15"/>
      <c r="U373" s="15"/>
      <c r="V373" s="15"/>
      <c r="W373" s="15"/>
      <c r="X373" s="15"/>
      <c r="Y373" s="15"/>
      <c r="Z373" s="15"/>
      <c r="AA373" s="15"/>
      <c r="AB373" s="15"/>
      <c r="AC373" s="15"/>
      <c r="AD373" s="15"/>
      <c r="AE373" s="15"/>
      <c r="AF373" s="15"/>
      <c r="AG373" s="15"/>
      <c r="AH373" s="15"/>
      <c r="AI373" s="15"/>
      <c r="AJ373" s="15"/>
      <c r="AK373" s="15"/>
      <c r="AL373" s="15"/>
      <c r="AM373" s="15"/>
      <c r="AN373" s="15"/>
      <c r="AO373" s="15"/>
      <c r="AP373" s="15"/>
      <c r="AQ373" s="15"/>
      <c r="AR373" s="15"/>
      <c r="AS373" s="15"/>
      <c r="AT373" s="15"/>
      <c r="AU373" s="15"/>
      <c r="AV373" s="15"/>
      <c r="AW373" s="15"/>
      <c r="AX373" s="15"/>
      <c r="AY373" s="15"/>
      <c r="AZ373" s="15"/>
      <c r="BA373" s="3"/>
      <c r="BB373" s="3"/>
      <c r="BC373" s="3"/>
      <c r="BD373" s="1"/>
      <c r="BE373" s="9"/>
      <c r="BF373" s="9"/>
      <c r="BG373" s="9"/>
      <c r="BH373" s="9"/>
      <c r="BI373" s="9"/>
      <c r="BJ373" s="9"/>
      <c r="BK373" s="9"/>
      <c r="BL373" s="9"/>
      <c r="BM373" s="9"/>
      <c r="BN373" s="9"/>
      <c r="BO373" s="9"/>
      <c r="BP373" s="9"/>
      <c r="BQ373" s="9"/>
      <c r="BR373" s="9"/>
      <c r="BS373" s="9"/>
    </row>
    <row r="374" spans="1:71">
      <c r="D374" s="16"/>
      <c r="F374" s="3"/>
      <c r="G374" s="3"/>
      <c r="H374" s="6"/>
      <c r="I374" s="6"/>
      <c r="J374" s="6"/>
      <c r="K374" s="6"/>
      <c r="L374" s="4"/>
      <c r="M374" s="4"/>
      <c r="N374" s="4"/>
      <c r="O374" s="15"/>
      <c r="P374" s="15"/>
      <c r="Q374" s="15"/>
      <c r="R374" s="15"/>
      <c r="S374" s="15"/>
      <c r="T374" s="15"/>
      <c r="U374" s="15"/>
      <c r="V374" s="15"/>
      <c r="W374" s="15"/>
      <c r="X374" s="15"/>
      <c r="Y374" s="15"/>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3"/>
      <c r="BB374" s="3"/>
      <c r="BC374" s="3"/>
      <c r="BD374" s="1"/>
      <c r="BE374" s="9"/>
      <c r="BF374" s="9"/>
      <c r="BG374" s="9"/>
      <c r="BH374" s="9"/>
      <c r="BI374" s="9"/>
      <c r="BJ374" s="9"/>
      <c r="BK374" s="9"/>
      <c r="BL374" s="9"/>
      <c r="BM374" s="9"/>
      <c r="BN374" s="9"/>
      <c r="BO374" s="9"/>
      <c r="BP374" s="9"/>
      <c r="BQ374" s="9"/>
      <c r="BR374" s="9"/>
      <c r="BS374" s="9"/>
    </row>
    <row r="375" spans="1:71">
      <c r="A375" t="s">
        <v>297</v>
      </c>
      <c r="B375">
        <f>B4/1000</f>
        <v>0.3</v>
      </c>
      <c r="C375" s="5" t="s">
        <v>94</v>
      </c>
      <c r="D375" s="16"/>
      <c r="F375" s="3"/>
      <c r="G375" s="3"/>
      <c r="H375" s="6"/>
      <c r="I375" s="6"/>
      <c r="J375" s="6"/>
      <c r="K375" s="6"/>
      <c r="L375" s="4"/>
      <c r="M375" s="4"/>
      <c r="N375" s="4"/>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3"/>
      <c r="BB375" s="3"/>
      <c r="BC375" s="3"/>
      <c r="BD375" s="1"/>
      <c r="BE375" s="9"/>
      <c r="BF375" s="9"/>
      <c r="BG375" s="9"/>
      <c r="BH375" s="9"/>
      <c r="BI375" s="9"/>
      <c r="BJ375" s="9"/>
      <c r="BK375" s="9"/>
      <c r="BL375" s="9"/>
      <c r="BM375" s="9"/>
      <c r="BN375" s="9"/>
      <c r="BO375" s="9"/>
      <c r="BP375" s="9"/>
      <c r="BQ375" s="9"/>
      <c r="BR375" s="9"/>
      <c r="BS375" s="9"/>
    </row>
    <row r="376" spans="1:71">
      <c r="A376" t="s">
        <v>298</v>
      </c>
      <c r="B376" s="84">
        <f>IF(B375&lt;=B367,B373*((B375/B372)^B371),(C369*B375)+C370)</f>
        <v>3382045.0935988706</v>
      </c>
      <c r="C376" s="5" t="s">
        <v>299</v>
      </c>
      <c r="D376" s="16"/>
      <c r="F376" s="3"/>
      <c r="G376" s="3"/>
      <c r="H376" s="6"/>
      <c r="I376" s="6"/>
      <c r="J376" s="6"/>
      <c r="K376" s="6"/>
      <c r="L376" s="4"/>
      <c r="M376" s="4"/>
      <c r="N376" s="4"/>
      <c r="O376" s="15"/>
      <c r="P376" s="15"/>
      <c r="Q376" s="15"/>
      <c r="R376" s="15"/>
      <c r="S376" s="15"/>
      <c r="T376" s="15"/>
      <c r="U376" s="15"/>
      <c r="V376" s="15"/>
      <c r="W376" s="15"/>
      <c r="X376" s="15"/>
      <c r="Y376" s="15"/>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3"/>
      <c r="BB376" s="3"/>
      <c r="BC376" s="3"/>
      <c r="BD376" s="1"/>
      <c r="BE376" s="9"/>
      <c r="BF376" s="9"/>
      <c r="BG376" s="9"/>
      <c r="BH376" s="9"/>
      <c r="BI376" s="9"/>
      <c r="BJ376" s="9"/>
      <c r="BK376" s="9"/>
      <c r="BL376" s="9"/>
      <c r="BM376" s="9"/>
      <c r="BN376" s="9"/>
      <c r="BO376" s="9"/>
      <c r="BP376" s="9"/>
      <c r="BQ376" s="9"/>
      <c r="BR376" s="9"/>
      <c r="BS376" s="9"/>
    </row>
    <row r="377" spans="1:71">
      <c r="B377" s="84">
        <f>(B376/$C$148)*$B$148</f>
        <v>4659928.6785793267</v>
      </c>
      <c r="C377" s="5" t="str">
        <f>$B$128&amp;" USD"</f>
        <v>2024 USD</v>
      </c>
      <c r="D377" s="16"/>
      <c r="F377" s="3"/>
      <c r="G377" s="3"/>
      <c r="H377" s="6"/>
      <c r="I377" s="6"/>
      <c r="J377" s="6"/>
      <c r="K377" s="6"/>
      <c r="L377" s="4"/>
      <c r="M377" s="4"/>
      <c r="N377" s="4"/>
      <c r="O377" s="15"/>
      <c r="P377" s="15"/>
      <c r="Q377" s="15"/>
      <c r="R377" s="15"/>
      <c r="S377" s="15"/>
      <c r="T377" s="15"/>
      <c r="U377" s="15"/>
      <c r="V377" s="15"/>
      <c r="W377" s="15"/>
      <c r="X377" s="15"/>
      <c r="Y377" s="15"/>
      <c r="Z377" s="15"/>
      <c r="AA377" s="15"/>
      <c r="AB377" s="15"/>
      <c r="AC377" s="15"/>
      <c r="AD377" s="15"/>
      <c r="AE377" s="15"/>
      <c r="AF377" s="15"/>
      <c r="AG377" s="15"/>
      <c r="AH377" s="15"/>
      <c r="AI377" s="15"/>
      <c r="AJ377" s="15"/>
      <c r="AK377" s="15"/>
      <c r="AL377" s="15"/>
      <c r="AM377" s="15"/>
      <c r="AN377" s="15"/>
      <c r="AO377" s="15"/>
      <c r="AP377" s="15"/>
      <c r="AQ377" s="15"/>
      <c r="AR377" s="15"/>
      <c r="AS377" s="15"/>
      <c r="AT377" s="15"/>
      <c r="AU377" s="15"/>
      <c r="AV377" s="15"/>
      <c r="AW377" s="15"/>
      <c r="AX377" s="15"/>
      <c r="AY377" s="15"/>
      <c r="AZ377" s="15"/>
      <c r="BA377" s="3"/>
      <c r="BB377" s="3"/>
      <c r="BC377" s="3"/>
      <c r="BD377" s="1"/>
      <c r="BE377" s="9"/>
      <c r="BF377" s="9"/>
      <c r="BG377" s="9"/>
      <c r="BH377" s="9"/>
      <c r="BI377" s="9"/>
      <c r="BJ377" s="9"/>
      <c r="BK377" s="9"/>
      <c r="BL377" s="9"/>
      <c r="BM377" s="9"/>
      <c r="BN377" s="9"/>
      <c r="BO377" s="9"/>
      <c r="BP377" s="9"/>
      <c r="BQ377" s="9"/>
      <c r="BR377" s="9"/>
      <c r="BS377" s="9"/>
    </row>
    <row r="378" spans="1:71">
      <c r="D378" s="16"/>
      <c r="F378" s="3"/>
      <c r="G378" s="3"/>
      <c r="H378" s="6"/>
      <c r="I378" s="6"/>
      <c r="J378" s="6"/>
      <c r="K378" s="6"/>
      <c r="L378" s="4"/>
      <c r="M378" s="4"/>
      <c r="N378" s="4"/>
      <c r="O378" s="15"/>
      <c r="P378" s="15"/>
      <c r="Q378" s="15"/>
      <c r="R378" s="15"/>
      <c r="S378" s="15"/>
      <c r="T378" s="15"/>
      <c r="U378" s="15"/>
      <c r="V378" s="15"/>
      <c r="W378" s="15"/>
      <c r="X378" s="15"/>
      <c r="Y378" s="15"/>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3"/>
      <c r="BB378" s="3"/>
      <c r="BC378" s="3"/>
      <c r="BD378" s="1"/>
      <c r="BE378" s="9"/>
      <c r="BF378" s="9"/>
      <c r="BG378" s="9"/>
      <c r="BH378" s="9"/>
      <c r="BI378" s="9"/>
      <c r="BJ378" s="9"/>
      <c r="BK378" s="9"/>
      <c r="BL378" s="9"/>
      <c r="BM378" s="9"/>
      <c r="BN378" s="9"/>
      <c r="BO378" s="9"/>
      <c r="BP378" s="9"/>
      <c r="BQ378" s="9"/>
      <c r="BR378" s="9"/>
      <c r="BS378" s="9"/>
    </row>
    <row r="379" spans="1:71">
      <c r="A379" t="s">
        <v>1119</v>
      </c>
      <c r="D379" s="16"/>
      <c r="F379" s="3"/>
      <c r="G379" s="3"/>
      <c r="H379" s="6"/>
      <c r="I379" s="6"/>
      <c r="J379" s="6"/>
      <c r="K379" s="6"/>
      <c r="L379" s="4"/>
      <c r="M379" s="4"/>
      <c r="N379" s="4"/>
      <c r="O379" s="15"/>
      <c r="P379" s="15"/>
      <c r="Q379" s="15"/>
      <c r="R379" s="15"/>
      <c r="S379" s="15"/>
      <c r="T379" s="15"/>
      <c r="U379" s="15"/>
      <c r="V379" s="15"/>
      <c r="W379" s="15"/>
      <c r="X379" s="15"/>
      <c r="Y379" s="15"/>
      <c r="Z379" s="15"/>
      <c r="AA379" s="15"/>
      <c r="AB379" s="15"/>
      <c r="AC379" s="15"/>
      <c r="AD379" s="15"/>
      <c r="AE379" s="15"/>
      <c r="AF379" s="15"/>
      <c r="AG379" s="15"/>
      <c r="AH379" s="15"/>
      <c r="AI379" s="15"/>
      <c r="AJ379" s="15"/>
      <c r="AK379" s="15"/>
      <c r="AL379" s="15"/>
      <c r="AM379" s="15"/>
      <c r="AN379" s="15"/>
      <c r="AO379" s="15"/>
      <c r="AP379" s="15"/>
      <c r="AQ379" s="15"/>
      <c r="AR379" s="15"/>
      <c r="AS379" s="15"/>
      <c r="AT379" s="15"/>
      <c r="AU379" s="15"/>
      <c r="AV379" s="15"/>
      <c r="AW379" s="15"/>
      <c r="AX379" s="15"/>
      <c r="AY379" s="15"/>
      <c r="AZ379" s="15"/>
      <c r="BA379" s="3"/>
      <c r="BB379" s="3"/>
      <c r="BC379" s="3"/>
      <c r="BD379" s="1"/>
      <c r="BE379" s="9"/>
      <c r="BF379" s="9"/>
      <c r="BG379" s="9"/>
      <c r="BH379" s="9"/>
      <c r="BI379" s="9"/>
      <c r="BJ379" s="9"/>
      <c r="BK379" s="9"/>
      <c r="BL379" s="9"/>
      <c r="BM379" s="9"/>
      <c r="BN379" s="9"/>
      <c r="BO379" s="9"/>
      <c r="BP379" s="9"/>
      <c r="BQ379" s="9"/>
      <c r="BR379" s="9"/>
      <c r="BS379" s="9"/>
    </row>
    <row r="380" spans="1:71">
      <c r="A380" t="s">
        <v>1121</v>
      </c>
      <c r="B380" s="16">
        <v>0.75</v>
      </c>
      <c r="D380" s="16"/>
      <c r="F380" s="3"/>
      <c r="G380" s="3"/>
      <c r="H380" s="6"/>
      <c r="I380" s="6"/>
      <c r="J380" s="6"/>
      <c r="K380" s="6"/>
      <c r="L380" s="4"/>
      <c r="M380" s="4"/>
      <c r="N380" s="4"/>
      <c r="O380" s="15"/>
      <c r="P380" s="15"/>
      <c r="Q380" s="15"/>
      <c r="R380" s="15"/>
      <c r="S380" s="15"/>
      <c r="T380" s="15"/>
      <c r="U380" s="15"/>
      <c r="V380" s="15"/>
      <c r="W380" s="15"/>
      <c r="X380" s="15"/>
      <c r="Y380" s="15"/>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3"/>
      <c r="BB380" s="3"/>
      <c r="BC380" s="3"/>
      <c r="BD380" s="1"/>
      <c r="BE380" s="9"/>
      <c r="BF380" s="9"/>
      <c r="BG380" s="9"/>
      <c r="BH380" s="9"/>
      <c r="BI380" s="9"/>
      <c r="BJ380" s="9"/>
      <c r="BK380" s="9"/>
      <c r="BL380" s="9"/>
      <c r="BM380" s="9"/>
      <c r="BN380" s="9"/>
      <c r="BO380" s="9"/>
      <c r="BP380" s="9"/>
      <c r="BQ380" s="9"/>
      <c r="BR380" s="9"/>
      <c r="BS380" s="9"/>
    </row>
    <row r="381" spans="1:71">
      <c r="A381" t="s">
        <v>1122</v>
      </c>
      <c r="B381" t="s">
        <v>1123</v>
      </c>
      <c r="C381" t="s">
        <v>191</v>
      </c>
      <c r="D381" s="16" t="s">
        <v>1127</v>
      </c>
      <c r="F381" s="3"/>
      <c r="G381" s="3"/>
      <c r="H381" s="6"/>
      <c r="I381" s="6"/>
      <c r="J381" s="6"/>
      <c r="K381" s="6"/>
      <c r="L381" s="4"/>
      <c r="M381" s="4"/>
      <c r="N381" s="4"/>
      <c r="O381" s="15"/>
      <c r="P381" s="15"/>
      <c r="Q381" s="15"/>
      <c r="R381" s="15"/>
      <c r="S381" s="15"/>
      <c r="T381" s="15"/>
      <c r="U381" s="15"/>
      <c r="V381" s="15"/>
      <c r="W381" s="15"/>
      <c r="X381" s="15"/>
      <c r="Y381" s="15"/>
      <c r="Z381" s="15"/>
      <c r="AA381" s="15"/>
      <c r="AB381" s="15"/>
      <c r="AC381" s="15"/>
      <c r="AD381" s="15"/>
      <c r="AE381" s="15"/>
      <c r="AF381" s="15"/>
      <c r="AG381" s="15"/>
      <c r="AH381" s="15"/>
      <c r="AI381" s="15"/>
      <c r="AJ381" s="15"/>
      <c r="AK381" s="15"/>
      <c r="AL381" s="15"/>
      <c r="AM381" s="15"/>
      <c r="AN381" s="15"/>
      <c r="AO381" s="15"/>
      <c r="AP381" s="15"/>
      <c r="AQ381" s="15"/>
      <c r="AR381" s="15"/>
      <c r="AS381" s="15"/>
      <c r="AT381" s="15"/>
      <c r="AU381" s="15"/>
      <c r="AV381" s="15"/>
      <c r="AW381" s="15"/>
      <c r="AX381" s="15"/>
      <c r="AY381" s="15"/>
      <c r="AZ381" s="15"/>
      <c r="BA381" s="3"/>
      <c r="BB381" s="3"/>
      <c r="BC381" s="3"/>
      <c r="BD381" s="1"/>
      <c r="BE381" s="9"/>
      <c r="BF381" s="9"/>
      <c r="BG381" s="9"/>
      <c r="BH381" s="9"/>
      <c r="BI381" s="9"/>
      <c r="BJ381" s="9"/>
      <c r="BK381" s="9"/>
      <c r="BL381" s="9"/>
      <c r="BM381" s="9"/>
      <c r="BN381" s="9"/>
      <c r="BO381" s="9"/>
      <c r="BP381" s="9"/>
      <c r="BQ381" s="9"/>
      <c r="BR381" s="9"/>
      <c r="BS381" s="9"/>
    </row>
    <row r="382" spans="1:71">
      <c r="A382" s="4">
        <f>B119</f>
        <v>1.5</v>
      </c>
      <c r="B382" s="3">
        <v>1073</v>
      </c>
      <c r="D382" s="16"/>
      <c r="F382" s="3"/>
      <c r="G382" s="3"/>
      <c r="H382" s="6"/>
      <c r="I382" s="6"/>
      <c r="J382" s="6"/>
      <c r="K382" s="6"/>
      <c r="L382" s="4"/>
      <c r="M382" s="4"/>
      <c r="N382" s="4"/>
      <c r="O382" s="15"/>
      <c r="P382" s="15"/>
      <c r="Q382" s="15"/>
      <c r="R382" s="15"/>
      <c r="S382" s="15"/>
      <c r="T382" s="15"/>
      <c r="U382" s="15"/>
      <c r="V382" s="15"/>
      <c r="W382" s="15"/>
      <c r="X382" s="15"/>
      <c r="Y382" s="15"/>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3"/>
      <c r="BB382" s="3"/>
      <c r="BC382" s="3"/>
      <c r="BD382" s="1"/>
      <c r="BE382" s="9"/>
      <c r="BF382" s="9"/>
      <c r="BG382" s="9"/>
      <c r="BH382" s="9"/>
      <c r="BI382" s="9"/>
      <c r="BJ382" s="9"/>
      <c r="BK382" s="9"/>
      <c r="BL382" s="9"/>
      <c r="BM382" s="9"/>
      <c r="BN382" s="9"/>
      <c r="BO382" s="9"/>
      <c r="BP382" s="9"/>
      <c r="BQ382" s="9"/>
      <c r="BR382" s="9"/>
      <c r="BS382" s="9"/>
    </row>
    <row r="383" spans="1:71">
      <c r="A383">
        <v>2</v>
      </c>
      <c r="B383" s="3">
        <v>1074.07</v>
      </c>
      <c r="C383" s="3">
        <f t="shared" ref="C383:C391" si="39">(($A$50*$A$67)/($A$64*36))*(($B$5*(A383-A382))/(AVERAGE(B382:B383)*$B$380))</f>
        <v>5.9035034375272275</v>
      </c>
      <c r="D383" s="5">
        <f>C383/($B$5/$A$64)</f>
        <v>0.17250037044454561</v>
      </c>
      <c r="F383" s="3"/>
      <c r="G383" s="3"/>
      <c r="H383" s="6"/>
      <c r="I383" s="6"/>
      <c r="J383" s="6"/>
      <c r="K383" s="6"/>
      <c r="L383" s="4"/>
      <c r="M383" s="4"/>
      <c r="N383" s="4"/>
      <c r="O383" s="15"/>
      <c r="P383" s="15"/>
      <c r="Q383" s="15"/>
      <c r="R383" s="15"/>
      <c r="S383" s="15"/>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3"/>
      <c r="BB383" s="3"/>
      <c r="BC383" s="3"/>
      <c r="BD383" s="1"/>
      <c r="BE383" s="9"/>
      <c r="BF383" s="9"/>
      <c r="BG383" s="9"/>
      <c r="BH383" s="9"/>
      <c r="BI383" s="9"/>
      <c r="BJ383" s="9"/>
      <c r="BK383" s="9"/>
      <c r="BL383" s="9"/>
      <c r="BM383" s="9"/>
      <c r="BN383" s="9"/>
      <c r="BO383" s="9"/>
      <c r="BP383" s="9"/>
      <c r="BQ383" s="9"/>
      <c r="BR383" s="9"/>
      <c r="BS383" s="9"/>
    </row>
    <row r="384" spans="1:71">
      <c r="A384">
        <v>3</v>
      </c>
      <c r="B384" s="3">
        <v>1075.1300000000001</v>
      </c>
      <c r="C384" s="3">
        <f t="shared" si="39"/>
        <v>11.795305346744446</v>
      </c>
      <c r="D384" s="5">
        <f t="shared" ref="D384:D391" si="40">C384/($B$5/$A$64)</f>
        <v>0.34465882223187272</v>
      </c>
      <c r="F384" s="3"/>
      <c r="G384" s="3"/>
      <c r="H384" s="6"/>
      <c r="I384" s="6"/>
      <c r="J384" s="6"/>
      <c r="K384" s="6"/>
      <c r="L384" s="4"/>
      <c r="M384" s="4"/>
      <c r="N384" s="4"/>
      <c r="O384" s="15"/>
      <c r="P384" s="15"/>
      <c r="Q384" s="15"/>
      <c r="R384" s="15"/>
      <c r="S384" s="15"/>
      <c r="T384" s="15"/>
      <c r="U384" s="15"/>
      <c r="V384" s="15"/>
      <c r="W384" s="15"/>
      <c r="X384" s="15"/>
      <c r="Y384" s="15"/>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3"/>
      <c r="BB384" s="3"/>
      <c r="BC384" s="3"/>
      <c r="BD384" s="1"/>
      <c r="BE384" s="9"/>
      <c r="BF384" s="9"/>
      <c r="BG384" s="9"/>
      <c r="BH384" s="9"/>
      <c r="BI384" s="9"/>
      <c r="BJ384" s="9"/>
      <c r="BK384" s="9"/>
      <c r="BL384" s="9"/>
      <c r="BM384" s="9"/>
      <c r="BN384" s="9"/>
      <c r="BO384" s="9"/>
      <c r="BP384" s="9"/>
      <c r="BQ384" s="9"/>
      <c r="BR384" s="9"/>
      <c r="BS384" s="9"/>
    </row>
    <row r="385" spans="1:71">
      <c r="A385">
        <v>4</v>
      </c>
      <c r="B385" s="3">
        <v>1076.2</v>
      </c>
      <c r="C385" s="3">
        <f t="shared" si="39"/>
        <v>11.783626989454506</v>
      </c>
      <c r="D385" s="5">
        <f t="shared" si="40"/>
        <v>0.34431758063186069</v>
      </c>
      <c r="F385" s="3"/>
      <c r="G385" s="3"/>
      <c r="H385" s="6"/>
      <c r="I385" s="6"/>
      <c r="J385" s="6"/>
      <c r="K385" s="6"/>
      <c r="L385" s="4"/>
      <c r="M385" s="4"/>
      <c r="N385" s="4"/>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3"/>
      <c r="BB385" s="3"/>
      <c r="BC385" s="3"/>
      <c r="BD385" s="1"/>
      <c r="BE385" s="9"/>
      <c r="BF385" s="9"/>
      <c r="BG385" s="9"/>
      <c r="BH385" s="9"/>
      <c r="BI385" s="9"/>
      <c r="BJ385" s="9"/>
      <c r="BK385" s="9"/>
      <c r="BL385" s="9"/>
      <c r="BM385" s="9"/>
      <c r="BN385" s="9"/>
      <c r="BO385" s="9"/>
      <c r="BP385" s="9"/>
      <c r="BQ385" s="9"/>
      <c r="BR385" s="9"/>
      <c r="BS385" s="9"/>
    </row>
    <row r="386" spans="1:71">
      <c r="A386">
        <v>5</v>
      </c>
      <c r="B386" s="3">
        <v>1079.4000000000001</v>
      </c>
      <c r="C386" s="3">
        <f t="shared" si="39"/>
        <v>11.760284956032267</v>
      </c>
      <c r="D386" s="5">
        <f t="shared" si="40"/>
        <v>0.34363552641526285</v>
      </c>
      <c r="F386" s="3"/>
      <c r="G386" s="3"/>
      <c r="H386" s="6"/>
      <c r="I386" s="6"/>
      <c r="J386" s="6"/>
      <c r="K386" s="6"/>
      <c r="L386" s="4"/>
      <c r="M386" s="4"/>
      <c r="N386" s="4"/>
      <c r="O386" s="15"/>
      <c r="P386" s="15"/>
      <c r="Q386" s="15"/>
      <c r="R386" s="15"/>
      <c r="S386" s="15"/>
      <c r="T386" s="15"/>
      <c r="U386" s="15"/>
      <c r="V386" s="15"/>
      <c r="W386" s="15"/>
      <c r="X386" s="15"/>
      <c r="Y386" s="15"/>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3"/>
      <c r="BB386" s="3"/>
      <c r="BC386" s="3"/>
      <c r="BD386" s="1"/>
      <c r="BE386" s="9"/>
      <c r="BF386" s="9"/>
      <c r="BG386" s="9"/>
      <c r="BH386" s="9"/>
      <c r="BI386" s="9"/>
      <c r="BJ386" s="9"/>
      <c r="BK386" s="9"/>
      <c r="BL386" s="9"/>
      <c r="BM386" s="9"/>
      <c r="BN386" s="9"/>
      <c r="BO386" s="9"/>
      <c r="BP386" s="9"/>
      <c r="BQ386" s="9"/>
      <c r="BR386" s="9"/>
      <c r="BS386" s="9"/>
    </row>
    <row r="387" spans="1:71">
      <c r="A387">
        <v>6</v>
      </c>
      <c r="B387" s="3">
        <v>1082.5999999999999</v>
      </c>
      <c r="C387" s="3">
        <f t="shared" si="39"/>
        <v>11.725471901583331</v>
      </c>
      <c r="D387" s="5">
        <f t="shared" si="40"/>
        <v>0.34261828896426494</v>
      </c>
      <c r="F387" s="3"/>
      <c r="G387" s="3"/>
      <c r="H387" s="6"/>
      <c r="I387" s="6"/>
      <c r="J387" s="6"/>
      <c r="K387" s="6"/>
      <c r="L387" s="4"/>
      <c r="M387" s="4"/>
      <c r="N387" s="4"/>
      <c r="O387" s="15"/>
      <c r="P387" s="15"/>
      <c r="Q387" s="15"/>
      <c r="R387" s="15"/>
      <c r="S387" s="15"/>
      <c r="T387" s="15"/>
      <c r="U387" s="15"/>
      <c r="V387" s="15"/>
      <c r="W387" s="15"/>
      <c r="X387" s="15"/>
      <c r="Y387" s="15"/>
      <c r="Z387" s="15"/>
      <c r="AA387" s="15"/>
      <c r="AB387" s="15"/>
      <c r="AC387" s="15"/>
      <c r="AD387" s="15"/>
      <c r="AE387" s="15"/>
      <c r="AF387" s="15"/>
      <c r="AG387" s="15"/>
      <c r="AH387" s="15"/>
      <c r="AI387" s="15"/>
      <c r="AJ387" s="15"/>
      <c r="AK387" s="15"/>
      <c r="AL387" s="15"/>
      <c r="AM387" s="15"/>
      <c r="AN387" s="15"/>
      <c r="AO387" s="15"/>
      <c r="AP387" s="15"/>
      <c r="AQ387" s="15"/>
      <c r="AR387" s="15"/>
      <c r="AS387" s="15"/>
      <c r="AT387" s="15"/>
      <c r="AU387" s="15"/>
      <c r="AV387" s="15"/>
      <c r="AW387" s="15"/>
      <c r="AX387" s="15"/>
      <c r="AY387" s="15"/>
      <c r="AZ387" s="15"/>
      <c r="BA387" s="3"/>
      <c r="BB387" s="3"/>
      <c r="BC387" s="3"/>
      <c r="BD387" s="1"/>
      <c r="BE387" s="9"/>
      <c r="BF387" s="9"/>
      <c r="BG387" s="9"/>
      <c r="BH387" s="9"/>
      <c r="BI387" s="9"/>
      <c r="BJ387" s="9"/>
      <c r="BK387" s="9"/>
      <c r="BL387" s="9"/>
      <c r="BM387" s="9"/>
      <c r="BN387" s="9"/>
      <c r="BO387" s="9"/>
      <c r="BP387" s="9"/>
      <c r="BQ387" s="9"/>
      <c r="BR387" s="9"/>
      <c r="BS387" s="9"/>
    </row>
    <row r="388" spans="1:71">
      <c r="A388">
        <v>7</v>
      </c>
      <c r="B388" s="3">
        <v>1085.8</v>
      </c>
      <c r="C388" s="3">
        <f t="shared" si="39"/>
        <v>11.690864347548036</v>
      </c>
      <c r="D388" s="5">
        <f t="shared" si="40"/>
        <v>0.34160705623535365</v>
      </c>
      <c r="F388" s="3"/>
      <c r="G388" s="3"/>
      <c r="H388" s="6"/>
      <c r="I388" s="6"/>
      <c r="J388" s="6"/>
      <c r="K388" s="6"/>
      <c r="L388" s="4"/>
      <c r="M388" s="4"/>
      <c r="N388" s="4"/>
      <c r="O388" s="15"/>
      <c r="P388" s="15"/>
      <c r="Q388" s="15"/>
      <c r="R388" s="15"/>
      <c r="S388" s="15"/>
      <c r="T388" s="15"/>
      <c r="U388" s="15"/>
      <c r="V388" s="15"/>
      <c r="W388" s="15"/>
      <c r="X388" s="15"/>
      <c r="Y388" s="15"/>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3"/>
      <c r="BB388" s="3"/>
      <c r="BC388" s="3"/>
      <c r="BD388" s="1"/>
      <c r="BE388" s="9"/>
      <c r="BF388" s="9"/>
      <c r="BG388" s="9"/>
      <c r="BH388" s="9"/>
      <c r="BI388" s="9"/>
      <c r="BJ388" s="9"/>
      <c r="BK388" s="9"/>
      <c r="BL388" s="9"/>
      <c r="BM388" s="9"/>
      <c r="BN388" s="9"/>
      <c r="BO388" s="9"/>
      <c r="BP388" s="9"/>
      <c r="BQ388" s="9"/>
      <c r="BR388" s="9"/>
      <c r="BS388" s="9"/>
    </row>
    <row r="389" spans="1:71">
      <c r="A389">
        <v>8</v>
      </c>
      <c r="B389" s="3">
        <v>1089</v>
      </c>
      <c r="C389" s="3">
        <f t="shared" si="39"/>
        <v>11.65646047968694</v>
      </c>
      <c r="D389" s="5">
        <f t="shared" si="40"/>
        <v>0.34060177521645241</v>
      </c>
      <c r="F389" s="3"/>
      <c r="G389" s="3"/>
      <c r="H389" s="6"/>
      <c r="I389" s="6"/>
      <c r="J389" s="6"/>
      <c r="K389" s="6"/>
      <c r="L389" s="4"/>
      <c r="M389" s="4"/>
      <c r="N389" s="4"/>
      <c r="O389" s="15"/>
      <c r="P389" s="15"/>
      <c r="Q389" s="15"/>
      <c r="R389" s="15"/>
      <c r="S389" s="15"/>
      <c r="T389" s="15"/>
      <c r="U389" s="15"/>
      <c r="V389" s="15"/>
      <c r="W389" s="15"/>
      <c r="X389" s="15"/>
      <c r="Y389" s="15"/>
      <c r="Z389" s="15"/>
      <c r="AA389" s="15"/>
      <c r="AB389" s="15"/>
      <c r="AC389" s="15"/>
      <c r="AD389" s="15"/>
      <c r="AE389" s="15"/>
      <c r="AF389" s="15"/>
      <c r="AG389" s="15"/>
      <c r="AH389" s="15"/>
      <c r="AI389" s="15"/>
      <c r="AJ389" s="15"/>
      <c r="AK389" s="15"/>
      <c r="AL389" s="15"/>
      <c r="AM389" s="15"/>
      <c r="AN389" s="15"/>
      <c r="AO389" s="15"/>
      <c r="AP389" s="15"/>
      <c r="AQ389" s="15"/>
      <c r="AR389" s="15"/>
      <c r="AS389" s="15"/>
      <c r="AT389" s="15"/>
      <c r="AU389" s="15"/>
      <c r="AV389" s="15"/>
      <c r="AW389" s="15"/>
      <c r="AX389" s="15"/>
      <c r="AY389" s="15"/>
      <c r="AZ389" s="15"/>
      <c r="BA389" s="3"/>
      <c r="BB389" s="3"/>
      <c r="BC389" s="3"/>
      <c r="BD389" s="1"/>
      <c r="BE389" s="9"/>
      <c r="BF389" s="9"/>
      <c r="BG389" s="9"/>
      <c r="BH389" s="9"/>
      <c r="BI389" s="9"/>
      <c r="BJ389" s="9"/>
      <c r="BK389" s="9"/>
      <c r="BL389" s="9"/>
      <c r="BM389" s="9"/>
      <c r="BN389" s="9"/>
      <c r="BO389" s="9"/>
      <c r="BP389" s="9"/>
      <c r="BQ389" s="9"/>
      <c r="BR389" s="9"/>
      <c r="BS389" s="9"/>
    </row>
    <row r="390" spans="1:71">
      <c r="A390">
        <v>9</v>
      </c>
      <c r="B390" s="3">
        <v>1092</v>
      </c>
      <c r="C390" s="3">
        <f t="shared" si="39"/>
        <v>11.623324278415023</v>
      </c>
      <c r="D390" s="5">
        <f t="shared" si="40"/>
        <v>0.33963353541528701</v>
      </c>
      <c r="F390" s="3"/>
      <c r="G390" s="3"/>
      <c r="H390" s="6"/>
      <c r="I390" s="6"/>
      <c r="J390" s="6"/>
      <c r="K390" s="6"/>
      <c r="L390" s="4"/>
      <c r="M390" s="4"/>
      <c r="N390" s="4"/>
      <c r="O390" s="15"/>
      <c r="P390" s="15"/>
      <c r="Q390" s="15"/>
      <c r="R390" s="15"/>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3"/>
      <c r="BB390" s="3"/>
      <c r="BC390" s="3"/>
      <c r="BD390" s="1"/>
      <c r="BE390" s="9"/>
      <c r="BF390" s="9"/>
      <c r="BG390" s="9"/>
      <c r="BH390" s="9"/>
      <c r="BI390" s="9"/>
      <c r="BJ390" s="9"/>
      <c r="BK390" s="9"/>
      <c r="BL390" s="9"/>
      <c r="BM390" s="9"/>
      <c r="BN390" s="9"/>
      <c r="BO390" s="9"/>
      <c r="BP390" s="9"/>
      <c r="BQ390" s="9"/>
      <c r="BR390" s="9"/>
      <c r="BS390" s="9"/>
    </row>
    <row r="391" spans="1:71">
      <c r="A391">
        <f>B124</f>
        <v>10</v>
      </c>
      <c r="B391" s="3">
        <v>1095.2</v>
      </c>
      <c r="C391" s="3">
        <f t="shared" si="39"/>
        <v>11.590375937830634</v>
      </c>
      <c r="D391" s="5">
        <f t="shared" si="40"/>
        <v>0.33867078490341118</v>
      </c>
      <c r="F391" s="3"/>
      <c r="G391" s="3"/>
      <c r="H391" s="6"/>
      <c r="I391" s="6"/>
      <c r="J391" s="6"/>
      <c r="K391" s="6"/>
      <c r="L391" s="4"/>
      <c r="M391" s="4"/>
      <c r="N391" s="4"/>
      <c r="O391" s="15"/>
      <c r="P391" s="15"/>
      <c r="Q391" s="15"/>
      <c r="R391" s="15"/>
      <c r="S391" s="15"/>
      <c r="T391" s="15"/>
      <c r="U391" s="15"/>
      <c r="V391" s="15"/>
      <c r="W391" s="15"/>
      <c r="X391" s="15"/>
      <c r="Y391" s="15"/>
      <c r="Z391" s="15"/>
      <c r="AA391" s="15"/>
      <c r="AB391" s="15"/>
      <c r="AC391" s="15"/>
      <c r="AD391" s="15"/>
      <c r="AE391" s="15"/>
      <c r="AF391" s="15"/>
      <c r="AG391" s="15"/>
      <c r="AH391" s="15"/>
      <c r="AI391" s="15"/>
      <c r="AJ391" s="15"/>
      <c r="AK391" s="15"/>
      <c r="AL391" s="15"/>
      <c r="AM391" s="15"/>
      <c r="AN391" s="15"/>
      <c r="AO391" s="15"/>
      <c r="AP391" s="15"/>
      <c r="AQ391" s="15"/>
      <c r="AR391" s="15"/>
      <c r="AS391" s="15"/>
      <c r="AT391" s="15"/>
      <c r="AU391" s="15"/>
      <c r="AV391" s="15"/>
      <c r="AW391" s="15"/>
      <c r="AX391" s="15"/>
      <c r="AY391" s="15"/>
      <c r="AZ391" s="15"/>
      <c r="BA391" s="3"/>
      <c r="BB391" s="3"/>
      <c r="BC391" s="3"/>
      <c r="BD391" s="1"/>
      <c r="BE391" s="9"/>
      <c r="BF391" s="9"/>
      <c r="BG391" s="9"/>
      <c r="BH391" s="9"/>
      <c r="BI391" s="9"/>
      <c r="BJ391" s="9"/>
      <c r="BK391" s="9"/>
      <c r="BL391" s="9"/>
      <c r="BM391" s="9"/>
      <c r="BN391" s="9"/>
      <c r="BO391" s="9"/>
      <c r="BP391" s="9"/>
      <c r="BQ391" s="9"/>
      <c r="BR391" s="9"/>
      <c r="BS391" s="9"/>
    </row>
    <row r="392" spans="1:71">
      <c r="A392" t="s">
        <v>45</v>
      </c>
      <c r="C392" s="3">
        <f>SUM(C383:C391)</f>
        <v>99.529217674822419</v>
      </c>
      <c r="D392" s="5">
        <f>SUM(D383:D391)</f>
        <v>2.9082437404583108</v>
      </c>
      <c r="F392" s="3"/>
      <c r="G392" s="3"/>
      <c r="H392" s="6"/>
      <c r="I392" s="6"/>
      <c r="J392" s="6"/>
      <c r="K392" s="6"/>
      <c r="L392" s="4"/>
      <c r="M392" s="4"/>
      <c r="N392" s="4"/>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3"/>
      <c r="BB392" s="3"/>
      <c r="BC392" s="3"/>
      <c r="BD392" s="1"/>
      <c r="BE392" s="9"/>
      <c r="BF392" s="9"/>
      <c r="BG392" s="9"/>
      <c r="BH392" s="9"/>
      <c r="BI392" s="9"/>
      <c r="BJ392" s="9"/>
      <c r="BK392" s="9"/>
      <c r="BL392" s="9"/>
      <c r="BM392" s="9"/>
      <c r="BN392" s="9"/>
      <c r="BO392" s="9"/>
      <c r="BP392" s="9"/>
      <c r="BQ392" s="9"/>
      <c r="BR392" s="9"/>
      <c r="BS392" s="9"/>
    </row>
    <row r="393" spans="1:71">
      <c r="C393" s="3"/>
      <c r="D393" s="5"/>
      <c r="F393" s="3"/>
      <c r="G393" s="3"/>
      <c r="H393" s="6"/>
      <c r="I393" s="6"/>
      <c r="J393" s="6"/>
      <c r="K393" s="6"/>
      <c r="L393" s="4"/>
      <c r="M393" s="4"/>
      <c r="N393" s="4"/>
      <c r="O393" s="15"/>
      <c r="P393" s="15"/>
      <c r="Q393" s="15"/>
      <c r="R393" s="15"/>
      <c r="S393" s="15"/>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3"/>
      <c r="BB393" s="3"/>
      <c r="BC393" s="3"/>
      <c r="BD393" s="1"/>
      <c r="BE393" s="9"/>
      <c r="BF393" s="9"/>
      <c r="BG393" s="9"/>
      <c r="BH393" s="9"/>
      <c r="BI393" s="9"/>
      <c r="BJ393" s="9"/>
      <c r="BK393" s="9"/>
      <c r="BL393" s="9"/>
      <c r="BM393" s="9"/>
      <c r="BN393" s="9"/>
      <c r="BO393" s="9"/>
      <c r="BP393" s="9"/>
      <c r="BQ393" s="9"/>
      <c r="BR393" s="9"/>
      <c r="BS393" s="9"/>
    </row>
    <row r="394" spans="1:71">
      <c r="A394" t="s">
        <v>1128</v>
      </c>
      <c r="B394" t="s">
        <v>905</v>
      </c>
      <c r="C394" s="3" t="s">
        <v>1130</v>
      </c>
      <c r="D394" s="5" t="s">
        <v>1129</v>
      </c>
      <c r="F394" s="3"/>
      <c r="G394" s="3"/>
      <c r="H394" s="6"/>
      <c r="I394" s="6"/>
      <c r="J394" s="6"/>
      <c r="K394" s="6"/>
      <c r="L394" s="4"/>
      <c r="M394" s="4"/>
      <c r="N394" s="4"/>
      <c r="O394" s="15"/>
      <c r="P394" s="15"/>
      <c r="Q394" s="15"/>
      <c r="R394" s="15"/>
      <c r="S394" s="15"/>
      <c r="T394" s="15"/>
      <c r="U394" s="15"/>
      <c r="V394" s="15"/>
      <c r="W394" s="15"/>
      <c r="X394" s="15"/>
      <c r="Y394" s="15"/>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3"/>
      <c r="BB394" s="3"/>
      <c r="BC394" s="3"/>
      <c r="BD394" s="1"/>
      <c r="BE394" s="9"/>
      <c r="BF394" s="9"/>
      <c r="BG394" s="9"/>
      <c r="BH394" s="9"/>
      <c r="BI394" s="9"/>
      <c r="BJ394" s="9"/>
      <c r="BK394" s="9"/>
      <c r="BL394" s="9"/>
      <c r="BM394" s="9"/>
      <c r="BN394" s="9"/>
      <c r="BO394" s="9"/>
      <c r="BP394" s="9"/>
      <c r="BQ394" s="9"/>
      <c r="BR394" s="9"/>
      <c r="BS394" s="9"/>
    </row>
    <row r="395" spans="1:71">
      <c r="A395" s="3">
        <f>B120</f>
        <v>-28.2</v>
      </c>
      <c r="B395">
        <v>15</v>
      </c>
      <c r="C395" s="1">
        <v>1.921</v>
      </c>
      <c r="D395" s="5"/>
      <c r="F395" s="3"/>
      <c r="G395" s="3"/>
      <c r="H395" s="6"/>
      <c r="I395" s="6"/>
      <c r="J395" s="6"/>
      <c r="K395" s="6"/>
      <c r="L395" s="4"/>
      <c r="M395" s="4"/>
      <c r="N395" s="4"/>
      <c r="O395" s="15"/>
      <c r="P395" s="15"/>
      <c r="Q395" s="15"/>
      <c r="R395" s="15"/>
      <c r="S395" s="15"/>
      <c r="T395" s="15"/>
      <c r="U395" s="15"/>
      <c r="V395" s="15"/>
      <c r="W395" s="15"/>
      <c r="X395" s="15"/>
      <c r="Y395" s="15"/>
      <c r="Z395" s="15"/>
      <c r="AA395" s="15"/>
      <c r="AB395" s="15"/>
      <c r="AC395" s="15"/>
      <c r="AD395" s="15"/>
      <c r="AE395" s="15"/>
      <c r="AF395" s="15"/>
      <c r="AG395" s="15"/>
      <c r="AH395" s="15"/>
      <c r="AI395" s="15"/>
      <c r="AJ395" s="15"/>
      <c r="AK395" s="15"/>
      <c r="AL395" s="15"/>
      <c r="AM395" s="15"/>
      <c r="AN395" s="15"/>
      <c r="AO395" s="15"/>
      <c r="AP395" s="15"/>
      <c r="AQ395" s="15"/>
      <c r="AR395" s="15"/>
      <c r="AS395" s="15"/>
      <c r="AT395" s="15"/>
      <c r="AU395" s="15"/>
      <c r="AV395" s="15"/>
      <c r="AW395" s="15"/>
      <c r="AX395" s="15"/>
      <c r="AY395" s="15"/>
      <c r="AZ395" s="15"/>
      <c r="BA395" s="3"/>
      <c r="BB395" s="3"/>
      <c r="BC395" s="3"/>
      <c r="BD395" s="1"/>
      <c r="BE395" s="9"/>
      <c r="BF395" s="9"/>
      <c r="BG395" s="9"/>
      <c r="BH395" s="9"/>
      <c r="BI395" s="9"/>
      <c r="BJ395" s="9"/>
      <c r="BK395" s="9"/>
      <c r="BL395" s="9"/>
      <c r="BM395" s="9"/>
      <c r="BN395" s="9"/>
      <c r="BO395" s="9"/>
      <c r="BP395" s="9"/>
      <c r="BQ395" s="9"/>
      <c r="BR395" s="9"/>
      <c r="BS395" s="9"/>
    </row>
    <row r="396" spans="1:71">
      <c r="A396">
        <v>-27</v>
      </c>
      <c r="B396">
        <v>15</v>
      </c>
      <c r="C396" s="1">
        <v>1.9239999999999999</v>
      </c>
      <c r="D396" s="228">
        <f>AVERAGE(C395:C396)*(A396-A395)*(1000/3600)</f>
        <v>0.64083333333333292</v>
      </c>
      <c r="F396" s="3"/>
      <c r="G396" s="3"/>
      <c r="H396" s="6"/>
      <c r="I396" s="6"/>
      <c r="J396" s="6"/>
      <c r="K396" s="6"/>
      <c r="L396" s="4"/>
      <c r="M396" s="4"/>
      <c r="N396" s="4"/>
      <c r="O396" s="15"/>
      <c r="P396" s="15"/>
      <c r="Q396" s="15"/>
      <c r="R396" s="15"/>
      <c r="S396" s="15"/>
      <c r="T396" s="15"/>
      <c r="U396" s="15"/>
      <c r="V396" s="15"/>
      <c r="W396" s="15"/>
      <c r="X396" s="15"/>
      <c r="Y396" s="15"/>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3"/>
      <c r="BB396" s="3"/>
      <c r="BC396" s="3"/>
      <c r="BD396" s="1"/>
      <c r="BE396" s="9"/>
      <c r="BF396" s="9"/>
      <c r="BG396" s="9"/>
      <c r="BH396" s="9"/>
      <c r="BI396" s="9"/>
      <c r="BJ396" s="9"/>
      <c r="BK396" s="9"/>
      <c r="BL396" s="9"/>
      <c r="BM396" s="9"/>
      <c r="BN396" s="9"/>
      <c r="BO396" s="9"/>
      <c r="BP396" s="9"/>
      <c r="BQ396" s="9"/>
      <c r="BR396" s="9"/>
      <c r="BS396" s="9"/>
    </row>
    <row r="397" spans="1:71">
      <c r="A397">
        <v>-26</v>
      </c>
      <c r="B397">
        <v>15</v>
      </c>
      <c r="C397" s="1">
        <v>1.927</v>
      </c>
      <c r="D397" s="228">
        <f t="shared" ref="D397:D437" si="41">AVERAGE(C396:C397)*(A397-A396)*(1000/3600)</f>
        <v>0.53486111111111112</v>
      </c>
      <c r="F397" s="3"/>
      <c r="G397" s="3"/>
      <c r="H397" s="6"/>
      <c r="I397" s="6"/>
      <c r="J397" s="6"/>
      <c r="K397" s="6"/>
      <c r="L397" s="4"/>
      <c r="M397" s="4"/>
      <c r="N397" s="4"/>
      <c r="O397" s="15"/>
      <c r="P397" s="15"/>
      <c r="Q397" s="15"/>
      <c r="R397" s="15"/>
      <c r="S397" s="15"/>
      <c r="T397" s="15"/>
      <c r="U397" s="15"/>
      <c r="V397" s="15"/>
      <c r="W397" s="15"/>
      <c r="X397" s="15"/>
      <c r="Y397" s="15"/>
      <c r="Z397" s="15"/>
      <c r="AA397" s="15"/>
      <c r="AB397" s="15"/>
      <c r="AC397" s="15"/>
      <c r="AD397" s="15"/>
      <c r="AE397" s="15"/>
      <c r="AF397" s="15"/>
      <c r="AG397" s="15"/>
      <c r="AH397" s="15"/>
      <c r="AI397" s="15"/>
      <c r="AJ397" s="15"/>
      <c r="AK397" s="15"/>
      <c r="AL397" s="15"/>
      <c r="AM397" s="15"/>
      <c r="AN397" s="15"/>
      <c r="AO397" s="15"/>
      <c r="AP397" s="15"/>
      <c r="AQ397" s="15"/>
      <c r="AR397" s="15"/>
      <c r="AS397" s="15"/>
      <c r="AT397" s="15"/>
      <c r="AU397" s="15"/>
      <c r="AV397" s="15"/>
      <c r="AW397" s="15"/>
      <c r="AX397" s="15"/>
      <c r="AY397" s="15"/>
      <c r="AZ397" s="15"/>
      <c r="BA397" s="3"/>
      <c r="BB397" s="3"/>
      <c r="BC397" s="3"/>
      <c r="BD397" s="1"/>
      <c r="BE397" s="9"/>
      <c r="BF397" s="9"/>
      <c r="BG397" s="9"/>
      <c r="BH397" s="9"/>
      <c r="BI397" s="9"/>
      <c r="BJ397" s="9"/>
      <c r="BK397" s="9"/>
      <c r="BL397" s="9"/>
      <c r="BM397" s="9"/>
      <c r="BN397" s="9"/>
      <c r="BO397" s="9"/>
      <c r="BP397" s="9"/>
      <c r="BQ397" s="9"/>
      <c r="BR397" s="9"/>
      <c r="BS397" s="9"/>
    </row>
    <row r="398" spans="1:71">
      <c r="A398">
        <v>-25</v>
      </c>
      <c r="B398">
        <v>15</v>
      </c>
      <c r="C398" s="1">
        <v>1.93</v>
      </c>
      <c r="D398" s="228">
        <f t="shared" si="41"/>
        <v>0.53569444444444447</v>
      </c>
      <c r="F398" s="3"/>
      <c r="G398" s="3"/>
      <c r="H398" s="6"/>
      <c r="I398" s="6"/>
      <c r="J398" s="6"/>
      <c r="K398" s="6"/>
      <c r="L398" s="4"/>
      <c r="M398" s="4"/>
      <c r="N398" s="4"/>
      <c r="O398" s="15"/>
      <c r="P398" s="15"/>
      <c r="Q398" s="15"/>
      <c r="R398" s="15"/>
      <c r="S398" s="15"/>
      <c r="T398" s="15"/>
      <c r="U398" s="15"/>
      <c r="V398" s="15"/>
      <c r="W398" s="15"/>
      <c r="X398" s="15"/>
      <c r="Y398" s="15"/>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3"/>
      <c r="BB398" s="3"/>
      <c r="BC398" s="3"/>
      <c r="BD398" s="1"/>
      <c r="BE398" s="9"/>
      <c r="BF398" s="9"/>
      <c r="BG398" s="9"/>
      <c r="BH398" s="9"/>
      <c r="BI398" s="9"/>
      <c r="BJ398" s="9"/>
      <c r="BK398" s="9"/>
      <c r="BL398" s="9"/>
      <c r="BM398" s="9"/>
      <c r="BN398" s="9"/>
      <c r="BO398" s="9"/>
      <c r="BP398" s="9"/>
      <c r="BQ398" s="9"/>
      <c r="BR398" s="9"/>
      <c r="BS398" s="9"/>
    </row>
    <row r="399" spans="1:71">
      <c r="A399">
        <v>-24</v>
      </c>
      <c r="B399">
        <v>15</v>
      </c>
      <c r="C399" s="1">
        <v>1.9330000000000001</v>
      </c>
      <c r="D399" s="228">
        <f t="shared" si="41"/>
        <v>0.53652777777777783</v>
      </c>
      <c r="F399" s="3"/>
      <c r="G399" s="3"/>
      <c r="H399" s="6"/>
      <c r="I399" s="6"/>
      <c r="J399" s="6"/>
      <c r="K399" s="6"/>
      <c r="L399" s="4"/>
      <c r="M399" s="4"/>
      <c r="N399" s="4"/>
      <c r="O399" s="15"/>
      <c r="P399" s="15"/>
      <c r="Q399" s="15"/>
      <c r="R399" s="15"/>
      <c r="S399" s="15"/>
      <c r="T399" s="15"/>
      <c r="U399" s="15"/>
      <c r="V399" s="15"/>
      <c r="W399" s="15"/>
      <c r="X399" s="15"/>
      <c r="Y399" s="15"/>
      <c r="Z399" s="15"/>
      <c r="AA399" s="15"/>
      <c r="AB399" s="15"/>
      <c r="AC399" s="15"/>
      <c r="AD399" s="15"/>
      <c r="AE399" s="15"/>
      <c r="AF399" s="15"/>
      <c r="AG399" s="15"/>
      <c r="AH399" s="15"/>
      <c r="AI399" s="15"/>
      <c r="AJ399" s="15"/>
      <c r="AK399" s="15"/>
      <c r="AL399" s="15"/>
      <c r="AM399" s="15"/>
      <c r="AN399" s="15"/>
      <c r="AO399" s="15"/>
      <c r="AP399" s="15"/>
      <c r="AQ399" s="15"/>
      <c r="AR399" s="15"/>
      <c r="AS399" s="15"/>
      <c r="AT399" s="15"/>
      <c r="AU399" s="15"/>
      <c r="AV399" s="15"/>
      <c r="AW399" s="15"/>
      <c r="AX399" s="15"/>
      <c r="AY399" s="15"/>
      <c r="AZ399" s="15"/>
      <c r="BA399" s="3"/>
      <c r="BB399" s="3"/>
      <c r="BC399" s="3"/>
      <c r="BD399" s="1"/>
      <c r="BE399" s="9"/>
      <c r="BF399" s="9"/>
      <c r="BG399" s="9"/>
      <c r="BH399" s="9"/>
      <c r="BI399" s="9"/>
      <c r="BJ399" s="9"/>
      <c r="BK399" s="9"/>
      <c r="BL399" s="9"/>
      <c r="BM399" s="9"/>
      <c r="BN399" s="9"/>
      <c r="BO399" s="9"/>
      <c r="BP399" s="9"/>
      <c r="BQ399" s="9"/>
      <c r="BR399" s="9"/>
      <c r="BS399" s="9"/>
    </row>
    <row r="400" spans="1:71">
      <c r="A400">
        <v>-23</v>
      </c>
      <c r="B400">
        <v>15</v>
      </c>
      <c r="C400" s="1">
        <v>1.9359999999999999</v>
      </c>
      <c r="D400" s="228">
        <f t="shared" si="41"/>
        <v>0.53736111111111107</v>
      </c>
      <c r="F400" s="3"/>
      <c r="G400" s="3"/>
      <c r="H400" s="6"/>
      <c r="I400" s="6"/>
      <c r="J400" s="6"/>
      <c r="K400" s="6"/>
      <c r="L400" s="4"/>
      <c r="M400" s="4"/>
      <c r="N400" s="4"/>
      <c r="O400" s="15"/>
      <c r="P400" s="15"/>
      <c r="Q400" s="15"/>
      <c r="R400" s="15"/>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3"/>
      <c r="BB400" s="3"/>
      <c r="BC400" s="3"/>
      <c r="BD400" s="1"/>
      <c r="BE400" s="9"/>
      <c r="BF400" s="9"/>
      <c r="BG400" s="9"/>
      <c r="BH400" s="9"/>
      <c r="BI400" s="9"/>
      <c r="BJ400" s="9"/>
      <c r="BK400" s="9"/>
      <c r="BL400" s="9"/>
      <c r="BM400" s="9"/>
      <c r="BN400" s="9"/>
      <c r="BO400" s="9"/>
      <c r="BP400" s="9"/>
      <c r="BQ400" s="9"/>
      <c r="BR400" s="9"/>
      <c r="BS400" s="9"/>
    </row>
    <row r="401" spans="1:71">
      <c r="A401">
        <v>-22</v>
      </c>
      <c r="B401">
        <v>15</v>
      </c>
      <c r="C401" s="1">
        <v>1.9390000000000001</v>
      </c>
      <c r="D401" s="228">
        <f t="shared" si="41"/>
        <v>0.53819444444444442</v>
      </c>
      <c r="F401" s="3"/>
      <c r="G401" s="3"/>
      <c r="H401" s="6"/>
      <c r="I401" s="6"/>
      <c r="J401" s="6"/>
      <c r="K401" s="6"/>
      <c r="L401" s="4"/>
      <c r="M401" s="4"/>
      <c r="N401" s="4"/>
      <c r="O401" s="15"/>
      <c r="P401" s="15"/>
      <c r="Q401" s="15"/>
      <c r="R401" s="15"/>
      <c r="S401" s="15"/>
      <c r="T401" s="15"/>
      <c r="U401" s="15"/>
      <c r="V401" s="15"/>
      <c r="W401" s="15"/>
      <c r="X401" s="15"/>
      <c r="Y401" s="15"/>
      <c r="Z401" s="15"/>
      <c r="AA401" s="15"/>
      <c r="AB401" s="15"/>
      <c r="AC401" s="15"/>
      <c r="AD401" s="15"/>
      <c r="AE401" s="15"/>
      <c r="AF401" s="15"/>
      <c r="AG401" s="15"/>
      <c r="AH401" s="15"/>
      <c r="AI401" s="15"/>
      <c r="AJ401" s="15"/>
      <c r="AK401" s="15"/>
      <c r="AL401" s="15"/>
      <c r="AM401" s="15"/>
      <c r="AN401" s="15"/>
      <c r="AO401" s="15"/>
      <c r="AP401" s="15"/>
      <c r="AQ401" s="15"/>
      <c r="AR401" s="15"/>
      <c r="AS401" s="15"/>
      <c r="AT401" s="15"/>
      <c r="AU401" s="15"/>
      <c r="AV401" s="15"/>
      <c r="AW401" s="15"/>
      <c r="AX401" s="15"/>
      <c r="AY401" s="15"/>
      <c r="AZ401" s="15"/>
      <c r="BA401" s="3"/>
      <c r="BB401" s="3"/>
      <c r="BC401" s="3"/>
      <c r="BD401" s="1"/>
      <c r="BE401" s="9"/>
      <c r="BF401" s="9"/>
      <c r="BG401" s="9"/>
      <c r="BH401" s="9"/>
      <c r="BI401" s="9"/>
      <c r="BJ401" s="9"/>
      <c r="BK401" s="9"/>
      <c r="BL401" s="9"/>
      <c r="BM401" s="9"/>
      <c r="BN401" s="9"/>
      <c r="BO401" s="9"/>
      <c r="BP401" s="9"/>
      <c r="BQ401" s="9"/>
      <c r="BR401" s="9"/>
      <c r="BS401" s="9"/>
    </row>
    <row r="402" spans="1:71">
      <c r="A402">
        <v>-21</v>
      </c>
      <c r="B402">
        <v>15</v>
      </c>
      <c r="C402" s="1">
        <v>1.9419999999999999</v>
      </c>
      <c r="D402" s="228">
        <f t="shared" si="41"/>
        <v>0.53902777777777788</v>
      </c>
      <c r="F402" s="3"/>
      <c r="G402" s="3"/>
      <c r="H402" s="6"/>
      <c r="I402" s="6"/>
      <c r="J402" s="6"/>
      <c r="K402" s="6"/>
      <c r="L402" s="4"/>
      <c r="M402" s="4"/>
      <c r="N402" s="4"/>
      <c r="O402" s="15"/>
      <c r="P402" s="15"/>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3"/>
      <c r="BB402" s="3"/>
      <c r="BC402" s="3"/>
      <c r="BD402" s="1"/>
      <c r="BE402" s="9"/>
      <c r="BF402" s="9"/>
      <c r="BG402" s="9"/>
      <c r="BH402" s="9"/>
      <c r="BI402" s="9"/>
      <c r="BJ402" s="9"/>
      <c r="BK402" s="9"/>
      <c r="BL402" s="9"/>
      <c r="BM402" s="9"/>
      <c r="BN402" s="9"/>
      <c r="BO402" s="9"/>
      <c r="BP402" s="9"/>
      <c r="BQ402" s="9"/>
      <c r="BR402" s="9"/>
      <c r="BS402" s="9"/>
    </row>
    <row r="403" spans="1:71">
      <c r="A403">
        <v>-20</v>
      </c>
      <c r="B403">
        <v>15</v>
      </c>
      <c r="C403" s="1">
        <v>1.9450000000000001</v>
      </c>
      <c r="D403" s="228">
        <f t="shared" si="41"/>
        <v>0.53986111111111112</v>
      </c>
      <c r="F403" s="3"/>
      <c r="G403" s="3"/>
      <c r="H403" s="6"/>
      <c r="I403" s="6"/>
      <c r="J403" s="6"/>
      <c r="K403" s="6"/>
      <c r="L403" s="4"/>
      <c r="M403" s="4"/>
      <c r="N403" s="4"/>
      <c r="O403" s="15"/>
      <c r="P403" s="15"/>
      <c r="Q403" s="15"/>
      <c r="R403" s="15"/>
      <c r="S403" s="15"/>
      <c r="T403" s="15"/>
      <c r="U403" s="15"/>
      <c r="V403" s="15"/>
      <c r="W403" s="15"/>
      <c r="X403" s="15"/>
      <c r="Y403" s="15"/>
      <c r="Z403" s="15"/>
      <c r="AA403" s="15"/>
      <c r="AB403" s="15"/>
      <c r="AC403" s="15"/>
      <c r="AD403" s="15"/>
      <c r="AE403" s="15"/>
      <c r="AF403" s="15"/>
      <c r="AG403" s="15"/>
      <c r="AH403" s="15"/>
      <c r="AI403" s="15"/>
      <c r="AJ403" s="15"/>
      <c r="AK403" s="15"/>
      <c r="AL403" s="15"/>
      <c r="AM403" s="15"/>
      <c r="AN403" s="15"/>
      <c r="AO403" s="15"/>
      <c r="AP403" s="15"/>
      <c r="AQ403" s="15"/>
      <c r="AR403" s="15"/>
      <c r="AS403" s="15"/>
      <c r="AT403" s="15"/>
      <c r="AU403" s="15"/>
      <c r="AV403" s="15"/>
      <c r="AW403" s="15"/>
      <c r="AX403" s="15"/>
      <c r="AY403" s="15"/>
      <c r="AZ403" s="15"/>
      <c r="BA403" s="3"/>
      <c r="BB403" s="3"/>
      <c r="BC403" s="3"/>
      <c r="BD403" s="1"/>
      <c r="BE403" s="9"/>
      <c r="BF403" s="9"/>
      <c r="BG403" s="9"/>
      <c r="BH403" s="9"/>
      <c r="BI403" s="9"/>
      <c r="BJ403" s="9"/>
      <c r="BK403" s="9"/>
      <c r="BL403" s="9"/>
      <c r="BM403" s="9"/>
      <c r="BN403" s="9"/>
      <c r="BO403" s="9"/>
      <c r="BP403" s="9"/>
      <c r="BQ403" s="9"/>
      <c r="BR403" s="9"/>
      <c r="BS403" s="9"/>
    </row>
    <row r="404" spans="1:71">
      <c r="A404">
        <v>-19</v>
      </c>
      <c r="B404">
        <v>15</v>
      </c>
      <c r="C404" s="1">
        <v>1.9494</v>
      </c>
      <c r="D404" s="228">
        <f t="shared" si="41"/>
        <v>0.54088888888888897</v>
      </c>
      <c r="F404" s="3"/>
      <c r="G404" s="3"/>
      <c r="H404" s="6"/>
      <c r="I404" s="6"/>
      <c r="J404" s="6"/>
      <c r="K404" s="6"/>
      <c r="L404" s="4"/>
      <c r="M404" s="4"/>
      <c r="N404" s="4"/>
      <c r="O404" s="15"/>
      <c r="P404" s="15"/>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3"/>
      <c r="BB404" s="3"/>
      <c r="BC404" s="3"/>
      <c r="BD404" s="1"/>
      <c r="BE404" s="9"/>
      <c r="BF404" s="9"/>
      <c r="BG404" s="9"/>
      <c r="BH404" s="9"/>
      <c r="BI404" s="9"/>
      <c r="BJ404" s="9"/>
      <c r="BK404" s="9"/>
      <c r="BL404" s="9"/>
      <c r="BM404" s="9"/>
      <c r="BN404" s="9"/>
      <c r="BO404" s="9"/>
      <c r="BP404" s="9"/>
      <c r="BQ404" s="9"/>
      <c r="BR404" s="9"/>
      <c r="BS404" s="9"/>
    </row>
    <row r="405" spans="1:71">
      <c r="A405">
        <v>-18</v>
      </c>
      <c r="B405">
        <v>15</v>
      </c>
      <c r="C405" s="1">
        <v>1.9538</v>
      </c>
      <c r="D405" s="228">
        <f t="shared" si="41"/>
        <v>0.5421111111111111</v>
      </c>
      <c r="F405" s="3"/>
      <c r="G405" s="3"/>
      <c r="H405" s="6"/>
      <c r="I405" s="6"/>
      <c r="J405" s="6"/>
      <c r="K405" s="6"/>
      <c r="L405" s="4"/>
      <c r="M405" s="4"/>
      <c r="N405" s="4"/>
      <c r="O405" s="15"/>
      <c r="P405" s="15"/>
      <c r="Q405" s="15"/>
      <c r="R405" s="15"/>
      <c r="S405" s="15"/>
      <c r="T405" s="15"/>
      <c r="U405" s="15"/>
      <c r="V405" s="15"/>
      <c r="W405" s="15"/>
      <c r="X405" s="15"/>
      <c r="Y405" s="15"/>
      <c r="Z405" s="15"/>
      <c r="AA405" s="15"/>
      <c r="AB405" s="15"/>
      <c r="AC405" s="15"/>
      <c r="AD405" s="15"/>
      <c r="AE405" s="15"/>
      <c r="AF405" s="15"/>
      <c r="AG405" s="15"/>
      <c r="AH405" s="15"/>
      <c r="AI405" s="15"/>
      <c r="AJ405" s="15"/>
      <c r="AK405" s="15"/>
      <c r="AL405" s="15"/>
      <c r="AM405" s="15"/>
      <c r="AN405" s="15"/>
      <c r="AO405" s="15"/>
      <c r="AP405" s="15"/>
      <c r="AQ405" s="15"/>
      <c r="AR405" s="15"/>
      <c r="AS405" s="15"/>
      <c r="AT405" s="15"/>
      <c r="AU405" s="15"/>
      <c r="AV405" s="15"/>
      <c r="AW405" s="15"/>
      <c r="AX405" s="15"/>
      <c r="AY405" s="15"/>
      <c r="AZ405" s="15"/>
      <c r="BA405" s="3"/>
      <c r="BB405" s="3"/>
      <c r="BC405" s="3"/>
      <c r="BD405" s="1"/>
      <c r="BE405" s="9"/>
      <c r="BF405" s="9"/>
      <c r="BG405" s="9"/>
      <c r="BH405" s="9"/>
      <c r="BI405" s="9"/>
      <c r="BJ405" s="9"/>
      <c r="BK405" s="9"/>
      <c r="BL405" s="9"/>
      <c r="BM405" s="9"/>
      <c r="BN405" s="9"/>
      <c r="BO405" s="9"/>
      <c r="BP405" s="9"/>
      <c r="BQ405" s="9"/>
      <c r="BR405" s="9"/>
      <c r="BS405" s="9"/>
    </row>
    <row r="406" spans="1:71">
      <c r="A406">
        <v>-17</v>
      </c>
      <c r="B406">
        <v>15</v>
      </c>
      <c r="C406" s="1">
        <v>1.9581999999999999</v>
      </c>
      <c r="D406" s="228">
        <f t="shared" si="41"/>
        <v>0.54333333333333333</v>
      </c>
      <c r="F406" s="3"/>
      <c r="G406" s="3"/>
      <c r="H406" s="6"/>
      <c r="I406" s="6"/>
      <c r="J406" s="6"/>
      <c r="K406" s="6"/>
      <c r="L406" s="4"/>
      <c r="M406" s="4"/>
      <c r="N406" s="4"/>
      <c r="O406" s="15"/>
      <c r="P406" s="15"/>
      <c r="Q406" s="15"/>
      <c r="R406" s="15"/>
      <c r="S406" s="15"/>
      <c r="T406" s="15"/>
      <c r="U406" s="15"/>
      <c r="V406" s="15"/>
      <c r="W406" s="15"/>
      <c r="X406" s="15"/>
      <c r="Y406" s="15"/>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3"/>
      <c r="BB406" s="3"/>
      <c r="BC406" s="3"/>
      <c r="BD406" s="1"/>
      <c r="BE406" s="9"/>
      <c r="BF406" s="9"/>
      <c r="BG406" s="9"/>
      <c r="BH406" s="9"/>
      <c r="BI406" s="9"/>
      <c r="BJ406" s="9"/>
      <c r="BK406" s="9"/>
      <c r="BL406" s="9"/>
      <c r="BM406" s="9"/>
      <c r="BN406" s="9"/>
      <c r="BO406" s="9"/>
      <c r="BP406" s="9"/>
      <c r="BQ406" s="9"/>
      <c r="BR406" s="9"/>
      <c r="BS406" s="9"/>
    </row>
    <row r="407" spans="1:71">
      <c r="A407">
        <v>-16</v>
      </c>
      <c r="B407">
        <v>15</v>
      </c>
      <c r="C407" s="1">
        <v>1.9625999999999999</v>
      </c>
      <c r="D407" s="228">
        <f t="shared" si="41"/>
        <v>0.54455555555555557</v>
      </c>
      <c r="F407" s="3"/>
      <c r="G407" s="3"/>
      <c r="H407" s="6"/>
      <c r="I407" s="6"/>
      <c r="J407" s="6"/>
      <c r="K407" s="6"/>
      <c r="L407" s="4"/>
      <c r="M407" s="4"/>
      <c r="N407" s="4"/>
      <c r="O407" s="15"/>
      <c r="P407" s="15"/>
      <c r="Q407" s="15"/>
      <c r="R407" s="15"/>
      <c r="S407" s="15"/>
      <c r="T407" s="15"/>
      <c r="U407" s="15"/>
      <c r="V407" s="15"/>
      <c r="W407" s="15"/>
      <c r="X407" s="15"/>
      <c r="Y407" s="15"/>
      <c r="Z407" s="15"/>
      <c r="AA407" s="15"/>
      <c r="AB407" s="15"/>
      <c r="AC407" s="15"/>
      <c r="AD407" s="15"/>
      <c r="AE407" s="15"/>
      <c r="AF407" s="15"/>
      <c r="AG407" s="15"/>
      <c r="AH407" s="15"/>
      <c r="AI407" s="15"/>
      <c r="AJ407" s="15"/>
      <c r="AK407" s="15"/>
      <c r="AL407" s="15"/>
      <c r="AM407" s="15"/>
      <c r="AN407" s="15"/>
      <c r="AO407" s="15"/>
      <c r="AP407" s="15"/>
      <c r="AQ407" s="15"/>
      <c r="AR407" s="15"/>
      <c r="AS407" s="15"/>
      <c r="AT407" s="15"/>
      <c r="AU407" s="15"/>
      <c r="AV407" s="15"/>
      <c r="AW407" s="15"/>
      <c r="AX407" s="15"/>
      <c r="AY407" s="15"/>
      <c r="AZ407" s="15"/>
      <c r="BA407" s="3"/>
      <c r="BB407" s="3"/>
      <c r="BC407" s="3"/>
      <c r="BD407" s="1"/>
      <c r="BE407" s="9"/>
      <c r="BF407" s="9"/>
      <c r="BG407" s="9"/>
      <c r="BH407" s="9"/>
      <c r="BI407" s="9"/>
      <c r="BJ407" s="9"/>
      <c r="BK407" s="9"/>
      <c r="BL407" s="9"/>
      <c r="BM407" s="9"/>
      <c r="BN407" s="9"/>
      <c r="BO407" s="9"/>
      <c r="BP407" s="9"/>
      <c r="BQ407" s="9"/>
      <c r="BR407" s="9"/>
      <c r="BS407" s="9"/>
    </row>
    <row r="408" spans="1:71">
      <c r="A408">
        <v>-15</v>
      </c>
      <c r="B408">
        <v>15</v>
      </c>
      <c r="C408" s="1">
        <v>1.9670000000000001</v>
      </c>
      <c r="D408" s="228">
        <f t="shared" si="41"/>
        <v>0.54577777777777781</v>
      </c>
      <c r="F408" s="3"/>
      <c r="G408" s="3"/>
      <c r="H408" s="6"/>
      <c r="I408" s="6"/>
      <c r="J408" s="6"/>
      <c r="K408" s="6"/>
      <c r="L408" s="4"/>
      <c r="M408" s="4"/>
      <c r="N408" s="4"/>
      <c r="O408" s="15"/>
      <c r="P408" s="15"/>
      <c r="Q408" s="15"/>
      <c r="R408" s="15"/>
      <c r="S408" s="15"/>
      <c r="T408" s="15"/>
      <c r="U408" s="15"/>
      <c r="V408" s="15"/>
      <c r="W408" s="15"/>
      <c r="X408" s="15"/>
      <c r="Y408" s="15"/>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3"/>
      <c r="BB408" s="3"/>
      <c r="BC408" s="3"/>
      <c r="BD408" s="1"/>
      <c r="BE408" s="9"/>
      <c r="BF408" s="9"/>
      <c r="BG408" s="9"/>
      <c r="BH408" s="9"/>
      <c r="BI408" s="9"/>
      <c r="BJ408" s="9"/>
      <c r="BK408" s="9"/>
      <c r="BL408" s="9"/>
      <c r="BM408" s="9"/>
      <c r="BN408" s="9"/>
      <c r="BO408" s="9"/>
      <c r="BP408" s="9"/>
      <c r="BQ408" s="9"/>
      <c r="BR408" s="9"/>
      <c r="BS408" s="9"/>
    </row>
    <row r="409" spans="1:71">
      <c r="A409">
        <v>-14</v>
      </c>
      <c r="B409">
        <v>15</v>
      </c>
      <c r="C409" s="1">
        <v>1.9714</v>
      </c>
      <c r="D409" s="228">
        <f t="shared" si="41"/>
        <v>0.54700000000000004</v>
      </c>
      <c r="F409" s="3"/>
      <c r="G409" s="3"/>
      <c r="H409" s="6"/>
      <c r="I409" s="6"/>
      <c r="J409" s="6"/>
      <c r="K409" s="6"/>
      <c r="L409" s="4"/>
      <c r="M409" s="4"/>
      <c r="N409" s="4"/>
      <c r="O409" s="15"/>
      <c r="P409" s="15"/>
      <c r="Q409" s="15"/>
      <c r="R409" s="15"/>
      <c r="S409" s="15"/>
      <c r="T409" s="15"/>
      <c r="U409" s="15"/>
      <c r="V409" s="15"/>
      <c r="W409" s="15"/>
      <c r="X409" s="15"/>
      <c r="Y409" s="15"/>
      <c r="Z409" s="15"/>
      <c r="AA409" s="15"/>
      <c r="AB409" s="15"/>
      <c r="AC409" s="15"/>
      <c r="AD409" s="15"/>
      <c r="AE409" s="15"/>
      <c r="AF409" s="15"/>
      <c r="AG409" s="15"/>
      <c r="AH409" s="15"/>
      <c r="AI409" s="15"/>
      <c r="AJ409" s="15"/>
      <c r="AK409" s="15"/>
      <c r="AL409" s="15"/>
      <c r="AM409" s="15"/>
      <c r="AN409" s="15"/>
      <c r="AO409" s="15"/>
      <c r="AP409" s="15"/>
      <c r="AQ409" s="15"/>
      <c r="AR409" s="15"/>
      <c r="AS409" s="15"/>
      <c r="AT409" s="15"/>
      <c r="AU409" s="15"/>
      <c r="AV409" s="15"/>
      <c r="AW409" s="15"/>
      <c r="AX409" s="15"/>
      <c r="AY409" s="15"/>
      <c r="AZ409" s="15"/>
      <c r="BA409" s="3"/>
      <c r="BB409" s="3"/>
      <c r="BC409" s="3"/>
      <c r="BD409" s="1"/>
      <c r="BE409" s="9"/>
      <c r="BF409" s="9"/>
      <c r="BG409" s="9"/>
      <c r="BH409" s="9"/>
      <c r="BI409" s="9"/>
      <c r="BJ409" s="9"/>
      <c r="BK409" s="9"/>
      <c r="BL409" s="9"/>
      <c r="BM409" s="9"/>
      <c r="BN409" s="9"/>
      <c r="BO409" s="9"/>
      <c r="BP409" s="9"/>
      <c r="BQ409" s="9"/>
      <c r="BR409" s="9"/>
      <c r="BS409" s="9"/>
    </row>
    <row r="410" spans="1:71">
      <c r="A410">
        <v>-13</v>
      </c>
      <c r="B410">
        <v>15</v>
      </c>
      <c r="C410" s="1">
        <v>1.9758</v>
      </c>
      <c r="D410" s="228">
        <f t="shared" si="41"/>
        <v>0.54822222222222228</v>
      </c>
      <c r="F410" s="3"/>
      <c r="G410" s="3"/>
      <c r="H410" s="6"/>
      <c r="I410" s="6"/>
      <c r="J410" s="6"/>
      <c r="K410" s="6"/>
      <c r="L410" s="4"/>
      <c r="M410" s="4"/>
      <c r="N410" s="4"/>
      <c r="O410" s="15"/>
      <c r="P410" s="15"/>
      <c r="Q410" s="15"/>
      <c r="R410" s="15"/>
      <c r="S410" s="15"/>
      <c r="T410" s="15"/>
      <c r="U410" s="15"/>
      <c r="V410" s="15"/>
      <c r="W410" s="15"/>
      <c r="X410" s="15"/>
      <c r="Y410" s="15"/>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3"/>
      <c r="BB410" s="3"/>
      <c r="BC410" s="3"/>
      <c r="BD410" s="1"/>
      <c r="BE410" s="9"/>
      <c r="BF410" s="9"/>
      <c r="BG410" s="9"/>
      <c r="BH410" s="9"/>
      <c r="BI410" s="9"/>
      <c r="BJ410" s="9"/>
      <c r="BK410" s="9"/>
      <c r="BL410" s="9"/>
      <c r="BM410" s="9"/>
      <c r="BN410" s="9"/>
      <c r="BO410" s="9"/>
      <c r="BP410" s="9"/>
      <c r="BQ410" s="9"/>
      <c r="BR410" s="9"/>
      <c r="BS410" s="9"/>
    </row>
    <row r="411" spans="1:71">
      <c r="A411">
        <v>-12</v>
      </c>
      <c r="B411">
        <v>15</v>
      </c>
      <c r="C411" s="1">
        <v>1.9802</v>
      </c>
      <c r="D411" s="228">
        <f t="shared" si="41"/>
        <v>0.54944444444444451</v>
      </c>
      <c r="F411" s="3"/>
      <c r="G411" s="3"/>
      <c r="H411" s="6"/>
      <c r="I411" s="6"/>
      <c r="J411" s="6"/>
      <c r="K411" s="6"/>
      <c r="L411" s="4"/>
      <c r="M411" s="4"/>
      <c r="N411" s="4"/>
      <c r="O411" s="15"/>
      <c r="P411" s="15"/>
      <c r="Q411" s="15"/>
      <c r="R411" s="15"/>
      <c r="S411" s="15"/>
      <c r="T411" s="15"/>
      <c r="U411" s="15"/>
      <c r="V411" s="15"/>
      <c r="W411" s="15"/>
      <c r="X411" s="15"/>
      <c r="Y411" s="15"/>
      <c r="Z411" s="15"/>
      <c r="AA411" s="15"/>
      <c r="AB411" s="15"/>
      <c r="AC411" s="15"/>
      <c r="AD411" s="15"/>
      <c r="AE411" s="15"/>
      <c r="AF411" s="15"/>
      <c r="AG411" s="15"/>
      <c r="AH411" s="15"/>
      <c r="AI411" s="15"/>
      <c r="AJ411" s="15"/>
      <c r="AK411" s="15"/>
      <c r="AL411" s="15"/>
      <c r="AM411" s="15"/>
      <c r="AN411" s="15"/>
      <c r="AO411" s="15"/>
      <c r="AP411" s="15"/>
      <c r="AQ411" s="15"/>
      <c r="AR411" s="15"/>
      <c r="AS411" s="15"/>
      <c r="AT411" s="15"/>
      <c r="AU411" s="15"/>
      <c r="AV411" s="15"/>
      <c r="AW411" s="15"/>
      <c r="AX411" s="15"/>
      <c r="AY411" s="15"/>
      <c r="AZ411" s="15"/>
      <c r="BA411" s="3"/>
      <c r="BB411" s="3"/>
      <c r="BC411" s="3"/>
      <c r="BD411" s="1"/>
      <c r="BE411" s="9"/>
      <c r="BF411" s="9"/>
      <c r="BG411" s="9"/>
      <c r="BH411" s="9"/>
      <c r="BI411" s="9"/>
      <c r="BJ411" s="9"/>
      <c r="BK411" s="9"/>
      <c r="BL411" s="9"/>
      <c r="BM411" s="9"/>
      <c r="BN411" s="9"/>
      <c r="BO411" s="9"/>
      <c r="BP411" s="9"/>
      <c r="BQ411" s="9"/>
      <c r="BR411" s="9"/>
      <c r="BS411" s="9"/>
    </row>
    <row r="412" spans="1:71">
      <c r="A412">
        <v>-11</v>
      </c>
      <c r="B412">
        <v>15</v>
      </c>
      <c r="C412" s="1">
        <v>1.9845999999999999</v>
      </c>
      <c r="D412" s="228">
        <f t="shared" si="41"/>
        <v>0.55066666666666664</v>
      </c>
      <c r="F412" s="3"/>
      <c r="G412" s="3"/>
      <c r="H412" s="6"/>
      <c r="I412" s="6"/>
      <c r="J412" s="6"/>
      <c r="K412" s="6"/>
      <c r="L412" s="4"/>
      <c r="M412" s="4"/>
      <c r="N412" s="4"/>
      <c r="O412" s="15"/>
      <c r="P412" s="15"/>
      <c r="Q412" s="15"/>
      <c r="R412" s="15"/>
      <c r="S412" s="15"/>
      <c r="T412" s="15"/>
      <c r="U412" s="15"/>
      <c r="V412" s="15"/>
      <c r="W412" s="15"/>
      <c r="X412" s="15"/>
      <c r="Y412" s="15"/>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3"/>
      <c r="BB412" s="3"/>
      <c r="BC412" s="3"/>
      <c r="BD412" s="1"/>
      <c r="BE412" s="9"/>
      <c r="BF412" s="9"/>
      <c r="BG412" s="9"/>
      <c r="BH412" s="9"/>
      <c r="BI412" s="9"/>
      <c r="BJ412" s="9"/>
      <c r="BK412" s="9"/>
      <c r="BL412" s="9"/>
      <c r="BM412" s="9"/>
      <c r="BN412" s="9"/>
      <c r="BO412" s="9"/>
      <c r="BP412" s="9"/>
      <c r="BQ412" s="9"/>
      <c r="BR412" s="9"/>
      <c r="BS412" s="9"/>
    </row>
    <row r="413" spans="1:71">
      <c r="A413">
        <v>-10</v>
      </c>
      <c r="B413">
        <v>15</v>
      </c>
      <c r="C413" s="1">
        <v>1.9890000000000001</v>
      </c>
      <c r="D413" s="228">
        <f t="shared" si="41"/>
        <v>0.55188888888888898</v>
      </c>
      <c r="F413" s="3"/>
      <c r="G413" s="3"/>
      <c r="H413" s="6"/>
      <c r="I413" s="6"/>
      <c r="J413" s="6"/>
      <c r="K413" s="6"/>
      <c r="L413" s="4"/>
      <c r="M413" s="4"/>
      <c r="N413" s="4"/>
      <c r="O413" s="15"/>
      <c r="P413" s="15"/>
      <c r="Q413" s="15"/>
      <c r="R413" s="15"/>
      <c r="S413" s="15"/>
      <c r="T413" s="15"/>
      <c r="U413" s="15"/>
      <c r="V413" s="15"/>
      <c r="W413" s="15"/>
      <c r="X413" s="15"/>
      <c r="Y413" s="15"/>
      <c r="Z413" s="15"/>
      <c r="AA413" s="15"/>
      <c r="AB413" s="15"/>
      <c r="AC413" s="15"/>
      <c r="AD413" s="15"/>
      <c r="AE413" s="15"/>
      <c r="AF413" s="15"/>
      <c r="AG413" s="15"/>
      <c r="AH413" s="15"/>
      <c r="AI413" s="15"/>
      <c r="AJ413" s="15"/>
      <c r="AK413" s="15"/>
      <c r="AL413" s="15"/>
      <c r="AM413" s="15"/>
      <c r="AN413" s="15"/>
      <c r="AO413" s="15"/>
      <c r="AP413" s="15"/>
      <c r="AQ413" s="15"/>
      <c r="AR413" s="15"/>
      <c r="AS413" s="15"/>
      <c r="AT413" s="15"/>
      <c r="AU413" s="15"/>
      <c r="AV413" s="15"/>
      <c r="AW413" s="15"/>
      <c r="AX413" s="15"/>
      <c r="AY413" s="15"/>
      <c r="AZ413" s="15"/>
      <c r="BA413" s="3"/>
      <c r="BB413" s="3"/>
      <c r="BC413" s="3"/>
      <c r="BD413" s="1"/>
      <c r="BE413" s="9"/>
      <c r="BF413" s="9"/>
      <c r="BG413" s="9"/>
      <c r="BH413" s="9"/>
      <c r="BI413" s="9"/>
      <c r="BJ413" s="9"/>
      <c r="BK413" s="9"/>
      <c r="BL413" s="9"/>
      <c r="BM413" s="9"/>
      <c r="BN413" s="9"/>
      <c r="BO413" s="9"/>
      <c r="BP413" s="9"/>
      <c r="BQ413" s="9"/>
      <c r="BR413" s="9"/>
      <c r="BS413" s="9"/>
    </row>
    <row r="414" spans="1:71">
      <c r="A414">
        <v>-9</v>
      </c>
      <c r="B414">
        <v>15</v>
      </c>
      <c r="C414" s="1">
        <v>1.9950000000000001</v>
      </c>
      <c r="D414" s="228">
        <f t="shared" si="41"/>
        <v>0.55333333333333334</v>
      </c>
      <c r="F414" s="3"/>
      <c r="G414" s="3"/>
      <c r="H414" s="6"/>
      <c r="I414" s="6"/>
      <c r="J414" s="6"/>
      <c r="K414" s="6"/>
      <c r="L414" s="4"/>
      <c r="M414" s="4"/>
      <c r="N414" s="4"/>
      <c r="O414" s="15"/>
      <c r="P414" s="15"/>
      <c r="Q414" s="15"/>
      <c r="R414" s="15"/>
      <c r="S414" s="15"/>
      <c r="T414" s="15"/>
      <c r="U414" s="15"/>
      <c r="V414" s="15"/>
      <c r="W414" s="15"/>
      <c r="X414" s="15"/>
      <c r="Y414" s="15"/>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3"/>
      <c r="BB414" s="3"/>
      <c r="BC414" s="3"/>
      <c r="BD414" s="1"/>
      <c r="BE414" s="9"/>
      <c r="BF414" s="9"/>
      <c r="BG414" s="9"/>
      <c r="BH414" s="9"/>
      <c r="BI414" s="9"/>
      <c r="BJ414" s="9"/>
      <c r="BK414" s="9"/>
      <c r="BL414" s="9"/>
      <c r="BM414" s="9"/>
      <c r="BN414" s="9"/>
      <c r="BO414" s="9"/>
      <c r="BP414" s="9"/>
      <c r="BQ414" s="9"/>
      <c r="BR414" s="9"/>
      <c r="BS414" s="9"/>
    </row>
    <row r="415" spans="1:71">
      <c r="A415">
        <v>-8</v>
      </c>
      <c r="B415">
        <v>15</v>
      </c>
      <c r="C415" s="1">
        <v>2.0009999999999999</v>
      </c>
      <c r="D415" s="228">
        <f t="shared" si="41"/>
        <v>0.55500000000000005</v>
      </c>
      <c r="F415" s="3"/>
      <c r="G415" s="3"/>
      <c r="H415" s="6"/>
      <c r="I415" s="6"/>
      <c r="J415" s="6"/>
      <c r="K415" s="6"/>
      <c r="L415" s="4"/>
      <c r="M415" s="4"/>
      <c r="N415" s="4"/>
      <c r="O415" s="15"/>
      <c r="P415" s="15"/>
      <c r="Q415" s="15"/>
      <c r="R415" s="15"/>
      <c r="S415" s="15"/>
      <c r="T415" s="15"/>
      <c r="U415" s="15"/>
      <c r="V415" s="15"/>
      <c r="W415" s="15"/>
      <c r="X415" s="15"/>
      <c r="Y415" s="15"/>
      <c r="Z415" s="15"/>
      <c r="AA415" s="15"/>
      <c r="AB415" s="15"/>
      <c r="AC415" s="15"/>
      <c r="AD415" s="15"/>
      <c r="AE415" s="15"/>
      <c r="AF415" s="15"/>
      <c r="AG415" s="15"/>
      <c r="AH415" s="15"/>
      <c r="AI415" s="15"/>
      <c r="AJ415" s="15"/>
      <c r="AK415" s="15"/>
      <c r="AL415" s="15"/>
      <c r="AM415" s="15"/>
      <c r="AN415" s="15"/>
      <c r="AO415" s="15"/>
      <c r="AP415" s="15"/>
      <c r="AQ415" s="15"/>
      <c r="AR415" s="15"/>
      <c r="AS415" s="15"/>
      <c r="AT415" s="15"/>
      <c r="AU415" s="15"/>
      <c r="AV415" s="15"/>
      <c r="AW415" s="15"/>
      <c r="AX415" s="15"/>
      <c r="AY415" s="15"/>
      <c r="AZ415" s="15"/>
      <c r="BA415" s="3"/>
      <c r="BB415" s="3"/>
      <c r="BC415" s="3"/>
      <c r="BD415" s="1"/>
      <c r="BE415" s="9"/>
      <c r="BF415" s="9"/>
      <c r="BG415" s="9"/>
      <c r="BH415" s="9"/>
      <c r="BI415" s="9"/>
      <c r="BJ415" s="9"/>
      <c r="BK415" s="9"/>
      <c r="BL415" s="9"/>
      <c r="BM415" s="9"/>
      <c r="BN415" s="9"/>
      <c r="BO415" s="9"/>
      <c r="BP415" s="9"/>
      <c r="BQ415" s="9"/>
      <c r="BR415" s="9"/>
      <c r="BS415" s="9"/>
    </row>
    <row r="416" spans="1:71">
      <c r="A416">
        <v>-7</v>
      </c>
      <c r="B416">
        <v>15</v>
      </c>
      <c r="C416" s="1">
        <v>2.0070000000000001</v>
      </c>
      <c r="D416" s="228">
        <f t="shared" si="41"/>
        <v>0.55666666666666664</v>
      </c>
      <c r="F416" s="3"/>
      <c r="G416" s="3"/>
      <c r="H416" s="6"/>
      <c r="I416" s="6"/>
      <c r="J416" s="6"/>
      <c r="K416" s="6"/>
      <c r="L416" s="4"/>
      <c r="M416" s="4"/>
      <c r="N416" s="4"/>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3"/>
      <c r="BB416" s="3"/>
      <c r="BC416" s="3"/>
      <c r="BD416" s="1"/>
      <c r="BE416" s="9"/>
      <c r="BF416" s="9"/>
      <c r="BG416" s="9"/>
      <c r="BH416" s="9"/>
      <c r="BI416" s="9"/>
      <c r="BJ416" s="9"/>
      <c r="BK416" s="9"/>
      <c r="BL416" s="9"/>
      <c r="BM416" s="9"/>
      <c r="BN416" s="9"/>
      <c r="BO416" s="9"/>
      <c r="BP416" s="9"/>
      <c r="BQ416" s="9"/>
      <c r="BR416" s="9"/>
      <c r="BS416" s="9"/>
    </row>
    <row r="417" spans="1:71">
      <c r="A417">
        <v>-6</v>
      </c>
      <c r="B417">
        <v>15</v>
      </c>
      <c r="C417" s="1">
        <v>2.0129999999999999</v>
      </c>
      <c r="D417" s="228">
        <f t="shared" si="41"/>
        <v>0.55833333333333335</v>
      </c>
      <c r="F417" s="3"/>
      <c r="G417" s="3"/>
      <c r="H417" s="6"/>
      <c r="I417" s="6"/>
      <c r="J417" s="6"/>
      <c r="K417" s="6"/>
      <c r="L417" s="4"/>
      <c r="M417" s="4"/>
      <c r="N417" s="4"/>
      <c r="O417" s="15"/>
      <c r="P417" s="15"/>
      <c r="Q417" s="15"/>
      <c r="R417" s="15"/>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3"/>
      <c r="BB417" s="3"/>
      <c r="BC417" s="3"/>
      <c r="BD417" s="1"/>
      <c r="BE417" s="9"/>
      <c r="BF417" s="9"/>
      <c r="BG417" s="9"/>
      <c r="BH417" s="9"/>
      <c r="BI417" s="9"/>
      <c r="BJ417" s="9"/>
      <c r="BK417" s="9"/>
      <c r="BL417" s="9"/>
      <c r="BM417" s="9"/>
      <c r="BN417" s="9"/>
      <c r="BO417" s="9"/>
      <c r="BP417" s="9"/>
      <c r="BQ417" s="9"/>
      <c r="BR417" s="9"/>
      <c r="BS417" s="9"/>
    </row>
    <row r="418" spans="1:71">
      <c r="A418">
        <v>-5</v>
      </c>
      <c r="B418">
        <v>15</v>
      </c>
      <c r="C418" s="1">
        <v>2.0190000000000001</v>
      </c>
      <c r="D418" s="228">
        <f t="shared" si="41"/>
        <v>0.56000000000000005</v>
      </c>
      <c r="F418" s="3"/>
      <c r="G418" s="3"/>
      <c r="H418" s="6"/>
      <c r="I418" s="6"/>
      <c r="J418" s="6"/>
      <c r="K418" s="6"/>
      <c r="L418" s="4"/>
      <c r="M418" s="4"/>
      <c r="N418" s="4"/>
      <c r="O418" s="15"/>
      <c r="P418" s="15"/>
      <c r="Q418" s="15"/>
      <c r="R418" s="15"/>
      <c r="S418" s="15"/>
      <c r="T418" s="15"/>
      <c r="U418" s="15"/>
      <c r="V418" s="15"/>
      <c r="W418" s="15"/>
      <c r="X418" s="15"/>
      <c r="Y418" s="15"/>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3"/>
      <c r="BB418" s="3"/>
      <c r="BC418" s="3"/>
      <c r="BD418" s="1"/>
      <c r="BE418" s="9"/>
      <c r="BF418" s="9"/>
      <c r="BG418" s="9"/>
      <c r="BH418" s="9"/>
      <c r="BI418" s="9"/>
      <c r="BJ418" s="9"/>
      <c r="BK418" s="9"/>
      <c r="BL418" s="9"/>
      <c r="BM418" s="9"/>
      <c r="BN418" s="9"/>
      <c r="BO418" s="9"/>
      <c r="BP418" s="9"/>
      <c r="BQ418" s="9"/>
      <c r="BR418" s="9"/>
      <c r="BS418" s="9"/>
    </row>
    <row r="419" spans="1:71">
      <c r="A419">
        <v>-4</v>
      </c>
      <c r="B419">
        <v>15</v>
      </c>
      <c r="C419" s="1">
        <v>2.0249999999999999</v>
      </c>
      <c r="D419" s="228">
        <f t="shared" si="41"/>
        <v>0.56166666666666676</v>
      </c>
      <c r="F419" s="3"/>
      <c r="G419" s="3"/>
      <c r="H419" s="6"/>
      <c r="I419" s="6"/>
      <c r="J419" s="6"/>
      <c r="K419" s="6"/>
      <c r="L419" s="4"/>
      <c r="M419" s="4"/>
      <c r="N419" s="4"/>
      <c r="O419" s="15"/>
      <c r="P419" s="15"/>
      <c r="Q419" s="15"/>
      <c r="R419" s="15"/>
      <c r="S419" s="15"/>
      <c r="T419" s="15"/>
      <c r="U419" s="15"/>
      <c r="V419" s="15"/>
      <c r="W419" s="15"/>
      <c r="X419" s="15"/>
      <c r="Y419" s="15"/>
      <c r="Z419" s="15"/>
      <c r="AA419" s="15"/>
      <c r="AB419" s="15"/>
      <c r="AC419" s="15"/>
      <c r="AD419" s="15"/>
      <c r="AE419" s="15"/>
      <c r="AF419" s="15"/>
      <c r="AG419" s="15"/>
      <c r="AH419" s="15"/>
      <c r="AI419" s="15"/>
      <c r="AJ419" s="15"/>
      <c r="AK419" s="15"/>
      <c r="AL419" s="15"/>
      <c r="AM419" s="15"/>
      <c r="AN419" s="15"/>
      <c r="AO419" s="15"/>
      <c r="AP419" s="15"/>
      <c r="AQ419" s="15"/>
      <c r="AR419" s="15"/>
      <c r="AS419" s="15"/>
      <c r="AT419" s="15"/>
      <c r="AU419" s="15"/>
      <c r="AV419" s="15"/>
      <c r="AW419" s="15"/>
      <c r="AX419" s="15"/>
      <c r="AY419" s="15"/>
      <c r="AZ419" s="15"/>
      <c r="BA419" s="3"/>
      <c r="BB419" s="3"/>
      <c r="BC419" s="3"/>
      <c r="BD419" s="1"/>
      <c r="BE419" s="9"/>
      <c r="BF419" s="9"/>
      <c r="BG419" s="9"/>
      <c r="BH419" s="9"/>
      <c r="BI419" s="9"/>
      <c r="BJ419" s="9"/>
      <c r="BK419" s="9"/>
      <c r="BL419" s="9"/>
      <c r="BM419" s="9"/>
      <c r="BN419" s="9"/>
      <c r="BO419" s="9"/>
      <c r="BP419" s="9"/>
      <c r="BQ419" s="9"/>
      <c r="BR419" s="9"/>
      <c r="BS419" s="9"/>
    </row>
    <row r="420" spans="1:71">
      <c r="A420">
        <v>-3</v>
      </c>
      <c r="B420">
        <v>15</v>
      </c>
      <c r="C420" s="1">
        <v>2.0310000000000001</v>
      </c>
      <c r="D420" s="228">
        <f t="shared" si="41"/>
        <v>0.56333333333333335</v>
      </c>
      <c r="F420" s="3"/>
      <c r="G420" s="3"/>
      <c r="H420" s="6"/>
      <c r="I420" s="6"/>
      <c r="J420" s="6"/>
      <c r="K420" s="6"/>
      <c r="L420" s="4"/>
      <c r="M420" s="4"/>
      <c r="N420" s="4"/>
      <c r="O420" s="15"/>
      <c r="P420" s="15"/>
      <c r="Q420" s="15"/>
      <c r="R420" s="15"/>
      <c r="S420" s="15"/>
      <c r="T420" s="15"/>
      <c r="U420" s="15"/>
      <c r="V420" s="15"/>
      <c r="W420" s="15"/>
      <c r="X420" s="15"/>
      <c r="Y420" s="15"/>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3"/>
      <c r="BB420" s="3"/>
      <c r="BC420" s="3"/>
      <c r="BD420" s="1"/>
      <c r="BE420" s="9"/>
      <c r="BF420" s="9"/>
      <c r="BG420" s="9"/>
      <c r="BH420" s="9"/>
      <c r="BI420" s="9"/>
      <c r="BJ420" s="9"/>
      <c r="BK420" s="9"/>
      <c r="BL420" s="9"/>
      <c r="BM420" s="9"/>
      <c r="BN420" s="9"/>
      <c r="BO420" s="9"/>
      <c r="BP420" s="9"/>
      <c r="BQ420" s="9"/>
      <c r="BR420" s="9"/>
      <c r="BS420" s="9"/>
    </row>
    <row r="421" spans="1:71">
      <c r="A421">
        <v>-2</v>
      </c>
      <c r="B421">
        <v>15</v>
      </c>
      <c r="C421" s="1">
        <v>2.0369999999999999</v>
      </c>
      <c r="D421" s="228">
        <f t="shared" si="41"/>
        <v>0.56499999999999995</v>
      </c>
      <c r="F421" s="3"/>
      <c r="G421" s="3"/>
      <c r="H421" s="6"/>
      <c r="I421" s="6"/>
      <c r="J421" s="6"/>
      <c r="K421" s="6"/>
      <c r="L421" s="4"/>
      <c r="M421" s="4"/>
      <c r="N421" s="4"/>
      <c r="O421" s="15"/>
      <c r="P421" s="15"/>
      <c r="Q421" s="15"/>
      <c r="R421" s="15"/>
      <c r="S421" s="15"/>
      <c r="T421" s="15"/>
      <c r="U421" s="15"/>
      <c r="V421" s="15"/>
      <c r="W421" s="15"/>
      <c r="X421" s="15"/>
      <c r="Y421" s="15"/>
      <c r="Z421" s="15"/>
      <c r="AA421" s="15"/>
      <c r="AB421" s="15"/>
      <c r="AC421" s="15"/>
      <c r="AD421" s="15"/>
      <c r="AE421" s="15"/>
      <c r="AF421" s="15"/>
      <c r="AG421" s="15"/>
      <c r="AH421" s="15"/>
      <c r="AI421" s="15"/>
      <c r="AJ421" s="15"/>
      <c r="AK421" s="15"/>
      <c r="AL421" s="15"/>
      <c r="AM421" s="15"/>
      <c r="AN421" s="15"/>
      <c r="AO421" s="15"/>
      <c r="AP421" s="15"/>
      <c r="AQ421" s="15"/>
      <c r="AR421" s="15"/>
      <c r="AS421" s="15"/>
      <c r="AT421" s="15"/>
      <c r="AU421" s="15"/>
      <c r="AV421" s="15"/>
      <c r="AW421" s="15"/>
      <c r="AX421" s="15"/>
      <c r="AY421" s="15"/>
      <c r="AZ421" s="15"/>
      <c r="BA421" s="3"/>
      <c r="BB421" s="3"/>
      <c r="BC421" s="3"/>
      <c r="BD421" s="1"/>
      <c r="BE421" s="9"/>
      <c r="BF421" s="9"/>
      <c r="BG421" s="9"/>
      <c r="BH421" s="9"/>
      <c r="BI421" s="9"/>
      <c r="BJ421" s="9"/>
      <c r="BK421" s="9"/>
      <c r="BL421" s="9"/>
      <c r="BM421" s="9"/>
      <c r="BN421" s="9"/>
      <c r="BO421" s="9"/>
      <c r="BP421" s="9"/>
      <c r="BQ421" s="9"/>
      <c r="BR421" s="9"/>
      <c r="BS421" s="9"/>
    </row>
    <row r="422" spans="1:71">
      <c r="A422">
        <v>-1</v>
      </c>
      <c r="B422">
        <v>15</v>
      </c>
      <c r="C422" s="1">
        <v>2.0430000000000001</v>
      </c>
      <c r="D422" s="228">
        <f t="shared" si="41"/>
        <v>0.56666666666666665</v>
      </c>
      <c r="F422" s="3"/>
      <c r="G422" s="3"/>
      <c r="H422" s="6"/>
      <c r="I422" s="6"/>
      <c r="J422" s="6"/>
      <c r="K422" s="6"/>
      <c r="L422" s="4"/>
      <c r="M422" s="4"/>
      <c r="N422" s="4"/>
      <c r="O422" s="15"/>
      <c r="P422" s="15"/>
      <c r="Q422" s="15"/>
      <c r="R422" s="15"/>
      <c r="S422" s="15"/>
      <c r="T422" s="15"/>
      <c r="U422" s="15"/>
      <c r="V422" s="15"/>
      <c r="W422" s="15"/>
      <c r="X422" s="15"/>
      <c r="Y422" s="15"/>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3"/>
      <c r="BB422" s="3"/>
      <c r="BC422" s="3"/>
      <c r="BD422" s="1"/>
      <c r="BE422" s="9"/>
      <c r="BF422" s="9"/>
      <c r="BG422" s="9"/>
      <c r="BH422" s="9"/>
      <c r="BI422" s="9"/>
      <c r="BJ422" s="9"/>
      <c r="BK422" s="9"/>
      <c r="BL422" s="9"/>
      <c r="BM422" s="9"/>
      <c r="BN422" s="9"/>
      <c r="BO422" s="9"/>
      <c r="BP422" s="9"/>
      <c r="BQ422" s="9"/>
      <c r="BR422" s="9"/>
      <c r="BS422" s="9"/>
    </row>
    <row r="423" spans="1:71">
      <c r="A423">
        <v>0</v>
      </c>
      <c r="B423">
        <v>15</v>
      </c>
      <c r="C423" s="1">
        <v>2.0489999999999999</v>
      </c>
      <c r="D423" s="228">
        <f t="shared" si="41"/>
        <v>0.56833333333333347</v>
      </c>
      <c r="F423" s="3"/>
      <c r="G423" s="3"/>
      <c r="H423" s="6"/>
      <c r="I423" s="6"/>
      <c r="J423" s="6"/>
      <c r="K423" s="6"/>
      <c r="L423" s="4"/>
      <c r="M423" s="4"/>
      <c r="N423" s="4"/>
      <c r="O423" s="15"/>
      <c r="P423" s="15"/>
      <c r="Q423" s="15"/>
      <c r="R423" s="15"/>
      <c r="S423" s="15"/>
      <c r="T423" s="15"/>
      <c r="U423" s="15"/>
      <c r="V423" s="15"/>
      <c r="W423" s="15"/>
      <c r="X423" s="15"/>
      <c r="Y423" s="15"/>
      <c r="Z423" s="15"/>
      <c r="AA423" s="15"/>
      <c r="AB423" s="15"/>
      <c r="AC423" s="15"/>
      <c r="AD423" s="15"/>
      <c r="AE423" s="15"/>
      <c r="AF423" s="15"/>
      <c r="AG423" s="15"/>
      <c r="AH423" s="15"/>
      <c r="AI423" s="15"/>
      <c r="AJ423" s="15"/>
      <c r="AK423" s="15"/>
      <c r="AL423" s="15"/>
      <c r="AM423" s="15"/>
      <c r="AN423" s="15"/>
      <c r="AO423" s="15"/>
      <c r="AP423" s="15"/>
      <c r="AQ423" s="15"/>
      <c r="AR423" s="15"/>
      <c r="AS423" s="15"/>
      <c r="AT423" s="15"/>
      <c r="AU423" s="15"/>
      <c r="AV423" s="15"/>
      <c r="AW423" s="15"/>
      <c r="AX423" s="15"/>
      <c r="AY423" s="15"/>
      <c r="AZ423" s="15"/>
      <c r="BA423" s="3"/>
      <c r="BB423" s="3"/>
      <c r="BC423" s="3"/>
      <c r="BD423" s="1"/>
      <c r="BE423" s="9"/>
      <c r="BF423" s="9"/>
      <c r="BG423" s="9"/>
      <c r="BH423" s="9"/>
      <c r="BI423" s="9"/>
      <c r="BJ423" s="9"/>
      <c r="BK423" s="9"/>
      <c r="BL423" s="9"/>
      <c r="BM423" s="9"/>
      <c r="BN423" s="9"/>
      <c r="BO423" s="9"/>
      <c r="BP423" s="9"/>
      <c r="BQ423" s="9"/>
      <c r="BR423" s="9"/>
      <c r="BS423" s="9"/>
    </row>
    <row r="424" spans="1:71">
      <c r="A424">
        <v>1</v>
      </c>
      <c r="B424">
        <v>15</v>
      </c>
      <c r="C424" s="1">
        <v>2.0573000000000001</v>
      </c>
      <c r="D424" s="228">
        <f t="shared" si="41"/>
        <v>0.57031944444444449</v>
      </c>
      <c r="F424" s="3"/>
      <c r="G424" s="3"/>
      <c r="H424" s="6"/>
      <c r="I424" s="6"/>
      <c r="J424" s="6"/>
      <c r="K424" s="6"/>
      <c r="L424" s="4"/>
      <c r="M424" s="4"/>
      <c r="N424" s="4"/>
      <c r="O424" s="15"/>
      <c r="P424" s="15"/>
      <c r="Q424" s="15"/>
      <c r="R424" s="15"/>
      <c r="S424" s="15"/>
      <c r="T424" s="15"/>
      <c r="U424" s="15"/>
      <c r="V424" s="15"/>
      <c r="W424" s="15"/>
      <c r="X424" s="15"/>
      <c r="Y424" s="15"/>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3"/>
      <c r="BB424" s="3"/>
      <c r="BC424" s="3"/>
      <c r="BD424" s="1"/>
      <c r="BE424" s="9"/>
      <c r="BF424" s="9"/>
      <c r="BG424" s="9"/>
      <c r="BH424" s="9"/>
      <c r="BI424" s="9"/>
      <c r="BJ424" s="9"/>
      <c r="BK424" s="9"/>
      <c r="BL424" s="9"/>
      <c r="BM424" s="9"/>
      <c r="BN424" s="9"/>
      <c r="BO424" s="9"/>
      <c r="BP424" s="9"/>
      <c r="BQ424" s="9"/>
      <c r="BR424" s="9"/>
      <c r="BS424" s="9"/>
    </row>
    <row r="425" spans="1:71">
      <c r="A425">
        <v>2</v>
      </c>
      <c r="B425">
        <v>15</v>
      </c>
      <c r="C425" s="1">
        <v>2.0655999999999999</v>
      </c>
      <c r="D425" s="228">
        <f t="shared" si="41"/>
        <v>0.57262499999999994</v>
      </c>
      <c r="F425" s="3"/>
      <c r="G425" s="3"/>
      <c r="H425" s="6"/>
      <c r="I425" s="6"/>
      <c r="J425" s="6"/>
      <c r="K425" s="6"/>
      <c r="L425" s="4"/>
      <c r="M425" s="4"/>
      <c r="N425" s="4"/>
      <c r="O425" s="15"/>
      <c r="P425" s="15"/>
      <c r="Q425" s="15"/>
      <c r="R425" s="15"/>
      <c r="S425" s="15"/>
      <c r="T425" s="15"/>
      <c r="U425" s="15"/>
      <c r="V425" s="15"/>
      <c r="W425" s="15"/>
      <c r="X425" s="15"/>
      <c r="Y425" s="15"/>
      <c r="Z425" s="15"/>
      <c r="AA425" s="15"/>
      <c r="AB425" s="15"/>
      <c r="AC425" s="15"/>
      <c r="AD425" s="15"/>
      <c r="AE425" s="15"/>
      <c r="AF425" s="15"/>
      <c r="AG425" s="15"/>
      <c r="AH425" s="15"/>
      <c r="AI425" s="15"/>
      <c r="AJ425" s="15"/>
      <c r="AK425" s="15"/>
      <c r="AL425" s="15"/>
      <c r="AM425" s="15"/>
      <c r="AN425" s="15"/>
      <c r="AO425" s="15"/>
      <c r="AP425" s="15"/>
      <c r="AQ425" s="15"/>
      <c r="AR425" s="15"/>
      <c r="AS425" s="15"/>
      <c r="AT425" s="15"/>
      <c r="AU425" s="15"/>
      <c r="AV425" s="15"/>
      <c r="AW425" s="15"/>
      <c r="AX425" s="15"/>
      <c r="AY425" s="15"/>
      <c r="AZ425" s="15"/>
      <c r="BA425" s="3"/>
      <c r="BB425" s="3"/>
      <c r="BC425" s="3"/>
      <c r="BD425" s="1"/>
      <c r="BE425" s="9"/>
      <c r="BF425" s="9"/>
      <c r="BG425" s="9"/>
      <c r="BH425" s="9"/>
      <c r="BI425" s="9"/>
      <c r="BJ425" s="9"/>
      <c r="BK425" s="9"/>
      <c r="BL425" s="9"/>
      <c r="BM425" s="9"/>
      <c r="BN425" s="9"/>
      <c r="BO425" s="9"/>
      <c r="BP425" s="9"/>
      <c r="BQ425" s="9"/>
      <c r="BR425" s="9"/>
      <c r="BS425" s="9"/>
    </row>
    <row r="426" spans="1:71">
      <c r="A426">
        <v>3</v>
      </c>
      <c r="B426">
        <v>15</v>
      </c>
      <c r="C426" s="1">
        <v>2.0739000000000001</v>
      </c>
      <c r="D426" s="228">
        <f t="shared" si="41"/>
        <v>0.57493055555555561</v>
      </c>
      <c r="F426" s="3"/>
      <c r="G426" s="3"/>
      <c r="H426" s="6"/>
      <c r="I426" s="6"/>
      <c r="J426" s="6"/>
      <c r="K426" s="6"/>
      <c r="L426" s="4"/>
      <c r="M426" s="4"/>
      <c r="N426" s="4"/>
      <c r="O426" s="15"/>
      <c r="P426" s="15"/>
      <c r="Q426" s="15"/>
      <c r="R426" s="15"/>
      <c r="S426" s="15"/>
      <c r="T426" s="15"/>
      <c r="U426" s="15"/>
      <c r="V426" s="15"/>
      <c r="W426" s="15"/>
      <c r="X426" s="15"/>
      <c r="Y426" s="15"/>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3"/>
      <c r="BB426" s="3"/>
      <c r="BC426" s="3"/>
      <c r="BD426" s="1"/>
      <c r="BE426" s="9"/>
      <c r="BF426" s="9"/>
      <c r="BG426" s="9"/>
      <c r="BH426" s="9"/>
      <c r="BI426" s="9"/>
      <c r="BJ426" s="9"/>
      <c r="BK426" s="9"/>
      <c r="BL426" s="9"/>
      <c r="BM426" s="9"/>
      <c r="BN426" s="9"/>
      <c r="BO426" s="9"/>
      <c r="BP426" s="9"/>
      <c r="BQ426" s="9"/>
      <c r="BR426" s="9"/>
      <c r="BS426" s="9"/>
    </row>
    <row r="427" spans="1:71">
      <c r="A427">
        <v>4</v>
      </c>
      <c r="B427">
        <v>15</v>
      </c>
      <c r="C427" s="1">
        <v>2.0821999999999998</v>
      </c>
      <c r="D427" s="228">
        <f t="shared" si="41"/>
        <v>0.57723611111111117</v>
      </c>
      <c r="F427" s="3"/>
      <c r="G427" s="3"/>
      <c r="H427" s="6"/>
      <c r="I427" s="6"/>
      <c r="J427" s="6"/>
      <c r="K427" s="6"/>
      <c r="L427" s="4"/>
      <c r="M427" s="4"/>
      <c r="N427" s="4"/>
      <c r="O427" s="15"/>
      <c r="P427" s="15"/>
      <c r="Q427" s="15"/>
      <c r="R427" s="15"/>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3"/>
      <c r="BB427" s="3"/>
      <c r="BC427" s="3"/>
      <c r="BD427" s="1"/>
      <c r="BE427" s="9"/>
      <c r="BF427" s="9"/>
      <c r="BG427" s="9"/>
      <c r="BH427" s="9"/>
      <c r="BI427" s="9"/>
      <c r="BJ427" s="9"/>
      <c r="BK427" s="9"/>
      <c r="BL427" s="9"/>
      <c r="BM427" s="9"/>
      <c r="BN427" s="9"/>
      <c r="BO427" s="9"/>
      <c r="BP427" s="9"/>
      <c r="BQ427" s="9"/>
      <c r="BR427" s="9"/>
      <c r="BS427" s="9"/>
    </row>
    <row r="428" spans="1:71">
      <c r="A428">
        <v>5</v>
      </c>
      <c r="B428">
        <v>15</v>
      </c>
      <c r="C428" s="1">
        <v>2.0905</v>
      </c>
      <c r="D428" s="228">
        <f t="shared" si="41"/>
        <v>0.57954166666666662</v>
      </c>
      <c r="F428" s="3"/>
      <c r="G428" s="3"/>
      <c r="H428" s="6"/>
      <c r="I428" s="6"/>
      <c r="J428" s="6"/>
      <c r="K428" s="6"/>
      <c r="L428" s="4"/>
      <c r="M428" s="4"/>
      <c r="N428" s="4"/>
      <c r="O428" s="15"/>
      <c r="P428" s="15"/>
      <c r="Q428" s="15"/>
      <c r="R428" s="15"/>
      <c r="S428" s="15"/>
      <c r="T428" s="15"/>
      <c r="U428" s="15"/>
      <c r="V428" s="15"/>
      <c r="W428" s="15"/>
      <c r="X428" s="15"/>
      <c r="Y428" s="15"/>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3"/>
      <c r="BB428" s="3"/>
      <c r="BC428" s="3"/>
      <c r="BD428" s="1"/>
      <c r="BE428" s="9"/>
      <c r="BF428" s="9"/>
      <c r="BG428" s="9"/>
      <c r="BH428" s="9"/>
      <c r="BI428" s="9"/>
      <c r="BJ428" s="9"/>
      <c r="BK428" s="9"/>
      <c r="BL428" s="9"/>
      <c r="BM428" s="9"/>
      <c r="BN428" s="9"/>
      <c r="BO428" s="9"/>
      <c r="BP428" s="9"/>
      <c r="BQ428" s="9"/>
      <c r="BR428" s="9"/>
      <c r="BS428" s="9"/>
    </row>
    <row r="429" spans="1:71">
      <c r="A429">
        <v>6</v>
      </c>
      <c r="B429">
        <v>15</v>
      </c>
      <c r="C429" s="1">
        <v>2.0988000000000002</v>
      </c>
      <c r="D429" s="228">
        <f t="shared" si="41"/>
        <v>0.58184722222222229</v>
      </c>
      <c r="F429" s="3"/>
      <c r="G429" s="3"/>
      <c r="H429" s="6"/>
      <c r="I429" s="6"/>
      <c r="J429" s="6"/>
      <c r="K429" s="6"/>
      <c r="L429" s="4"/>
      <c r="M429" s="4"/>
      <c r="N429" s="4"/>
      <c r="O429" s="15"/>
      <c r="P429" s="15"/>
      <c r="Q429" s="15"/>
      <c r="R429" s="15"/>
      <c r="S429" s="15"/>
      <c r="T429" s="15"/>
      <c r="U429" s="15"/>
      <c r="V429" s="15"/>
      <c r="W429" s="15"/>
      <c r="X429" s="15"/>
      <c r="Y429" s="15"/>
      <c r="Z429" s="15"/>
      <c r="AA429" s="15"/>
      <c r="AB429" s="15"/>
      <c r="AC429" s="15"/>
      <c r="AD429" s="15"/>
      <c r="AE429" s="15"/>
      <c r="AF429" s="15"/>
      <c r="AG429" s="15"/>
      <c r="AH429" s="15"/>
      <c r="AI429" s="15"/>
      <c r="AJ429" s="15"/>
      <c r="AK429" s="15"/>
      <c r="AL429" s="15"/>
      <c r="AM429" s="15"/>
      <c r="AN429" s="15"/>
      <c r="AO429" s="15"/>
      <c r="AP429" s="15"/>
      <c r="AQ429" s="15"/>
      <c r="AR429" s="15"/>
      <c r="AS429" s="15"/>
      <c r="AT429" s="15"/>
      <c r="AU429" s="15"/>
      <c r="AV429" s="15"/>
      <c r="AW429" s="15"/>
      <c r="AX429" s="15"/>
      <c r="AY429" s="15"/>
      <c r="AZ429" s="15"/>
      <c r="BA429" s="3"/>
      <c r="BB429" s="3"/>
      <c r="BC429" s="3"/>
      <c r="BD429" s="1"/>
      <c r="BE429" s="9"/>
      <c r="BF429" s="9"/>
      <c r="BG429" s="9"/>
      <c r="BH429" s="9"/>
      <c r="BI429" s="9"/>
      <c r="BJ429" s="9"/>
      <c r="BK429" s="9"/>
      <c r="BL429" s="9"/>
      <c r="BM429" s="9"/>
      <c r="BN429" s="9"/>
      <c r="BO429" s="9"/>
      <c r="BP429" s="9"/>
      <c r="BQ429" s="9"/>
      <c r="BR429" s="9"/>
      <c r="BS429" s="9"/>
    </row>
    <row r="430" spans="1:71">
      <c r="A430">
        <v>7</v>
      </c>
      <c r="B430">
        <v>15</v>
      </c>
      <c r="C430" s="1">
        <v>2.1071</v>
      </c>
      <c r="D430" s="228">
        <f t="shared" si="41"/>
        <v>0.58415277777777774</v>
      </c>
      <c r="F430" s="3"/>
      <c r="G430" s="3"/>
      <c r="H430" s="6"/>
      <c r="I430" s="6"/>
      <c r="J430" s="6"/>
      <c r="K430" s="6"/>
      <c r="L430" s="4"/>
      <c r="M430" s="4"/>
      <c r="N430" s="4"/>
      <c r="O430" s="15"/>
      <c r="P430" s="15"/>
      <c r="Q430" s="15"/>
      <c r="R430" s="15"/>
      <c r="S430" s="15"/>
      <c r="T430" s="15"/>
      <c r="U430" s="15"/>
      <c r="V430" s="15"/>
      <c r="W430" s="15"/>
      <c r="X430" s="15"/>
      <c r="Y430" s="15"/>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3"/>
      <c r="BB430" s="3"/>
      <c r="BC430" s="3"/>
      <c r="BD430" s="1"/>
      <c r="BE430" s="9"/>
      <c r="BF430" s="9"/>
      <c r="BG430" s="9"/>
      <c r="BH430" s="9"/>
      <c r="BI430" s="9"/>
      <c r="BJ430" s="9"/>
      <c r="BK430" s="9"/>
      <c r="BL430" s="9"/>
      <c r="BM430" s="9"/>
      <c r="BN430" s="9"/>
      <c r="BO430" s="9"/>
      <c r="BP430" s="9"/>
      <c r="BQ430" s="9"/>
      <c r="BR430" s="9"/>
      <c r="BS430" s="9"/>
    </row>
    <row r="431" spans="1:71">
      <c r="A431">
        <v>8</v>
      </c>
      <c r="B431">
        <v>15</v>
      </c>
      <c r="C431" s="1">
        <v>2.1154000000000002</v>
      </c>
      <c r="D431" s="228">
        <f t="shared" si="41"/>
        <v>0.58645833333333341</v>
      </c>
      <c r="F431" s="3"/>
      <c r="G431" s="3"/>
      <c r="H431" s="6"/>
      <c r="I431" s="6"/>
      <c r="J431" s="6"/>
      <c r="K431" s="6"/>
      <c r="L431" s="4"/>
      <c r="M431" s="4"/>
      <c r="N431" s="4"/>
      <c r="O431" s="15"/>
      <c r="P431" s="15"/>
      <c r="Q431" s="15"/>
      <c r="R431" s="15"/>
      <c r="S431" s="15"/>
      <c r="T431" s="15"/>
      <c r="U431" s="15"/>
      <c r="V431" s="15"/>
      <c r="W431" s="15"/>
      <c r="X431" s="15"/>
      <c r="Y431" s="15"/>
      <c r="Z431" s="15"/>
      <c r="AA431" s="15"/>
      <c r="AB431" s="15"/>
      <c r="AC431" s="15"/>
      <c r="AD431" s="15"/>
      <c r="AE431" s="15"/>
      <c r="AF431" s="15"/>
      <c r="AG431" s="15"/>
      <c r="AH431" s="15"/>
      <c r="AI431" s="15"/>
      <c r="AJ431" s="15"/>
      <c r="AK431" s="15"/>
      <c r="AL431" s="15"/>
      <c r="AM431" s="15"/>
      <c r="AN431" s="15"/>
      <c r="AO431" s="15"/>
      <c r="AP431" s="15"/>
      <c r="AQ431" s="15"/>
      <c r="AR431" s="15"/>
      <c r="AS431" s="15"/>
      <c r="AT431" s="15"/>
      <c r="AU431" s="15"/>
      <c r="AV431" s="15"/>
      <c r="AW431" s="15"/>
      <c r="AX431" s="15"/>
      <c r="AY431" s="15"/>
      <c r="AZ431" s="15"/>
      <c r="BA431" s="3"/>
      <c r="BB431" s="3"/>
      <c r="BC431" s="3"/>
      <c r="BD431" s="1"/>
      <c r="BE431" s="9"/>
      <c r="BF431" s="9"/>
      <c r="BG431" s="9"/>
      <c r="BH431" s="9"/>
      <c r="BI431" s="9"/>
      <c r="BJ431" s="9"/>
      <c r="BK431" s="9"/>
      <c r="BL431" s="9"/>
      <c r="BM431" s="9"/>
      <c r="BN431" s="9"/>
      <c r="BO431" s="9"/>
      <c r="BP431" s="9"/>
      <c r="BQ431" s="9"/>
      <c r="BR431" s="9"/>
      <c r="BS431" s="9"/>
    </row>
    <row r="432" spans="1:71">
      <c r="A432">
        <v>9</v>
      </c>
      <c r="B432">
        <v>15</v>
      </c>
      <c r="C432" s="1">
        <v>2.1236999999999999</v>
      </c>
      <c r="D432" s="228">
        <f t="shared" si="41"/>
        <v>0.58876388888888898</v>
      </c>
      <c r="F432" s="3"/>
      <c r="G432" s="3"/>
      <c r="H432" s="6"/>
      <c r="I432" s="6"/>
      <c r="J432" s="6"/>
      <c r="K432" s="6"/>
      <c r="L432" s="4"/>
      <c r="M432" s="4"/>
      <c r="N432" s="4"/>
      <c r="O432" s="15"/>
      <c r="P432" s="15"/>
      <c r="Q432" s="15"/>
      <c r="R432" s="15"/>
      <c r="S432" s="15"/>
      <c r="T432" s="15"/>
      <c r="U432" s="15"/>
      <c r="V432" s="15"/>
      <c r="W432" s="15"/>
      <c r="X432" s="15"/>
      <c r="Y432" s="15"/>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3"/>
      <c r="BB432" s="3"/>
      <c r="BC432" s="3"/>
      <c r="BD432" s="1"/>
      <c r="BE432" s="9"/>
      <c r="BF432" s="9"/>
      <c r="BG432" s="9"/>
      <c r="BH432" s="9"/>
      <c r="BI432" s="9"/>
      <c r="BJ432" s="9"/>
      <c r="BK432" s="9"/>
      <c r="BL432" s="9"/>
      <c r="BM432" s="9"/>
      <c r="BN432" s="9"/>
      <c r="BO432" s="9"/>
      <c r="BP432" s="9"/>
      <c r="BQ432" s="9"/>
      <c r="BR432" s="9"/>
      <c r="BS432" s="9"/>
    </row>
    <row r="433" spans="1:71">
      <c r="A433">
        <v>10</v>
      </c>
      <c r="B433">
        <v>15</v>
      </c>
      <c r="C433" s="1">
        <v>2.1320000000000001</v>
      </c>
      <c r="D433" s="228">
        <f t="shared" si="41"/>
        <v>0.59106944444444443</v>
      </c>
      <c r="F433" s="3"/>
      <c r="G433" s="3"/>
      <c r="H433" s="6"/>
      <c r="I433" s="6"/>
      <c r="J433" s="6"/>
      <c r="K433" s="6"/>
      <c r="L433" s="4"/>
      <c r="M433" s="4"/>
      <c r="N433" s="4"/>
      <c r="O433" s="15"/>
      <c r="P433" s="15"/>
      <c r="Q433" s="15"/>
      <c r="R433" s="15"/>
      <c r="S433" s="15"/>
      <c r="T433" s="15"/>
      <c r="U433" s="15"/>
      <c r="V433" s="15"/>
      <c r="W433" s="15"/>
      <c r="X433" s="15"/>
      <c r="Y433" s="15"/>
      <c r="Z433" s="15"/>
      <c r="AA433" s="15"/>
      <c r="AB433" s="15"/>
      <c r="AC433" s="15"/>
      <c r="AD433" s="15"/>
      <c r="AE433" s="15"/>
      <c r="AF433" s="15"/>
      <c r="AG433" s="15"/>
      <c r="AH433" s="15"/>
      <c r="AI433" s="15"/>
      <c r="AJ433" s="15"/>
      <c r="AK433" s="15"/>
      <c r="AL433" s="15"/>
      <c r="AM433" s="15"/>
      <c r="AN433" s="15"/>
      <c r="AO433" s="15"/>
      <c r="AP433" s="15"/>
      <c r="AQ433" s="15"/>
      <c r="AR433" s="15"/>
      <c r="AS433" s="15"/>
      <c r="AT433" s="15"/>
      <c r="AU433" s="15"/>
      <c r="AV433" s="15"/>
      <c r="AW433" s="15"/>
      <c r="AX433" s="15"/>
      <c r="AY433" s="15"/>
      <c r="AZ433" s="15"/>
      <c r="BA433" s="3"/>
      <c r="BB433" s="3"/>
      <c r="BC433" s="3"/>
      <c r="BD433" s="1"/>
      <c r="BE433" s="9"/>
      <c r="BF433" s="9"/>
      <c r="BG433" s="9"/>
      <c r="BH433" s="9"/>
      <c r="BI433" s="9"/>
      <c r="BJ433" s="9"/>
      <c r="BK433" s="9"/>
      <c r="BL433" s="9"/>
      <c r="BM433" s="9"/>
      <c r="BN433" s="9"/>
      <c r="BO433" s="9"/>
      <c r="BP433" s="9"/>
      <c r="BQ433" s="9"/>
      <c r="BR433" s="9"/>
      <c r="BS433" s="9"/>
    </row>
    <row r="434" spans="1:71">
      <c r="A434">
        <v>11</v>
      </c>
      <c r="B434">
        <v>15</v>
      </c>
      <c r="C434" s="1">
        <v>2.1436000000000002</v>
      </c>
      <c r="D434" s="228">
        <f t="shared" si="41"/>
        <v>0.59383333333333344</v>
      </c>
      <c r="F434" s="3"/>
      <c r="G434" s="3"/>
      <c r="H434" s="6"/>
      <c r="I434" s="6"/>
      <c r="J434" s="6"/>
      <c r="K434" s="6"/>
      <c r="L434" s="4"/>
      <c r="M434" s="4"/>
      <c r="N434" s="4"/>
      <c r="O434" s="15"/>
      <c r="P434" s="15"/>
      <c r="Q434" s="15"/>
      <c r="R434" s="15"/>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3"/>
      <c r="BB434" s="3"/>
      <c r="BC434" s="3"/>
      <c r="BD434" s="1"/>
      <c r="BE434" s="9"/>
      <c r="BF434" s="9"/>
      <c r="BG434" s="9"/>
      <c r="BH434" s="9"/>
      <c r="BI434" s="9"/>
      <c r="BJ434" s="9"/>
      <c r="BK434" s="9"/>
      <c r="BL434" s="9"/>
      <c r="BM434" s="9"/>
      <c r="BN434" s="9"/>
      <c r="BO434" s="9"/>
      <c r="BP434" s="9"/>
      <c r="BQ434" s="9"/>
      <c r="BR434" s="9"/>
      <c r="BS434" s="9"/>
    </row>
    <row r="435" spans="1:71">
      <c r="A435">
        <v>12</v>
      </c>
      <c r="B435">
        <v>15</v>
      </c>
      <c r="C435" s="1">
        <v>2.1551999999999998</v>
      </c>
      <c r="D435" s="228">
        <f t="shared" si="41"/>
        <v>0.59705555555555556</v>
      </c>
      <c r="F435" s="3"/>
      <c r="G435" s="3"/>
      <c r="H435" s="6"/>
      <c r="I435" s="6"/>
      <c r="J435" s="6"/>
      <c r="K435" s="6"/>
      <c r="L435" s="4"/>
      <c r="M435" s="4"/>
      <c r="N435" s="4"/>
      <c r="O435" s="15"/>
      <c r="P435" s="15"/>
      <c r="Q435" s="15"/>
      <c r="R435" s="15"/>
      <c r="S435" s="15"/>
      <c r="T435" s="15"/>
      <c r="U435" s="15"/>
      <c r="V435" s="15"/>
      <c r="W435" s="15"/>
      <c r="X435" s="15"/>
      <c r="Y435" s="15"/>
      <c r="Z435" s="15"/>
      <c r="AA435" s="15"/>
      <c r="AB435" s="15"/>
      <c r="AC435" s="15"/>
      <c r="AD435" s="15"/>
      <c r="AE435" s="15"/>
      <c r="AF435" s="15"/>
      <c r="AG435" s="15"/>
      <c r="AH435" s="15"/>
      <c r="AI435" s="15"/>
      <c r="AJ435" s="15"/>
      <c r="AK435" s="15"/>
      <c r="AL435" s="15"/>
      <c r="AM435" s="15"/>
      <c r="AN435" s="15"/>
      <c r="AO435" s="15"/>
      <c r="AP435" s="15"/>
      <c r="AQ435" s="15"/>
      <c r="AR435" s="15"/>
      <c r="AS435" s="15"/>
      <c r="AT435" s="15"/>
      <c r="AU435" s="15"/>
      <c r="AV435" s="15"/>
      <c r="AW435" s="15"/>
      <c r="AX435" s="15"/>
      <c r="AY435" s="15"/>
      <c r="AZ435" s="15"/>
      <c r="BA435" s="3"/>
      <c r="BB435" s="3"/>
      <c r="BC435" s="3"/>
      <c r="BD435" s="1"/>
      <c r="BE435" s="9"/>
      <c r="BF435" s="9"/>
      <c r="BG435" s="9"/>
      <c r="BH435" s="9"/>
      <c r="BI435" s="9"/>
      <c r="BJ435" s="9"/>
      <c r="BK435" s="9"/>
      <c r="BL435" s="9"/>
      <c r="BM435" s="9"/>
      <c r="BN435" s="9"/>
      <c r="BO435" s="9"/>
      <c r="BP435" s="9"/>
      <c r="BQ435" s="9"/>
      <c r="BR435" s="9"/>
      <c r="BS435" s="9"/>
    </row>
    <row r="436" spans="1:71">
      <c r="A436">
        <v>13</v>
      </c>
      <c r="B436">
        <v>15</v>
      </c>
      <c r="C436" s="1">
        <v>2.1667999999999998</v>
      </c>
      <c r="D436" s="228">
        <f t="shared" si="41"/>
        <v>0.60027777777777769</v>
      </c>
      <c r="F436" s="3"/>
      <c r="G436" s="3"/>
      <c r="H436" s="6"/>
      <c r="I436" s="6"/>
      <c r="J436" s="6"/>
      <c r="K436" s="6"/>
      <c r="L436" s="4"/>
      <c r="M436" s="4"/>
      <c r="N436" s="4"/>
      <c r="O436" s="15"/>
      <c r="P436" s="15"/>
      <c r="Q436" s="15"/>
      <c r="R436" s="15"/>
      <c r="S436" s="15"/>
      <c r="T436" s="15"/>
      <c r="U436" s="15"/>
      <c r="V436" s="15"/>
      <c r="W436" s="15"/>
      <c r="X436" s="15"/>
      <c r="Y436" s="15"/>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3"/>
      <c r="BB436" s="3"/>
      <c r="BC436" s="3"/>
      <c r="BD436" s="1"/>
      <c r="BE436" s="9"/>
      <c r="BF436" s="9"/>
      <c r="BG436" s="9"/>
      <c r="BH436" s="9"/>
      <c r="BI436" s="9"/>
      <c r="BJ436" s="9"/>
      <c r="BK436" s="9"/>
      <c r="BL436" s="9"/>
      <c r="BM436" s="9"/>
      <c r="BN436" s="9"/>
      <c r="BO436" s="9"/>
      <c r="BP436" s="9"/>
      <c r="BQ436" s="9"/>
      <c r="BR436" s="9"/>
      <c r="BS436" s="9"/>
    </row>
    <row r="437" spans="1:71">
      <c r="A437">
        <v>14</v>
      </c>
      <c r="B437">
        <v>15</v>
      </c>
      <c r="C437" s="1">
        <v>2.1783999999999999</v>
      </c>
      <c r="D437" s="228">
        <f t="shared" si="41"/>
        <v>0.60350000000000004</v>
      </c>
      <c r="F437" s="3"/>
      <c r="G437" s="3"/>
      <c r="H437" s="6"/>
      <c r="I437" s="6"/>
      <c r="J437" s="6"/>
      <c r="K437" s="6"/>
      <c r="L437" s="4"/>
      <c r="M437" s="4"/>
      <c r="N437" s="4"/>
      <c r="O437" s="15"/>
      <c r="P437" s="15"/>
      <c r="Q437" s="15"/>
      <c r="R437" s="15"/>
      <c r="S437" s="15"/>
      <c r="T437" s="15"/>
      <c r="U437" s="15"/>
      <c r="V437" s="15"/>
      <c r="W437" s="15"/>
      <c r="X437" s="15"/>
      <c r="Y437" s="15"/>
      <c r="Z437" s="15"/>
      <c r="AA437" s="15"/>
      <c r="AB437" s="15"/>
      <c r="AC437" s="15"/>
      <c r="AD437" s="15"/>
      <c r="AE437" s="15"/>
      <c r="AF437" s="15"/>
      <c r="AG437" s="15"/>
      <c r="AH437" s="15"/>
      <c r="AI437" s="15"/>
      <c r="AJ437" s="15"/>
      <c r="AK437" s="15"/>
      <c r="AL437" s="15"/>
      <c r="AM437" s="15"/>
      <c r="AN437" s="15"/>
      <c r="AO437" s="15"/>
      <c r="AP437" s="15"/>
      <c r="AQ437" s="15"/>
      <c r="AR437" s="15"/>
      <c r="AS437" s="15"/>
      <c r="AT437" s="15"/>
      <c r="AU437" s="15"/>
      <c r="AV437" s="15"/>
      <c r="AW437" s="15"/>
      <c r="AX437" s="15"/>
      <c r="AY437" s="15"/>
      <c r="AZ437" s="15"/>
      <c r="BA437" s="3"/>
      <c r="BB437" s="3"/>
      <c r="BC437" s="3"/>
      <c r="BD437" s="1"/>
      <c r="BE437" s="9"/>
      <c r="BF437" s="9"/>
      <c r="BG437" s="9"/>
      <c r="BH437" s="9"/>
      <c r="BI437" s="9"/>
      <c r="BJ437" s="9"/>
      <c r="BK437" s="9"/>
      <c r="BL437" s="9"/>
      <c r="BM437" s="9"/>
      <c r="BN437" s="9"/>
      <c r="BO437" s="9"/>
      <c r="BP437" s="9"/>
      <c r="BQ437" s="9"/>
      <c r="BR437" s="9"/>
      <c r="BS437" s="9"/>
    </row>
    <row r="438" spans="1:71">
      <c r="A438">
        <f>B123</f>
        <v>15</v>
      </c>
      <c r="B438">
        <v>15</v>
      </c>
      <c r="C438" s="1">
        <v>2.19</v>
      </c>
      <c r="D438" s="228">
        <f>AVERAGE(C437:C438)*(A438-A437)*(1000/3600)</f>
        <v>0.60672222222222216</v>
      </c>
      <c r="F438" s="3"/>
      <c r="G438" s="3"/>
      <c r="H438" s="6"/>
      <c r="I438" s="6"/>
      <c r="J438" s="6"/>
      <c r="K438" s="6"/>
      <c r="L438" s="4"/>
      <c r="M438" s="4"/>
      <c r="N438" s="4"/>
      <c r="O438" s="15"/>
      <c r="P438" s="15"/>
      <c r="Q438" s="15"/>
      <c r="R438" s="15"/>
      <c r="S438" s="15"/>
      <c r="T438" s="15"/>
      <c r="U438" s="15"/>
      <c r="V438" s="15"/>
      <c r="W438" s="15"/>
      <c r="X438" s="15"/>
      <c r="Y438" s="15"/>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3"/>
      <c r="BB438" s="3"/>
      <c r="BC438" s="3"/>
      <c r="BD438" s="1"/>
      <c r="BE438" s="9"/>
      <c r="BF438" s="9"/>
      <c r="BG438" s="9"/>
      <c r="BH438" s="9"/>
      <c r="BI438" s="9"/>
      <c r="BJ438" s="9"/>
      <c r="BK438" s="9"/>
      <c r="BL438" s="9"/>
      <c r="BM438" s="9"/>
      <c r="BN438" s="9"/>
      <c r="BO438" s="9"/>
      <c r="BP438" s="9"/>
      <c r="BQ438" s="9"/>
      <c r="BR438" s="9"/>
      <c r="BS438" s="9"/>
    </row>
    <row r="439" spans="1:71">
      <c r="A439" t="s">
        <v>45</v>
      </c>
      <c r="D439" s="228">
        <f>SUM(D396:D438)</f>
        <v>24.282916666666662</v>
      </c>
      <c r="F439" s="3"/>
      <c r="G439" s="3"/>
      <c r="H439" s="6"/>
      <c r="I439" s="6"/>
      <c r="J439" s="6"/>
      <c r="K439" s="6"/>
      <c r="L439" s="4"/>
      <c r="M439" s="4"/>
      <c r="N439" s="4"/>
      <c r="O439" s="15"/>
      <c r="P439" s="15"/>
      <c r="Q439" s="15"/>
      <c r="R439" s="15"/>
      <c r="S439" s="15"/>
      <c r="T439" s="15"/>
      <c r="U439" s="15"/>
      <c r="V439" s="15"/>
      <c r="W439" s="15"/>
      <c r="X439" s="15"/>
      <c r="Y439" s="15"/>
      <c r="Z439" s="15"/>
      <c r="AA439" s="15"/>
      <c r="AB439" s="15"/>
      <c r="AC439" s="15"/>
      <c r="AD439" s="15"/>
      <c r="AE439" s="15"/>
      <c r="AF439" s="15"/>
      <c r="AG439" s="15"/>
      <c r="AH439" s="15"/>
      <c r="AI439" s="15"/>
      <c r="AJ439" s="15"/>
      <c r="AK439" s="15"/>
      <c r="AL439" s="15"/>
      <c r="AM439" s="15"/>
      <c r="AN439" s="15"/>
      <c r="AO439" s="15"/>
      <c r="AP439" s="15"/>
      <c r="AQ439" s="15"/>
      <c r="AR439" s="15"/>
      <c r="AS439" s="15"/>
      <c r="AT439" s="15"/>
      <c r="AU439" s="15"/>
      <c r="AV439" s="15"/>
      <c r="AW439" s="15"/>
      <c r="AX439" s="15"/>
      <c r="AY439" s="15"/>
      <c r="AZ439" s="15"/>
      <c r="BA439" s="3"/>
      <c r="BB439" s="3"/>
      <c r="BC439" s="3"/>
      <c r="BD439" s="1"/>
      <c r="BE439" s="9"/>
      <c r="BF439" s="9"/>
      <c r="BG439" s="9"/>
      <c r="BH439" s="9"/>
      <c r="BI439" s="9"/>
      <c r="BJ439" s="9"/>
      <c r="BK439" s="9"/>
      <c r="BL439" s="9"/>
      <c r="BM439" s="9"/>
      <c r="BN439" s="9"/>
      <c r="BO439" s="9"/>
      <c r="BP439" s="9"/>
      <c r="BQ439" s="9"/>
      <c r="BR439" s="9"/>
      <c r="BS439" s="9"/>
    </row>
    <row r="440" spans="1:71">
      <c r="D440" s="16"/>
      <c r="F440" s="3"/>
      <c r="G440" s="3"/>
      <c r="H440" s="6"/>
      <c r="I440" s="6"/>
      <c r="J440" s="6"/>
      <c r="K440" s="6"/>
      <c r="L440" s="4"/>
      <c r="M440" s="4"/>
      <c r="N440" s="4"/>
      <c r="O440" s="15"/>
      <c r="P440" s="15"/>
      <c r="Q440" s="15"/>
      <c r="R440" s="15"/>
      <c r="S440" s="15"/>
      <c r="T440" s="15"/>
      <c r="U440" s="15"/>
      <c r="V440" s="15"/>
      <c r="W440" s="15"/>
      <c r="X440" s="15"/>
      <c r="Y440" s="15"/>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3"/>
      <c r="BB440" s="3"/>
      <c r="BC440" s="3"/>
      <c r="BD440" s="1"/>
      <c r="BE440" s="9"/>
      <c r="BF440" s="9"/>
      <c r="BG440" s="9"/>
      <c r="BH440" s="9"/>
      <c r="BI440" s="9"/>
      <c r="BJ440" s="9"/>
      <c r="BK440" s="9"/>
      <c r="BL440" s="9"/>
      <c r="BM440" s="9"/>
      <c r="BN440" s="9"/>
      <c r="BO440" s="9"/>
      <c r="BP440" s="9"/>
      <c r="BQ440" s="9"/>
      <c r="BR440" s="9"/>
      <c r="BS440" s="9"/>
    </row>
    <row r="441" spans="1:71">
      <c r="A441" t="s">
        <v>214</v>
      </c>
      <c r="B441" s="3">
        <f>D392</f>
        <v>2.9082437404583108</v>
      </c>
      <c r="C441" t="s">
        <v>59</v>
      </c>
      <c r="F441" s="3"/>
      <c r="G441" s="3"/>
      <c r="H441" s="6"/>
      <c r="I441" s="6"/>
      <c r="J441" s="6"/>
      <c r="K441" s="6"/>
      <c r="L441" s="4"/>
      <c r="M441" s="4"/>
      <c r="N441" s="4"/>
      <c r="O441" s="15"/>
      <c r="P441" s="15"/>
      <c r="Q441" s="15"/>
      <c r="R441" s="15"/>
      <c r="S441" s="15"/>
      <c r="T441" s="15"/>
      <c r="U441" s="15"/>
      <c r="V441" s="15"/>
      <c r="W441" s="15"/>
      <c r="X441" s="15"/>
      <c r="Y441" s="15"/>
      <c r="Z441" s="15"/>
      <c r="AA441" s="15"/>
      <c r="AB441" s="15"/>
      <c r="AC441" s="15"/>
      <c r="AD441" s="15"/>
      <c r="AE441" s="15"/>
      <c r="AF441" s="15"/>
      <c r="AG441" s="15"/>
      <c r="AH441" s="15"/>
      <c r="AI441" s="15"/>
      <c r="AJ441" s="15"/>
      <c r="AK441" s="15"/>
      <c r="AL441" s="15"/>
      <c r="AM441" s="15"/>
      <c r="AN441" s="15"/>
      <c r="AO441" s="15"/>
      <c r="AP441" s="15"/>
      <c r="AQ441" s="15"/>
      <c r="AR441" s="15"/>
      <c r="AS441" s="15"/>
      <c r="AT441" s="15"/>
      <c r="AU441" s="15"/>
      <c r="AV441" s="15"/>
      <c r="AW441" s="15"/>
      <c r="AX441" s="15"/>
      <c r="AY441" s="15"/>
      <c r="AZ441" s="15"/>
      <c r="BA441" s="3"/>
      <c r="BB441" s="3"/>
      <c r="BC441" s="3"/>
      <c r="BD441" s="1"/>
      <c r="BE441" s="9"/>
      <c r="BF441" s="9"/>
      <c r="BG441" s="9"/>
      <c r="BH441" s="9"/>
      <c r="BI441" s="9"/>
      <c r="BJ441" s="9"/>
      <c r="BK441" s="9"/>
      <c r="BL441" s="9"/>
      <c r="BM441" s="9"/>
      <c r="BN441" s="9"/>
      <c r="BO441" s="9"/>
      <c r="BP441" s="9"/>
      <c r="BQ441" s="9"/>
      <c r="BR441" s="9"/>
      <c r="BS441" s="9"/>
    </row>
    <row r="442" spans="1:71">
      <c r="A442" t="s">
        <v>213</v>
      </c>
      <c r="B442" s="3">
        <f>D439</f>
        <v>24.282916666666662</v>
      </c>
      <c r="C442" t="s">
        <v>59</v>
      </c>
      <c r="F442" s="3"/>
      <c r="G442" s="3"/>
      <c r="H442" s="6"/>
      <c r="I442" s="6"/>
      <c r="J442" s="6"/>
      <c r="K442" s="6"/>
      <c r="L442" s="4"/>
      <c r="M442" s="4"/>
      <c r="N442" s="4"/>
      <c r="O442" s="15"/>
      <c r="P442" s="15"/>
      <c r="Q442" s="15"/>
      <c r="R442" s="15"/>
      <c r="S442" s="15"/>
      <c r="T442" s="15"/>
      <c r="U442" s="15"/>
      <c r="V442" s="15"/>
      <c r="W442" s="15"/>
      <c r="X442" s="15"/>
      <c r="Y442" s="15"/>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3"/>
      <c r="BB442" s="3"/>
      <c r="BC442" s="3"/>
      <c r="BD442" s="1"/>
      <c r="BE442" s="9"/>
      <c r="BF442" s="9"/>
      <c r="BG442" s="9"/>
      <c r="BH442" s="9"/>
      <c r="BI442" s="9"/>
      <c r="BJ442" s="9"/>
      <c r="BK442" s="9"/>
      <c r="BL442" s="9"/>
      <c r="BM442" s="9"/>
      <c r="BN442" s="9"/>
      <c r="BO442" s="9"/>
      <c r="BP442" s="9"/>
      <c r="BQ442" s="9"/>
      <c r="BR442" s="9"/>
      <c r="BS442" s="9"/>
    </row>
    <row r="443" spans="1:71">
      <c r="A443" t="s">
        <v>61</v>
      </c>
      <c r="B443" s="3">
        <f>SUM(B441:B442)</f>
        <v>27.191160407124972</v>
      </c>
      <c r="C443" t="s">
        <v>59</v>
      </c>
      <c r="F443" s="3"/>
      <c r="G443" s="3"/>
      <c r="H443" s="6"/>
      <c r="I443" s="6"/>
      <c r="J443" s="6"/>
      <c r="K443" s="6"/>
      <c r="L443" s="4"/>
      <c r="M443" s="4"/>
      <c r="N443" s="4"/>
      <c r="O443" s="15"/>
      <c r="P443" s="15"/>
      <c r="Q443" s="15"/>
      <c r="R443" s="15"/>
      <c r="S443" s="15"/>
      <c r="T443" s="15"/>
      <c r="U443" s="15"/>
      <c r="V443" s="15"/>
      <c r="W443" s="15"/>
      <c r="X443" s="15"/>
      <c r="Y443" s="15"/>
      <c r="Z443" s="15"/>
      <c r="AA443" s="15"/>
      <c r="AB443" s="15"/>
      <c r="AC443" s="15"/>
      <c r="AD443" s="15"/>
      <c r="AE443" s="15"/>
      <c r="AF443" s="15"/>
      <c r="AG443" s="15"/>
      <c r="AH443" s="15"/>
      <c r="AI443" s="15"/>
      <c r="AJ443" s="15"/>
      <c r="AK443" s="15"/>
      <c r="AL443" s="15"/>
      <c r="AM443" s="15"/>
      <c r="AN443" s="15"/>
      <c r="AO443" s="15"/>
      <c r="AP443" s="15"/>
      <c r="AQ443" s="15"/>
      <c r="AR443" s="15"/>
      <c r="AS443" s="15"/>
      <c r="AT443" s="15"/>
      <c r="AU443" s="15"/>
      <c r="AV443" s="15"/>
      <c r="AW443" s="15"/>
      <c r="AX443" s="15"/>
      <c r="AY443" s="15"/>
      <c r="AZ443" s="15"/>
      <c r="BA443" s="3"/>
      <c r="BB443" s="3"/>
      <c r="BC443" s="3"/>
      <c r="BD443" s="1"/>
      <c r="BE443" s="9"/>
      <c r="BF443" s="9"/>
      <c r="BG443" s="9"/>
      <c r="BH443" s="9"/>
      <c r="BI443" s="9"/>
      <c r="BJ443" s="9"/>
      <c r="BK443" s="9"/>
      <c r="BL443" s="9"/>
      <c r="BM443" s="9"/>
      <c r="BN443" s="9"/>
      <c r="BO443" s="9"/>
      <c r="BP443" s="9"/>
      <c r="BQ443" s="9"/>
      <c r="BR443" s="9"/>
      <c r="BS443" s="9"/>
    </row>
    <row r="444" spans="1:71">
      <c r="A444" t="s">
        <v>877</v>
      </c>
      <c r="B444" s="15">
        <f>B443*$B$15*$B$4*1000</f>
        <v>1224706.3328125603</v>
      </c>
      <c r="F444" s="3"/>
      <c r="G444" s="3"/>
      <c r="H444" s="6"/>
      <c r="I444" s="6"/>
      <c r="J444" s="6"/>
      <c r="K444" s="6"/>
      <c r="L444" s="4"/>
      <c r="M444" s="4"/>
      <c r="N444" s="4"/>
      <c r="O444" s="15"/>
      <c r="P444" s="15"/>
      <c r="Q444" s="15"/>
      <c r="R444" s="15"/>
      <c r="S444" s="15"/>
      <c r="T444" s="15"/>
      <c r="U444" s="15"/>
      <c r="V444" s="15"/>
      <c r="W444" s="15"/>
      <c r="X444" s="15"/>
      <c r="Y444" s="15"/>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3"/>
      <c r="BB444" s="3"/>
      <c r="BC444" s="3"/>
      <c r="BD444" s="1"/>
      <c r="BE444" s="9"/>
      <c r="BF444" s="9"/>
      <c r="BG444" s="9"/>
      <c r="BH444" s="9"/>
      <c r="BI444" s="9"/>
      <c r="BJ444" s="9"/>
      <c r="BK444" s="9"/>
      <c r="BL444" s="9"/>
      <c r="BM444" s="9"/>
      <c r="BN444" s="9"/>
      <c r="BO444" s="9"/>
      <c r="BP444" s="9"/>
      <c r="BQ444" s="9"/>
      <c r="BR444" s="9"/>
      <c r="BS444" s="9"/>
    </row>
    <row r="445" spans="1:71">
      <c r="B445" s="6"/>
      <c r="F445" s="3"/>
      <c r="G445" s="3"/>
      <c r="H445" s="6"/>
      <c r="I445" s="6"/>
      <c r="J445" s="6"/>
      <c r="K445" s="6"/>
      <c r="L445" s="4"/>
      <c r="M445" s="4"/>
      <c r="N445" s="4"/>
      <c r="O445" s="15"/>
      <c r="P445" s="15"/>
      <c r="Q445" s="15"/>
      <c r="R445" s="15"/>
      <c r="S445" s="15"/>
      <c r="T445" s="15"/>
      <c r="U445" s="15"/>
      <c r="V445" s="15"/>
      <c r="W445" s="15"/>
      <c r="X445" s="15"/>
      <c r="Y445" s="15"/>
      <c r="Z445" s="15"/>
      <c r="AA445" s="15"/>
      <c r="AB445" s="15"/>
      <c r="AC445" s="15"/>
      <c r="AD445" s="15"/>
      <c r="AE445" s="15"/>
      <c r="AF445" s="15"/>
      <c r="AG445" s="15"/>
      <c r="AH445" s="15"/>
      <c r="AI445" s="15"/>
      <c r="AJ445" s="15"/>
      <c r="AK445" s="15"/>
      <c r="AL445" s="15"/>
      <c r="AM445" s="15"/>
      <c r="AN445" s="15"/>
      <c r="AO445" s="15"/>
      <c r="AP445" s="15"/>
      <c r="AQ445" s="15"/>
      <c r="AR445" s="15"/>
      <c r="AS445" s="15"/>
      <c r="AT445" s="15"/>
      <c r="AU445" s="15"/>
      <c r="AV445" s="15"/>
      <c r="AW445" s="15"/>
      <c r="AX445" s="15"/>
      <c r="AY445" s="15"/>
      <c r="AZ445" s="15"/>
      <c r="BA445" s="3"/>
      <c r="BB445" s="3"/>
      <c r="BC445" s="3"/>
      <c r="BD445" s="1"/>
      <c r="BE445" s="9"/>
      <c r="BF445" s="9"/>
      <c r="BG445" s="9"/>
      <c r="BH445" s="9"/>
      <c r="BI445" s="9"/>
      <c r="BJ445" s="9"/>
      <c r="BK445" s="9"/>
      <c r="BL445" s="9"/>
      <c r="BM445" s="9"/>
      <c r="BN445" s="9"/>
      <c r="BO445" s="9"/>
      <c r="BP445" s="9"/>
      <c r="BQ445" s="9"/>
      <c r="BR445" s="9"/>
      <c r="BS445" s="9"/>
    </row>
    <row r="446" spans="1:71">
      <c r="D446" s="16"/>
      <c r="F446" s="3"/>
      <c r="G446" s="3"/>
      <c r="H446" s="6"/>
      <c r="I446" s="6"/>
      <c r="J446" s="6"/>
      <c r="K446" s="6"/>
      <c r="L446" s="4"/>
      <c r="M446" s="4"/>
      <c r="N446" s="4"/>
      <c r="O446" s="15"/>
      <c r="P446" s="15"/>
      <c r="Q446" s="15"/>
      <c r="R446" s="15"/>
      <c r="S446" s="15"/>
      <c r="T446" s="15"/>
      <c r="U446" s="15"/>
      <c r="V446" s="15"/>
      <c r="W446" s="15"/>
      <c r="X446" s="15"/>
      <c r="Y446" s="15"/>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3"/>
      <c r="BB446" s="3"/>
      <c r="BC446" s="3"/>
      <c r="BD446" s="1"/>
      <c r="BE446" s="9"/>
      <c r="BF446" s="9"/>
      <c r="BG446" s="9"/>
      <c r="BH446" s="9"/>
      <c r="BI446" s="9"/>
      <c r="BJ446" s="9"/>
      <c r="BK446" s="9"/>
      <c r="BL446" s="9"/>
      <c r="BM446" s="9"/>
      <c r="BN446" s="9"/>
      <c r="BO446" s="9"/>
      <c r="BP446" s="9"/>
      <c r="BQ446" s="9"/>
      <c r="BR446" s="9"/>
      <c r="BS446" s="9"/>
    </row>
    <row r="447" spans="1:71" s="37" customFormat="1">
      <c r="A447" s="37" t="s">
        <v>736</v>
      </c>
      <c r="T447" s="48"/>
    </row>
    <row r="448" spans="1:71" s="20" customFormat="1">
      <c r="B448" s="20" t="s">
        <v>455</v>
      </c>
      <c r="C448" s="20" t="s">
        <v>456</v>
      </c>
      <c r="T448" s="49"/>
    </row>
    <row r="449" spans="1:20">
      <c r="A449" t="s">
        <v>455</v>
      </c>
      <c r="B449" t="s">
        <v>501</v>
      </c>
      <c r="C449" t="s">
        <v>501</v>
      </c>
      <c r="T449" s="4"/>
    </row>
    <row r="450" spans="1:20">
      <c r="A450" t="s">
        <v>492</v>
      </c>
      <c r="B450" s="15">
        <f>194613.84-14780-15101.84</f>
        <v>164732</v>
      </c>
      <c r="D450" s="15"/>
      <c r="T450" s="4"/>
    </row>
    <row r="451" spans="1:20">
      <c r="A451" t="s">
        <v>493</v>
      </c>
      <c r="B451" s="15">
        <v>160563</v>
      </c>
      <c r="D451" s="15"/>
      <c r="T451" s="4"/>
    </row>
    <row r="452" spans="1:20">
      <c r="A452" t="s">
        <v>494</v>
      </c>
      <c r="B452" s="15">
        <f>202432.2-14780-15461.1-11.5</f>
        <v>172179.6</v>
      </c>
      <c r="D452" s="15"/>
      <c r="T452" s="4"/>
    </row>
    <row r="453" spans="1:20">
      <c r="A453" t="s">
        <v>499</v>
      </c>
      <c r="B453" s="15">
        <f>191341.84-8010-15101.84</f>
        <v>168230</v>
      </c>
      <c r="D453" s="15"/>
      <c r="T453" s="4"/>
    </row>
    <row r="454" spans="1:20">
      <c r="A454" t="s">
        <v>497</v>
      </c>
      <c r="B454" s="15">
        <v>168060</v>
      </c>
      <c r="D454" s="15"/>
      <c r="T454" s="4"/>
    </row>
    <row r="455" spans="1:20">
      <c r="A455" t="s">
        <v>500</v>
      </c>
      <c r="B455" s="15">
        <f>190704.96-8010-15045.46-11.5</f>
        <v>167638</v>
      </c>
      <c r="D455" s="15"/>
      <c r="T455" s="4"/>
    </row>
    <row r="456" spans="1:20">
      <c r="A456" t="s">
        <v>50</v>
      </c>
      <c r="B456" s="15">
        <f>AVERAGE(B450:B455)</f>
        <v>166900.43333333332</v>
      </c>
      <c r="D456" s="15"/>
      <c r="T456" s="4"/>
    </row>
    <row r="457" spans="1:20">
      <c r="B457" s="6"/>
      <c r="T457" s="4"/>
    </row>
    <row r="458" spans="1:20">
      <c r="A458" t="s">
        <v>456</v>
      </c>
      <c r="F458" s="10"/>
    </row>
    <row r="459" spans="1:20">
      <c r="A459" t="s">
        <v>491</v>
      </c>
      <c r="C459" s="15">
        <v>187898.5</v>
      </c>
      <c r="E459" s="15"/>
    </row>
    <row r="460" spans="1:20">
      <c r="A460" t="s">
        <v>496</v>
      </c>
      <c r="C460" s="15">
        <v>203109</v>
      </c>
      <c r="E460" s="15"/>
      <c r="F460" s="3"/>
    </row>
    <row r="461" spans="1:20">
      <c r="A461" t="s">
        <v>498</v>
      </c>
      <c r="C461" s="15">
        <v>186791</v>
      </c>
      <c r="E461" s="15"/>
      <c r="F461" s="3"/>
    </row>
    <row r="462" spans="1:20">
      <c r="A462" t="s">
        <v>495</v>
      </c>
      <c r="C462" s="15">
        <f>216243.46-8010-17177.46</f>
        <v>191056</v>
      </c>
      <c r="E462" s="15"/>
    </row>
    <row r="463" spans="1:20">
      <c r="A463" t="s">
        <v>50</v>
      </c>
      <c r="C463" s="15">
        <f>AVERAGE(C459:C462)</f>
        <v>192213.625</v>
      </c>
      <c r="E463" s="15"/>
    </row>
    <row r="464" spans="1:20">
      <c r="C464" s="15"/>
      <c r="E464" s="15"/>
    </row>
    <row r="465" spans="1:5">
      <c r="A465" t="s">
        <v>764</v>
      </c>
      <c r="B465" s="4">
        <f>34730639/1000000</f>
        <v>34.730638999999996</v>
      </c>
      <c r="C465" s="4">
        <f>35711759/1000000</f>
        <v>35.711759000000001</v>
      </c>
      <c r="D465" s="49" t="s">
        <v>765</v>
      </c>
      <c r="E465" s="15"/>
    </row>
    <row r="466" spans="1:5">
      <c r="A466" t="s">
        <v>769</v>
      </c>
      <c r="B466" s="3">
        <f>15978/$A$48</f>
        <v>7247.5075069626519</v>
      </c>
      <c r="C466" s="3">
        <f>17493/$A$48</f>
        <v>7934.7007647576456</v>
      </c>
      <c r="D466" t="s">
        <v>44</v>
      </c>
      <c r="E466" s="15"/>
    </row>
    <row r="467" spans="1:5">
      <c r="E467" s="15"/>
    </row>
    <row r="468" spans="1:5">
      <c r="A468" t="s">
        <v>502</v>
      </c>
      <c r="B468" t="s">
        <v>504</v>
      </c>
      <c r="C468" t="s">
        <v>518</v>
      </c>
    </row>
    <row r="469" spans="1:5">
      <c r="A469" t="s">
        <v>503</v>
      </c>
      <c r="B469" s="3">
        <v>4080</v>
      </c>
      <c r="C469" s="49">
        <f>(B469/$A$48)/1000</f>
        <v>1.8506590704974102</v>
      </c>
      <c r="D469" s="20"/>
    </row>
    <row r="470" spans="1:5">
      <c r="A470" t="s">
        <v>505</v>
      </c>
      <c r="B470" s="3">
        <v>3230</v>
      </c>
      <c r="C470" s="49">
        <f>(B470/$A$48)/1000</f>
        <v>1.4651050974771163</v>
      </c>
      <c r="D470" s="20"/>
    </row>
    <row r="471" spans="1:5">
      <c r="A471" t="s">
        <v>520</v>
      </c>
      <c r="B471" s="3">
        <f>(C471*1000)*A48</f>
        <v>1051.5197093213735</v>
      </c>
      <c r="C471" s="49">
        <f>150*A47*(B73/1000)</f>
        <v>0.47696188427999997</v>
      </c>
      <c r="D471" s="20"/>
    </row>
    <row r="472" spans="1:5">
      <c r="A472" t="s">
        <v>510</v>
      </c>
      <c r="B472">
        <v>3060</v>
      </c>
      <c r="C472" s="49">
        <f t="shared" ref="C472:C479" si="42">(B472/$A$48)/1000</f>
        <v>1.3879943028730577</v>
      </c>
      <c r="D472" s="20"/>
    </row>
    <row r="473" spans="1:5">
      <c r="A473" t="s">
        <v>509</v>
      </c>
      <c r="B473">
        <v>3000</v>
      </c>
      <c r="C473" s="49">
        <f t="shared" si="42"/>
        <v>1.3607787283069193</v>
      </c>
    </row>
    <row r="474" spans="1:5">
      <c r="A474" t="s">
        <v>506</v>
      </c>
      <c r="B474" s="51">
        <v>2890</v>
      </c>
      <c r="C474" s="49">
        <f t="shared" si="42"/>
        <v>1.3108835082689989</v>
      </c>
    </row>
    <row r="475" spans="1:5">
      <c r="A475" t="s">
        <v>507</v>
      </c>
      <c r="B475" s="51">
        <v>2040</v>
      </c>
      <c r="C475" s="49">
        <f t="shared" si="42"/>
        <v>0.92532953524870509</v>
      </c>
    </row>
    <row r="476" spans="1:5">
      <c r="A476" s="20" t="s">
        <v>508</v>
      </c>
      <c r="B476" s="3">
        <v>1700</v>
      </c>
      <c r="C476" s="49">
        <f t="shared" si="42"/>
        <v>0.77110794604058752</v>
      </c>
    </row>
    <row r="477" spans="1:5">
      <c r="A477" t="s">
        <v>513</v>
      </c>
      <c r="B477" s="3">
        <f>SUM(B469:B472)</f>
        <v>11421.519709321374</v>
      </c>
      <c r="C477" s="49">
        <f t="shared" si="42"/>
        <v>5.1807203551275842</v>
      </c>
    </row>
    <row r="478" spans="1:5">
      <c r="A478" t="s">
        <v>515</v>
      </c>
      <c r="B478" s="3">
        <f>SUM(B469:B473)</f>
        <v>14421.519709321374</v>
      </c>
      <c r="C478" s="49">
        <f t="shared" si="42"/>
        <v>6.5414990834345037</v>
      </c>
    </row>
    <row r="479" spans="1:5">
      <c r="A479" t="s">
        <v>514</v>
      </c>
      <c r="B479" s="3">
        <f>SUM(B474:B476)</f>
        <v>6630</v>
      </c>
      <c r="C479" s="49">
        <f t="shared" si="42"/>
        <v>3.0073209895582913</v>
      </c>
    </row>
    <row r="480" spans="1:5">
      <c r="B480" s="3"/>
      <c r="C480" s="49"/>
    </row>
    <row r="481" spans="1:4">
      <c r="A481" t="s">
        <v>378</v>
      </c>
      <c r="C481" s="49"/>
    </row>
    <row r="482" spans="1:4">
      <c r="A482" t="s">
        <v>221</v>
      </c>
      <c r="B482" s="15">
        <f>IF('User Interface'!$B$8=Options!$E$4,0,IF('User Interface'!$B$12=Options!$G$4,B456,C463))*(1+D242)*$B$155</f>
        <v>179000.71474999998</v>
      </c>
      <c r="C482" s="49" t="str">
        <f>$B$128&amp;" USD"</f>
        <v>2024 USD</v>
      </c>
      <c r="D482" s="18"/>
    </row>
    <row r="483" spans="1:4">
      <c r="A483" t="s">
        <v>691</v>
      </c>
      <c r="B483" s="3">
        <v>1000000</v>
      </c>
      <c r="C483" s="49" t="s">
        <v>8</v>
      </c>
    </row>
    <row r="484" spans="1:4">
      <c r="B484" s="4">
        <f>IF('User Interface'!$B$8=Options!$E$4,0,B483/(B748*(B20*2)))</f>
        <v>3.0301189943953233</v>
      </c>
      <c r="C484" s="49" t="s">
        <v>9</v>
      </c>
    </row>
    <row r="485" spans="1:4">
      <c r="A485" t="s">
        <v>693</v>
      </c>
      <c r="B485" s="3">
        <f>IF('User Interface'!$B$8=Options!$E$4,0,ROUNDUP(B745*(B9/B484),0))</f>
        <v>238</v>
      </c>
      <c r="C485" s="49" t="s">
        <v>38</v>
      </c>
    </row>
    <row r="486" spans="1:4">
      <c r="A486" t="s">
        <v>744</v>
      </c>
      <c r="B486" s="15">
        <f>B482*B485</f>
        <v>42602170.110499993</v>
      </c>
      <c r="C486" s="49" t="str">
        <f>$B$128&amp;" USD"</f>
        <v>2024 USD</v>
      </c>
    </row>
    <row r="487" spans="1:4">
      <c r="A487" t="s">
        <v>825</v>
      </c>
      <c r="B487" s="15">
        <f>IF('User Interface'!$B$8=Options!$E$4,0,$BR$242*SUM($B$749:$B$750))</f>
        <v>1322827.0205434232</v>
      </c>
      <c r="C487" s="49" t="s">
        <v>3</v>
      </c>
    </row>
    <row r="488" spans="1:4">
      <c r="A488" t="s">
        <v>17</v>
      </c>
      <c r="B488" s="15">
        <f>IF('User Interface'!$B$8=Options!$E$4,0,$BS$242*SUM($B$749:$B$750))</f>
        <v>356145.73630015244</v>
      </c>
      <c r="C488" s="49" t="s">
        <v>3</v>
      </c>
    </row>
    <row r="489" spans="1:4">
      <c r="A489" t="s">
        <v>826</v>
      </c>
      <c r="B489" s="15">
        <f>IF('User Interface'!$B$8=Options!$E$4,0,$BT$242*SUM($B$749:$B$750))</f>
        <v>93276.264269087522</v>
      </c>
      <c r="C489" s="49" t="s">
        <v>3</v>
      </c>
    </row>
    <row r="490" spans="1:4">
      <c r="A490" t="s">
        <v>16</v>
      </c>
      <c r="B490" s="15">
        <f>IF('User Interface'!$B$8=Options!$E$4,0,$BU$242*SUM($B$749:$B$750))</f>
        <v>644454.1894955138</v>
      </c>
      <c r="C490" s="49" t="s">
        <v>3</v>
      </c>
    </row>
    <row r="491" spans="1:4">
      <c r="A491" t="s">
        <v>18</v>
      </c>
      <c r="B491" s="15">
        <f>IF('User Interface'!$B$8=Options!$E$4,0,$BV$242*SUM($B$749:$B$750))</f>
        <v>195032.18892627393</v>
      </c>
      <c r="C491" s="49" t="s">
        <v>3</v>
      </c>
    </row>
    <row r="492" spans="1:4">
      <c r="A492" t="s">
        <v>534</v>
      </c>
      <c r="B492" s="4">
        <f>IF('User Interface'!$B$8=Options!$E$4,0,IF('User Interface'!$B$12=Options!$G$4,B466,C466))/1000</f>
        <v>7.247507506962652</v>
      </c>
      <c r="C492" s="49" t="s">
        <v>2</v>
      </c>
    </row>
    <row r="493" spans="1:4">
      <c r="A493" t="s">
        <v>764</v>
      </c>
      <c r="B493" s="1">
        <f>IF('User Interface'!$B$8=Options!$E$4,0,IF('User Interface'!$B$12=Options!$G$4,B465,C465))</f>
        <v>34.730638999999996</v>
      </c>
      <c r="C493" s="49" t="s">
        <v>765</v>
      </c>
    </row>
    <row r="494" spans="1:4">
      <c r="A494" t="s">
        <v>766</v>
      </c>
      <c r="B494" s="3">
        <f>B485*B493</f>
        <v>8265.8920819999985</v>
      </c>
      <c r="C494" s="49" t="s">
        <v>767</v>
      </c>
    </row>
    <row r="495" spans="1:4">
      <c r="B495" s="4"/>
      <c r="C495" s="49"/>
    </row>
    <row r="496" spans="1:4" s="37" customFormat="1">
      <c r="A496" s="37" t="s">
        <v>737</v>
      </c>
      <c r="B496" s="48"/>
      <c r="C496" s="48"/>
    </row>
    <row r="497" spans="1:4" s="20" customFormat="1">
      <c r="B497" s="49" t="s">
        <v>455</v>
      </c>
      <c r="C497" s="49" t="s">
        <v>456</v>
      </c>
    </row>
    <row r="498" spans="1:4">
      <c r="A498" t="s">
        <v>691</v>
      </c>
      <c r="B498" s="3">
        <v>1000000</v>
      </c>
      <c r="C498" s="3">
        <v>1000000</v>
      </c>
      <c r="D498" s="49" t="s">
        <v>8</v>
      </c>
    </row>
    <row r="499" spans="1:4">
      <c r="B499" s="4">
        <f>IF('User Interface'!$B$8=Options!$E$4,0,B498/(B748*(B20*2)))</f>
        <v>3.0301189943953233</v>
      </c>
      <c r="C499" s="4">
        <f>IF('User Interface'!$B$8=Options!$E$4,0,C498/(B748*(B20*2)))</f>
        <v>3.0301189943953233</v>
      </c>
      <c r="D499" s="49" t="s">
        <v>9</v>
      </c>
    </row>
    <row r="500" spans="1:4">
      <c r="A500" t="s">
        <v>738</v>
      </c>
      <c r="B500" s="3">
        <f>IF('User Interface'!$B$8=Options!$E$4,0,IF('User Interface'!$B$9=Options!$F$4,$B$669,$B$624))</f>
        <v>24</v>
      </c>
      <c r="C500" s="3">
        <f>IF('User Interface'!$B$8=Options!$E$4,0,IF('User Interface'!$B$9=Options!$F$4,$B$669,$B$624))</f>
        <v>24</v>
      </c>
      <c r="D500" t="s">
        <v>38</v>
      </c>
    </row>
    <row r="501" spans="1:4">
      <c r="A501" t="s">
        <v>739</v>
      </c>
      <c r="B501">
        <f>IF('User Interface'!$B$8=Options!$E$4,0,ROUNDUP((B500*B9)/B499,0))</f>
        <v>238</v>
      </c>
      <c r="C501">
        <f>IF('User Interface'!$B$8=Options!$E$4,0,ROUNDUP((C500*B9)/C499,0))</f>
        <v>238</v>
      </c>
      <c r="D501" s="49" t="s">
        <v>38</v>
      </c>
    </row>
    <row r="502" spans="1:4">
      <c r="A502" t="s">
        <v>740</v>
      </c>
      <c r="B502" s="15">
        <v>50000</v>
      </c>
      <c r="C502">
        <v>50000</v>
      </c>
      <c r="D502" s="49" t="s">
        <v>957</v>
      </c>
    </row>
    <row r="503" spans="1:4">
      <c r="B503" s="15">
        <f>B502*$B$153*(1+$D$242)</f>
        <v>56120.117624999992</v>
      </c>
      <c r="C503" s="15">
        <f>C502*$B$153*(1+$D$242)</f>
        <v>56120.117624999992</v>
      </c>
      <c r="D503" s="49" t="str">
        <f>$B$128&amp;" USD"</f>
        <v>2024 USD</v>
      </c>
    </row>
    <row r="504" spans="1:4">
      <c r="A504" t="s">
        <v>741</v>
      </c>
      <c r="B504" s="15">
        <f>B503*B501</f>
        <v>13356587.994749999</v>
      </c>
      <c r="C504" s="15">
        <f>C503*C501</f>
        <v>13356587.994749999</v>
      </c>
      <c r="D504" s="49" t="str">
        <f>$B$128&amp;" USD"</f>
        <v>2024 USD</v>
      </c>
    </row>
    <row r="505" spans="1:4">
      <c r="A505" t="s">
        <v>764</v>
      </c>
      <c r="B505" s="4">
        <f>35190613/1000000</f>
        <v>35.190612999999999</v>
      </c>
      <c r="C505" s="4">
        <f>36472233/1000000</f>
        <v>36.472233000000003</v>
      </c>
      <c r="D505" s="49" t="s">
        <v>765</v>
      </c>
    </row>
    <row r="506" spans="1:4">
      <c r="A506" t="s">
        <v>766</v>
      </c>
      <c r="B506" s="3">
        <f>B501*B505</f>
        <v>8375.3658940000005</v>
      </c>
      <c r="C506" s="3">
        <f>C501*C505</f>
        <v>8680.3914540000005</v>
      </c>
      <c r="D506" s="49" t="s">
        <v>767</v>
      </c>
    </row>
    <row r="507" spans="1:4">
      <c r="A507" t="s">
        <v>768</v>
      </c>
      <c r="B507" s="3">
        <f>10575/$A$48</f>
        <v>4796.7450172818899</v>
      </c>
      <c r="C507" s="3">
        <f>11264/$A$48</f>
        <v>5109.2705318830458</v>
      </c>
      <c r="D507" s="49" t="s">
        <v>44</v>
      </c>
    </row>
    <row r="508" spans="1:4">
      <c r="B508" s="3"/>
      <c r="C508" s="3"/>
      <c r="D508" s="49"/>
    </row>
    <row r="509" spans="1:4">
      <c r="A509" t="s">
        <v>378</v>
      </c>
      <c r="B509" s="3"/>
      <c r="C509" s="3"/>
      <c r="D509" s="49"/>
    </row>
    <row r="510" spans="1:4">
      <c r="A510" t="s">
        <v>529</v>
      </c>
      <c r="B510" s="15">
        <f>IF('User Interface'!$B$8=Options!$E$4,0,IF('User Interface'!$B$9=Options!$F$5,0,IF('User Interface'!$B$12=Options!$G$4,B503,C503)))</f>
        <v>0</v>
      </c>
      <c r="C510" s="49" t="str">
        <f>$B$128&amp;" USD"</f>
        <v>2024 USD</v>
      </c>
      <c r="D510" s="49"/>
    </row>
    <row r="511" spans="1:4">
      <c r="A511" t="s">
        <v>958</v>
      </c>
      <c r="B511" s="3">
        <f>IF('User Interface'!$B$8=Options!$E$4,0,IF('User Interface'!$B$9=Options!$F$5,0,IF('User Interface'!$B$12=Options!$G$4,B500,C500)))</f>
        <v>0</v>
      </c>
      <c r="C511" s="3" t="s">
        <v>38</v>
      </c>
      <c r="D511" s="49"/>
    </row>
    <row r="512" spans="1:4">
      <c r="A512" t="s">
        <v>959</v>
      </c>
      <c r="B512" s="3">
        <f>IF('User Interface'!$B$8=Options!$E$4,0,IF('User Interface'!$B$9=Options!$F$5,0,IF('User Interface'!$B$12=Options!$G$4,B501,C501)))</f>
        <v>0</v>
      </c>
      <c r="C512" s="3" t="s">
        <v>38</v>
      </c>
      <c r="D512" s="49"/>
    </row>
    <row r="513" spans="1:16">
      <c r="A513" t="s">
        <v>864</v>
      </c>
      <c r="B513" s="15">
        <f>IF('User Interface'!$B$8=Options!$E$4,0,IF('User Interface'!$B$9=Options!$F$5,0,IF('User Interface'!$B$12=Options!$G$4,B504,C504)))</f>
        <v>0</v>
      </c>
      <c r="C513" s="49" t="str">
        <f>$B$128&amp;" USD"</f>
        <v>2024 USD</v>
      </c>
      <c r="D513" s="49"/>
    </row>
    <row r="514" spans="1:16">
      <c r="A514" t="s">
        <v>960</v>
      </c>
      <c r="B514" s="3">
        <f>IF('User Interface'!$B$8=Options!$E$4,0,IF('User Interface'!$B$9=Options!$F$5,0,IF('User Interface'!$B$12=Options!$G$4,B505,C505)))</f>
        <v>0</v>
      </c>
      <c r="C514" s="3" t="s">
        <v>765</v>
      </c>
      <c r="D514" s="49"/>
    </row>
    <row r="515" spans="1:16">
      <c r="A515" t="s">
        <v>961</v>
      </c>
      <c r="B515" s="3">
        <f>IF('User Interface'!$B$8=Options!$E$4,0,IF('User Interface'!$B$9=Options!$F$5,0,IF('User Interface'!$B$12=Options!$G$4,B506,C506)))</f>
        <v>0</v>
      </c>
      <c r="C515" s="3" t="s">
        <v>767</v>
      </c>
      <c r="D515" s="49"/>
    </row>
    <row r="516" spans="1:16">
      <c r="A516" t="s">
        <v>768</v>
      </c>
      <c r="B516" s="3">
        <f>IF('User Interface'!$B$8=Options!$E$4,0,IF('User Interface'!$B$9=Options!$F$5,0,IF('User Interface'!$B$12=Options!$G$4,B507,C507)))/1000</f>
        <v>0</v>
      </c>
      <c r="C516" s="3" t="s">
        <v>2</v>
      </c>
      <c r="D516" s="49"/>
    </row>
    <row r="517" spans="1:16">
      <c r="B517" s="17"/>
      <c r="C517" s="17"/>
    </row>
    <row r="518" spans="1:16" s="37" customFormat="1">
      <c r="A518" s="37" t="s">
        <v>475</v>
      </c>
      <c r="P518" s="48"/>
    </row>
    <row r="519" spans="1:16" s="20" customFormat="1">
      <c r="A519" s="20" t="s">
        <v>909</v>
      </c>
      <c r="B519" s="216">
        <v>20.45</v>
      </c>
      <c r="C519" s="20" t="s">
        <v>28</v>
      </c>
      <c r="P519" s="49"/>
    </row>
    <row r="520" spans="1:16" s="20" customFormat="1">
      <c r="A520" s="20" t="s">
        <v>910</v>
      </c>
      <c r="B520" s="216">
        <v>25</v>
      </c>
      <c r="C520" s="20" t="s">
        <v>28</v>
      </c>
      <c r="P520" s="49"/>
    </row>
    <row r="521" spans="1:16" s="20" customFormat="1">
      <c r="A521" s="20" t="s">
        <v>911</v>
      </c>
      <c r="B521" s="216">
        <f>((21964*A47)/1000)</f>
        <v>83.142784335919998</v>
      </c>
      <c r="C521" s="20" t="s">
        <v>28</v>
      </c>
      <c r="P521" s="49"/>
    </row>
    <row r="522" spans="1:16">
      <c r="B522" t="s">
        <v>954</v>
      </c>
      <c r="C522" t="s">
        <v>955</v>
      </c>
      <c r="D522" t="s">
        <v>484</v>
      </c>
      <c r="E522" t="s">
        <v>517</v>
      </c>
      <c r="F522" t="s">
        <v>476</v>
      </c>
      <c r="G522" t="s">
        <v>483</v>
      </c>
      <c r="P522" s="4"/>
    </row>
    <row r="523" spans="1:16">
      <c r="A523" t="s">
        <v>908</v>
      </c>
      <c r="B523">
        <v>1</v>
      </c>
      <c r="C523">
        <v>1</v>
      </c>
      <c r="D523">
        <v>1</v>
      </c>
      <c r="E523">
        <v>1</v>
      </c>
      <c r="F523">
        <v>1</v>
      </c>
      <c r="G523">
        <v>4</v>
      </c>
      <c r="P523" s="4"/>
    </row>
    <row r="524" spans="1:16">
      <c r="A524" t="s">
        <v>477</v>
      </c>
      <c r="B524" s="3">
        <f>B520*B523</f>
        <v>25</v>
      </c>
      <c r="C524" s="3">
        <f>B520*C523</f>
        <v>25</v>
      </c>
      <c r="D524" s="3">
        <f>B519*D523</f>
        <v>20.45</v>
      </c>
      <c r="E524" s="3">
        <f>B519*E523</f>
        <v>20.45</v>
      </c>
      <c r="F524" s="3">
        <f>B521*F523</f>
        <v>83.142784335919998</v>
      </c>
      <c r="G524" s="1">
        <f>B519*G523</f>
        <v>81.8</v>
      </c>
      <c r="P524" s="4"/>
    </row>
    <row r="525" spans="1:16">
      <c r="A525" t="s">
        <v>478</v>
      </c>
      <c r="B525">
        <f t="shared" ref="B525:G525" si="43">B524*$B$104</f>
        <v>23.75</v>
      </c>
      <c r="C525" s="5">
        <f t="shared" si="43"/>
        <v>23.75</v>
      </c>
      <c r="D525" s="5">
        <f t="shared" si="43"/>
        <v>19.427499999999998</v>
      </c>
      <c r="E525" s="5">
        <f t="shared" si="43"/>
        <v>19.427499999999998</v>
      </c>
      <c r="F525" s="5">
        <f t="shared" si="43"/>
        <v>78.985645119124001</v>
      </c>
      <c r="G525" s="5">
        <f t="shared" si="43"/>
        <v>77.709999999999994</v>
      </c>
      <c r="P525" s="4"/>
    </row>
    <row r="526" spans="1:16">
      <c r="A526" t="s">
        <v>479</v>
      </c>
      <c r="B526" s="4">
        <f>B525*($B$122/1000)</f>
        <v>24.747500000000002</v>
      </c>
      <c r="C526" s="4">
        <f>C525*($B$122/1000)</f>
        <v>24.747500000000002</v>
      </c>
      <c r="D526" s="4">
        <f>D525*($B$122/1000)</f>
        <v>20.243455000000001</v>
      </c>
      <c r="E526" s="4">
        <f t="shared" ref="E526:F526" si="44">E525*($B$122/1000)</f>
        <v>20.243455000000001</v>
      </c>
      <c r="F526" s="4">
        <f t="shared" si="44"/>
        <v>82.303042214127217</v>
      </c>
      <c r="G526" s="4">
        <f>G525*($B$122/1000)</f>
        <v>80.973820000000003</v>
      </c>
      <c r="P526" s="4"/>
    </row>
    <row r="527" spans="1:16">
      <c r="A527" t="s">
        <v>481</v>
      </c>
      <c r="B527" s="4">
        <v>10.372999999999999</v>
      </c>
      <c r="C527" s="4">
        <v>10.372999999999999</v>
      </c>
      <c r="D527" s="4">
        <v>8.6999999999999993</v>
      </c>
      <c r="E527" s="4">
        <v>8.6999999999999993</v>
      </c>
      <c r="F527" s="4">
        <f>(102000/$A$48)/1000</f>
        <v>46.266476762435254</v>
      </c>
      <c r="G527">
        <f>8.7*G523</f>
        <v>34.799999999999997</v>
      </c>
      <c r="P527" s="4"/>
    </row>
    <row r="528" spans="1:16">
      <c r="A528" t="s">
        <v>516</v>
      </c>
      <c r="B528" s="4">
        <v>0</v>
      </c>
      <c r="C528" s="4">
        <v>0</v>
      </c>
      <c r="D528" s="4">
        <f>B507/1000</f>
        <v>4.7967450172818902</v>
      </c>
      <c r="E528" s="4">
        <f>C507/1000</f>
        <v>5.1092705318830456</v>
      </c>
      <c r="F528" t="s">
        <v>37</v>
      </c>
      <c r="G528" t="s">
        <v>37</v>
      </c>
      <c r="P528" s="4"/>
    </row>
    <row r="529" spans="1:16">
      <c r="A529" t="s">
        <v>480</v>
      </c>
      <c r="B529" s="4">
        <f>B466/1000</f>
        <v>7.247507506962652</v>
      </c>
      <c r="C529" s="4">
        <f>C466/1000</f>
        <v>7.934700764757646</v>
      </c>
      <c r="D529" s="4">
        <f>B466/1000</f>
        <v>7.247507506962652</v>
      </c>
      <c r="E529" s="4">
        <f>C466/1000</f>
        <v>7.934700764757646</v>
      </c>
      <c r="F529" t="s">
        <v>37</v>
      </c>
      <c r="G529" t="s">
        <v>37</v>
      </c>
      <c r="P529" s="4"/>
    </row>
    <row r="530" spans="1:16">
      <c r="A530" t="s">
        <v>770</v>
      </c>
      <c r="B530" s="4">
        <f>$C$471</f>
        <v>0.47696188427999997</v>
      </c>
      <c r="C530" s="4">
        <f t="shared" ref="C530:E530" si="45">$C$471</f>
        <v>0.47696188427999997</v>
      </c>
      <c r="D530" s="4">
        <f t="shared" si="45"/>
        <v>0.47696188427999997</v>
      </c>
      <c r="E530" s="4">
        <f t="shared" si="45"/>
        <v>0.47696188427999997</v>
      </c>
      <c r="F530" t="s">
        <v>37</v>
      </c>
      <c r="G530" t="s">
        <v>37</v>
      </c>
      <c r="P530" s="4"/>
    </row>
    <row r="531" spans="1:16">
      <c r="A531" t="s">
        <v>482</v>
      </c>
      <c r="B531" s="4">
        <f>($B$105/$A$48)/1000</f>
        <v>40.823361849207579</v>
      </c>
      <c r="C531" s="4">
        <f>($B$105/$A$48)/1000</f>
        <v>40.823361849207579</v>
      </c>
      <c r="D531" s="4">
        <f>($B$105/$A$48)/1000</f>
        <v>40.823361849207579</v>
      </c>
      <c r="E531" s="4">
        <f>($B$105/$A$48)/1000</f>
        <v>40.823361849207579</v>
      </c>
      <c r="F531" t="s">
        <v>37</v>
      </c>
      <c r="G531" t="s">
        <v>37</v>
      </c>
      <c r="P531" s="4"/>
    </row>
    <row r="532" spans="1:16">
      <c r="A532" t="s">
        <v>485</v>
      </c>
      <c r="B532" s="4">
        <f>B531-SUM(B527:B530)</f>
        <v>22.725892457964925</v>
      </c>
      <c r="C532" s="4">
        <f>C531-SUM(C527:C530)</f>
        <v>22.038699200169933</v>
      </c>
      <c r="D532" s="4">
        <f t="shared" ref="D532" si="46">D531-SUM(D527:D530)</f>
        <v>19.602147440683037</v>
      </c>
      <c r="E532" s="4">
        <f>E531-SUM(E527:E530)</f>
        <v>18.602428668286887</v>
      </c>
      <c r="F532" t="s">
        <v>37</v>
      </c>
      <c r="G532" t="s">
        <v>37</v>
      </c>
      <c r="P532" s="4"/>
    </row>
    <row r="533" spans="1:16">
      <c r="A533" t="s">
        <v>486</v>
      </c>
      <c r="B533" s="4" t="s">
        <v>37</v>
      </c>
      <c r="C533" s="4" t="s">
        <v>37</v>
      </c>
      <c r="D533" s="4" t="s">
        <v>37</v>
      </c>
      <c r="E533" s="4" t="s">
        <v>37</v>
      </c>
      <c r="F533" s="3">
        <f>(286000/$A$48)/1000</f>
        <v>129.72757209859296</v>
      </c>
      <c r="G533" s="3">
        <f>(286000/$A$48)/1000</f>
        <v>129.72757209859296</v>
      </c>
      <c r="P533" s="4"/>
    </row>
    <row r="534" spans="1:16">
      <c r="A534" t="s">
        <v>487</v>
      </c>
      <c r="B534" s="4" t="s">
        <v>37</v>
      </c>
      <c r="C534" s="4" t="s">
        <v>37</v>
      </c>
      <c r="D534" s="4" t="s">
        <v>37</v>
      </c>
      <c r="E534" s="4" t="s">
        <v>37</v>
      </c>
      <c r="F534" s="4">
        <f>F533-F527</f>
        <v>83.461095336157712</v>
      </c>
      <c r="G534" s="4">
        <f>G533-G527</f>
        <v>94.927572098592961</v>
      </c>
      <c r="P534" s="4"/>
    </row>
    <row r="535" spans="1:16">
      <c r="A535" t="s">
        <v>488</v>
      </c>
      <c r="B535" s="1">
        <f>MIN(B526,B532)</f>
        <v>22.725892457964925</v>
      </c>
      <c r="C535" s="1">
        <f>MIN(C526,C532)</f>
        <v>22.038699200169933</v>
      </c>
      <c r="D535" s="1">
        <f>MIN(D526,D532)</f>
        <v>19.602147440683037</v>
      </c>
      <c r="E535" s="1">
        <f t="shared" ref="E535" si="47">MIN(E526,E532)</f>
        <v>18.602428668286887</v>
      </c>
      <c r="F535" s="1">
        <f>MIN(F526,F534)</f>
        <v>82.303042214127217</v>
      </c>
      <c r="G535" s="1">
        <f>MIN(G526,G534)</f>
        <v>80.973820000000003</v>
      </c>
      <c r="P535" s="4"/>
    </row>
    <row r="536" spans="1:16">
      <c r="A536" t="s">
        <v>527</v>
      </c>
      <c r="B536" s="15">
        <f>$B$551</f>
        <v>338114.10847499996</v>
      </c>
      <c r="C536" s="15">
        <f>$B$551</f>
        <v>338114.10847499996</v>
      </c>
      <c r="D536" s="15">
        <f>$B$555</f>
        <v>134051.77499999999</v>
      </c>
      <c r="E536" s="15">
        <f>$B$555</f>
        <v>134051.77499999999</v>
      </c>
      <c r="F536" s="15">
        <f>$B$559</f>
        <v>243996.24140409369</v>
      </c>
      <c r="G536" s="15">
        <f>$B$555*G523</f>
        <v>536207.1</v>
      </c>
      <c r="P536" s="4"/>
    </row>
    <row r="537" spans="1:16">
      <c r="A537" t="s">
        <v>627</v>
      </c>
      <c r="B537" s="15">
        <f>12000+(528*B524)</f>
        <v>25200</v>
      </c>
      <c r="C537" s="15">
        <f t="shared" ref="C537:F537" si="48">12000+(528*C524)</f>
        <v>25200</v>
      </c>
      <c r="D537" s="15">
        <f>12000+(528*D524)</f>
        <v>22797.599999999999</v>
      </c>
      <c r="E537" s="15">
        <f t="shared" si="48"/>
        <v>22797.599999999999</v>
      </c>
      <c r="F537" s="15">
        <f t="shared" si="48"/>
        <v>55899.390129365762</v>
      </c>
      <c r="G537" s="15">
        <f>12000+(528*G524)</f>
        <v>55190.400000000001</v>
      </c>
      <c r="P537" s="4"/>
    </row>
    <row r="538" spans="1:16">
      <c r="A538" t="s">
        <v>628</v>
      </c>
      <c r="B538" s="15">
        <f>0.9*B536</f>
        <v>304302.69762749999</v>
      </c>
      <c r="C538" s="15">
        <f t="shared" ref="C538:G538" si="49">0.9*C536</f>
        <v>304302.69762749999</v>
      </c>
      <c r="D538" s="15">
        <f t="shared" si="49"/>
        <v>120646.5975</v>
      </c>
      <c r="E538" s="15">
        <f t="shared" si="49"/>
        <v>120646.5975</v>
      </c>
      <c r="F538" s="15">
        <f t="shared" si="49"/>
        <v>219596.61726368431</v>
      </c>
      <c r="G538" s="15">
        <f t="shared" si="49"/>
        <v>482586.39</v>
      </c>
      <c r="P538" s="4"/>
    </row>
    <row r="539" spans="1:16">
      <c r="A539" t="s">
        <v>629</v>
      </c>
      <c r="B539" s="15">
        <f>B538-B537</f>
        <v>279102.69762749999</v>
      </c>
      <c r="C539" s="15">
        <f t="shared" ref="C539:G539" si="50">C538-C537</f>
        <v>279102.69762749999</v>
      </c>
      <c r="D539" s="15">
        <f t="shared" si="50"/>
        <v>97848.997499999998</v>
      </c>
      <c r="E539" s="15">
        <f t="shared" si="50"/>
        <v>97848.997499999998</v>
      </c>
      <c r="F539" s="15">
        <f t="shared" si="50"/>
        <v>163697.22713431856</v>
      </c>
      <c r="G539" s="15">
        <f t="shared" si="50"/>
        <v>427395.99</v>
      </c>
      <c r="P539" s="4"/>
    </row>
    <row r="540" spans="1:16">
      <c r="A540" t="s">
        <v>783</v>
      </c>
      <c r="B540" s="3">
        <f>B505+((B527-(B507/1000))*$B$83)</f>
        <v>48.858908672642535</v>
      </c>
      <c r="C540" s="3">
        <f>C505+((C527-(C507/1000))*$B$83)</f>
        <v>49.374478491642542</v>
      </c>
      <c r="D540" s="3">
        <f t="shared" ref="D540:F540" si="51">D527*$B$83</f>
        <v>21.325095914825997</v>
      </c>
      <c r="E540" s="3">
        <f t="shared" si="51"/>
        <v>21.325095914825997</v>
      </c>
      <c r="F540" s="3">
        <f t="shared" si="51"/>
        <v>113.40655799999999</v>
      </c>
      <c r="G540" s="3">
        <f>G527*$B$83</f>
        <v>85.300383659303989</v>
      </c>
      <c r="P540" s="4"/>
    </row>
    <row r="541" spans="1:16">
      <c r="A541" t="s">
        <v>567</v>
      </c>
      <c r="B541" s="1">
        <v>6.62</v>
      </c>
      <c r="C541" s="1">
        <v>6.62</v>
      </c>
      <c r="D541" s="1">
        <v>6.0579999999999998</v>
      </c>
      <c r="E541" s="1">
        <v>6.0579999999999998</v>
      </c>
      <c r="F541" s="3">
        <f>(48+((10+(7/8))/12))*$A$52</f>
        <v>14.906625</v>
      </c>
      <c r="G541" s="1">
        <v>6.0579999999999998</v>
      </c>
      <c r="P541" s="4"/>
    </row>
    <row r="542" spans="1:16">
      <c r="A542" t="s">
        <v>581</v>
      </c>
      <c r="B542" s="1">
        <f>2.49/2</f>
        <v>1.2450000000000001</v>
      </c>
      <c r="C542" s="1">
        <f>2.49/2</f>
        <v>1.2450000000000001</v>
      </c>
      <c r="D542" s="1">
        <f>2.438/2</f>
        <v>1.2190000000000001</v>
      </c>
      <c r="E542" s="1">
        <f>2.438/2</f>
        <v>1.2190000000000001</v>
      </c>
      <c r="F542" s="1">
        <f>((102/2)/12)*$A$52</f>
        <v>1.2954000000000001</v>
      </c>
      <c r="G542" s="1">
        <f>2.438/2</f>
        <v>1.2190000000000001</v>
      </c>
      <c r="P542" s="4"/>
    </row>
    <row r="543" spans="1:16">
      <c r="A543" t="s">
        <v>572</v>
      </c>
      <c r="B543" s="1">
        <f>(PI()*(B542^2)*B541)+(4*PI()*(B542^2))</f>
        <v>51.714590763591119</v>
      </c>
      <c r="C543" s="1">
        <f>(PI()*(C542^2)*C541)+(4*PI()*(C542^2))</f>
        <v>51.714590763591119</v>
      </c>
      <c r="D543" s="1">
        <f>(PI()*(D542^2)*D541)+(2*PI()*(D542^2))</f>
        <v>37.61703377031256</v>
      </c>
      <c r="E543" s="1">
        <f>(PI()*(E542^2)*E541)+(2*PI()*(E542^2))</f>
        <v>37.61703377031256</v>
      </c>
      <c r="F543" s="1">
        <f t="shared" ref="F543:G543" si="52">(PI()*(F542^2)*F541)+(2*PI()*(F542^2))</f>
        <v>89.12808552482123</v>
      </c>
      <c r="G543" s="1">
        <f t="shared" si="52"/>
        <v>37.61703377031256</v>
      </c>
      <c r="P543" s="4"/>
    </row>
    <row r="544" spans="1:16">
      <c r="A544" t="s">
        <v>604</v>
      </c>
      <c r="B544">
        <f t="shared" ref="B544:G544" si="53">3.175/1000</f>
        <v>3.1749999999999999E-3</v>
      </c>
      <c r="C544">
        <f t="shared" si="53"/>
        <v>3.1749999999999999E-3</v>
      </c>
      <c r="D544">
        <f t="shared" si="53"/>
        <v>3.1749999999999999E-3</v>
      </c>
      <c r="E544">
        <f t="shared" si="53"/>
        <v>3.1749999999999999E-3</v>
      </c>
      <c r="F544">
        <f t="shared" si="53"/>
        <v>3.1749999999999999E-3</v>
      </c>
      <c r="G544">
        <f t="shared" si="53"/>
        <v>3.1749999999999999E-3</v>
      </c>
      <c r="P544" s="4"/>
    </row>
    <row r="545" spans="1:16">
      <c r="A545" t="s">
        <v>582</v>
      </c>
      <c r="B545" s="1">
        <f>$B$91</f>
        <v>3.1195351194681885E-2</v>
      </c>
      <c r="C545" s="1">
        <f>$B$91</f>
        <v>3.1195351194681885E-2</v>
      </c>
      <c r="D545" s="1">
        <f>$B$90</f>
        <v>5.1267362229632492E-3</v>
      </c>
      <c r="E545" s="1">
        <f>$B$90</f>
        <v>5.1267362229632492E-3</v>
      </c>
      <c r="F545" s="1">
        <f>$B$91</f>
        <v>3.1195351194681885E-2</v>
      </c>
      <c r="G545" s="1">
        <f>$B$90</f>
        <v>5.1267362229632492E-3</v>
      </c>
      <c r="P545" s="4"/>
    </row>
    <row r="546" spans="1:16">
      <c r="A546" t="s">
        <v>583</v>
      </c>
      <c r="B546" s="1">
        <f t="shared" ref="B546:E546" si="54">(5/12)*$A$52</f>
        <v>0.127</v>
      </c>
      <c r="C546" s="1">
        <f t="shared" si="54"/>
        <v>0.127</v>
      </c>
      <c r="D546" s="1">
        <f t="shared" si="54"/>
        <v>0.127</v>
      </c>
      <c r="E546" s="1">
        <f t="shared" si="54"/>
        <v>0.127</v>
      </c>
      <c r="F546" s="1">
        <f>(5/12)*$A$52</f>
        <v>0.127</v>
      </c>
      <c r="G546" s="1">
        <f>(5/12)*$A$52</f>
        <v>0.127</v>
      </c>
      <c r="P546" s="4"/>
    </row>
    <row r="547" spans="1:16">
      <c r="A547" t="s">
        <v>603</v>
      </c>
      <c r="B547" s="1">
        <f t="shared" ref="B547:E547" si="55">(0.787/12)*$A$52</f>
        <v>1.9989800000000002E-2</v>
      </c>
      <c r="C547" s="1">
        <f t="shared" si="55"/>
        <v>1.9989800000000002E-2</v>
      </c>
      <c r="D547" s="1">
        <f t="shared" si="55"/>
        <v>1.9989800000000002E-2</v>
      </c>
      <c r="E547" s="1">
        <f t="shared" si="55"/>
        <v>1.9989800000000002E-2</v>
      </c>
      <c r="F547" s="1">
        <f>(0.787/12)*$A$52</f>
        <v>1.9989800000000002E-2</v>
      </c>
      <c r="G547" s="1">
        <f>(0.787/12)*$A$52</f>
        <v>1.9989800000000002E-2</v>
      </c>
      <c r="P547" s="4"/>
    </row>
    <row r="548" spans="1:16">
      <c r="B548" s="6"/>
      <c r="C548" s="6"/>
      <c r="D548" s="6"/>
      <c r="E548" s="6"/>
      <c r="P548" s="4"/>
    </row>
    <row r="549" spans="1:16">
      <c r="A549" t="s">
        <v>531</v>
      </c>
      <c r="B549" s="15" t="s">
        <v>64</v>
      </c>
      <c r="P549" s="4"/>
    </row>
    <row r="550" spans="1:16">
      <c r="A550" t="s">
        <v>956</v>
      </c>
      <c r="B550" s="15">
        <v>308170</v>
      </c>
      <c r="P550" s="4"/>
    </row>
    <row r="551" spans="1:16">
      <c r="A551" t="str">
        <f>Calculations!$B$128&amp;" cost"</f>
        <v>2024 cost</v>
      </c>
      <c r="B551" s="15">
        <f>B550*$B$154*(1+$D$242)</f>
        <v>338114.10847499996</v>
      </c>
      <c r="P551" s="4"/>
    </row>
    <row r="552" spans="1:16">
      <c r="P552" s="4"/>
    </row>
    <row r="553" spans="1:16">
      <c r="A553" t="s">
        <v>530</v>
      </c>
      <c r="B553" t="s">
        <v>64</v>
      </c>
      <c r="P553" s="4"/>
    </row>
    <row r="554" spans="1:16">
      <c r="A554" t="s">
        <v>735</v>
      </c>
      <c r="B554" s="15">
        <v>124990</v>
      </c>
      <c r="P554" s="4"/>
    </row>
    <row r="555" spans="1:16">
      <c r="A555" t="str">
        <f>Calculations!$B$128&amp;" cost"</f>
        <v>2024 cost</v>
      </c>
      <c r="B555" s="15">
        <f>B554*$B$155*(1+$D$242)</f>
        <v>134051.77499999999</v>
      </c>
      <c r="P555" s="4"/>
    </row>
    <row r="556" spans="1:16">
      <c r="B556" s="15"/>
      <c r="P556" s="4"/>
    </row>
    <row r="557" spans="1:16">
      <c r="A557" t="s">
        <v>912</v>
      </c>
      <c r="B557" s="15" t="s">
        <v>64</v>
      </c>
      <c r="P557" s="4"/>
    </row>
    <row r="558" spans="1:16">
      <c r="A558" t="s">
        <v>913</v>
      </c>
      <c r="B558" s="15">
        <v>212500</v>
      </c>
      <c r="P558" s="4"/>
    </row>
    <row r="559" spans="1:16">
      <c r="A559" t="str">
        <f>Calculations!$B$128&amp;" cost"</f>
        <v>2024 cost</v>
      </c>
      <c r="B559" s="15">
        <f>B558*$B$152*(1+$D$242)</f>
        <v>243996.24140409369</v>
      </c>
      <c r="P559" s="4"/>
    </row>
    <row r="560" spans="1:16">
      <c r="P560" s="4"/>
    </row>
    <row r="561" spans="1:16">
      <c r="A561" s="92" t="s">
        <v>378</v>
      </c>
      <c r="P561" s="4"/>
    </row>
    <row r="562" spans="1:16">
      <c r="A562" t="s">
        <v>523</v>
      </c>
      <c r="B562" s="4">
        <f>IF('User Interface'!$B$8=Options!$E$4,IF('User Interface'!$B$9=Options!$F$5,F535,G535),IF('User Interface'!$B$9=Options!$F$4,IF('User Interface'!$B$12=Options!$G$4,D535,E535),IF('User Interface'!$B$12=Options!$G$4,B535,C535)))</f>
        <v>22.725892457964925</v>
      </c>
      <c r="C562" t="s">
        <v>2</v>
      </c>
      <c r="P562" s="4"/>
    </row>
    <row r="563" spans="1:16">
      <c r="A563" t="s">
        <v>521</v>
      </c>
      <c r="B563" s="4">
        <f>IF('User Interface'!$B$8=Options!$E$4,IF('User Interface'!$B$9=Options!$F$5,F535/F523,G535/G523),IF('User Interface'!$B$9=Options!$F$4,IF('User Interface'!$B$12=Options!$G$4,D535/D523,E535/E523),IF('User Interface'!$B$12=Options!$G$4,B535/B523,C535/C523)))</f>
        <v>22.725892457964925</v>
      </c>
      <c r="C563" t="s">
        <v>2</v>
      </c>
      <c r="P563" s="4"/>
    </row>
    <row r="564" spans="1:16">
      <c r="A564" t="s">
        <v>522</v>
      </c>
      <c r="B564" s="4">
        <f>IF('User Interface'!$B$8=Options!$E$4,Calculations!$B$106,Calculations!$B$105)/(Calculations!$A$48*1000)</f>
        <v>40.823361849207572</v>
      </c>
      <c r="C564" t="s">
        <v>2</v>
      </c>
      <c r="P564" s="4"/>
    </row>
    <row r="565" spans="1:16">
      <c r="A565" t="s">
        <v>529</v>
      </c>
      <c r="B565" s="15">
        <f>IF('User Interface'!$B$8=Options!$E$4,IF('User Interface'!$B$9=Options!$F$5,F536,G536),IF('User Interface'!$B$9=Options!$F$4,IF('User Interface'!$B$12=Options!$G$4,D536,E536),IF('User Interface'!$B$12=Options!$G$4,B536,C536)))</f>
        <v>338114.10847499996</v>
      </c>
      <c r="D565" s="15"/>
      <c r="P565" s="4"/>
    </row>
    <row r="566" spans="1:16">
      <c r="A566" t="s">
        <v>780</v>
      </c>
      <c r="B566" s="15">
        <f>IF('User Interface'!$B$8=Options!$E$4,IF('User Interface'!$B$9=Options!$F$5,F539,G539),IF('User Interface'!$B$9=Options!$F$4,IF('User Interface'!$B$12=Options!$G$4,D539,E539),IF('User Interface'!$B$12=Options!$G$4,B539,C539)))</f>
        <v>279102.69762749999</v>
      </c>
      <c r="D566" s="15"/>
      <c r="P566" s="4"/>
    </row>
    <row r="567" spans="1:16">
      <c r="A567" t="s">
        <v>781</v>
      </c>
      <c r="B567" s="3">
        <f>B745</f>
        <v>24</v>
      </c>
      <c r="D567" s="15"/>
      <c r="P567" s="4"/>
    </row>
    <row r="568" spans="1:16">
      <c r="A568" t="s">
        <v>691</v>
      </c>
      <c r="B568" s="3">
        <f>$B$9</f>
        <v>30</v>
      </c>
      <c r="C568" t="s">
        <v>9</v>
      </c>
      <c r="D568" s="15"/>
      <c r="P568" s="4"/>
    </row>
    <row r="569" spans="1:16">
      <c r="A569" t="s">
        <v>785</v>
      </c>
      <c r="B569" s="4">
        <f>IF('User Interface'!$B$8=Options!$E$4,IF('User Interface'!$B$9=Options!$F$5,F540,G540),IF('User Interface'!$B$9=Options!$F$4,IF('User Interface'!$B$12=Options!$G$4,D540,E540),IF('User Interface'!$B$12=Options!$G$4,B540,C540)))</f>
        <v>48.858908672642535</v>
      </c>
      <c r="C569" t="s">
        <v>782</v>
      </c>
      <c r="D569" s="15"/>
      <c r="P569" s="4"/>
    </row>
    <row r="570" spans="1:16">
      <c r="A570" t="s">
        <v>784</v>
      </c>
      <c r="B570" s="3">
        <f>B567*B569</f>
        <v>1172.6138081434208</v>
      </c>
      <c r="C570" t="s">
        <v>786</v>
      </c>
      <c r="D570" s="15"/>
      <c r="P570" s="4"/>
    </row>
    <row r="571" spans="1:16">
      <c r="A571" t="s">
        <v>566</v>
      </c>
      <c r="B571" s="1">
        <f>IF('User Interface'!$B$8=Options!$E$4,IF('User Interface'!$B$9=Options!$F$5,Calculations!$F$541,Calculations!$G$541),IF('User Interface'!$B$9=Options!$F$4,IF('User Interface'!$B$12=Options!$G$4,D541,E541),IF('User Interface'!$B$12=Options!$G$4,B541,C541)))</f>
        <v>6.62</v>
      </c>
      <c r="C571" t="s">
        <v>36</v>
      </c>
      <c r="P571" s="4"/>
    </row>
    <row r="572" spans="1:16">
      <c r="A572" t="s">
        <v>574</v>
      </c>
      <c r="B572" s="1">
        <f>IF('User Interface'!$B$8=Options!$E$4,IF('User Interface'!$B$9=Options!$F$5,Calculations!$F$542,Calculations!$G$542),IF('User Interface'!$B$9=Options!$F$4,IF('User Interface'!$B$12=Options!$G$4,D542,E542),IF('User Interface'!$B$12=Options!$G$4,B542,C542)))</f>
        <v>1.2450000000000001</v>
      </c>
      <c r="C572" t="s">
        <v>36</v>
      </c>
      <c r="P572" s="4"/>
    </row>
    <row r="573" spans="1:16">
      <c r="A573" t="s">
        <v>571</v>
      </c>
      <c r="B573" s="3">
        <f>IF('User Interface'!$B$8=Options!$E$4,IF('User Interface'!$B$9=Options!$F$5,Calculations!$F$543,Calculations!$G$543),IF('User Interface'!$B$9=Options!$F$4,IF('User Interface'!$B$12=Options!$G$4,D543,E543),IF('User Interface'!$B$12=Options!$G$4,B543,C543)))</f>
        <v>51.714590763591119</v>
      </c>
      <c r="C573" t="s">
        <v>27</v>
      </c>
      <c r="P573" s="4"/>
    </row>
    <row r="574" spans="1:16">
      <c r="A574" t="s">
        <v>602</v>
      </c>
      <c r="B574" s="1">
        <f>IF('User Interface'!$B$8=Options!$E$4,IF('User Interface'!$B$9=Options!$F$5,Calculations!$F$544,Calculations!$G$544),IF('User Interface'!$B$9=Options!$F$4,IF('User Interface'!$B$12=Options!$G$4,D544,E544),IF('User Interface'!$B$12=Options!$G$4,B544,C544)))</f>
        <v>3.1749999999999999E-3</v>
      </c>
      <c r="C574" t="s">
        <v>36</v>
      </c>
    </row>
    <row r="575" spans="1:16">
      <c r="A575" t="s">
        <v>576</v>
      </c>
      <c r="B575" s="1">
        <f>IF('User Interface'!$B$8=Options!$E$4,IF('User Interface'!$B$9=Options!$F$5,Calculations!$F$545,Calculations!$G$545),IF('User Interface'!$B$9=Options!$F$4,IF('User Interface'!$B$12=Options!$G$4,D545,E545),IF('User Interface'!$B$12=Options!$G$4,B545,C545)))</f>
        <v>3.1195351194681885E-2</v>
      </c>
      <c r="C575" t="s">
        <v>556</v>
      </c>
    </row>
    <row r="576" spans="1:16">
      <c r="A576" t="s">
        <v>575</v>
      </c>
      <c r="B576" s="1">
        <f>IF('User Interface'!$B$8=Options!$E$4,IF('User Interface'!$B$9=Options!$F$5,Calculations!$F$546,Calculations!$G$546),IF('User Interface'!$B$9=Options!$F$4,IF('User Interface'!$B$12=Options!$G$4,D546,E546),IF('User Interface'!$B$12=Options!$G$4,B546,C546)))</f>
        <v>0.127</v>
      </c>
      <c r="C576" t="s">
        <v>36</v>
      </c>
    </row>
    <row r="577" spans="1:5">
      <c r="A577" t="s">
        <v>601</v>
      </c>
      <c r="B577" s="1">
        <f>IF('User Interface'!$B$8=Options!$E$4,IF('User Interface'!$B$9=Options!$F$5,Calculations!$F$547,Calculations!$G$547),IF('User Interface'!$B$9=Options!$F$4,IF('User Interface'!$B$12=Options!$G$4,D547,E547),IF('User Interface'!$B$12=Options!$G$4,B547,C547)))</f>
        <v>1.9989800000000002E-2</v>
      </c>
      <c r="C577" t="s">
        <v>36</v>
      </c>
    </row>
    <row r="578" spans="1:5">
      <c r="B578" s="5"/>
      <c r="C578" s="49"/>
    </row>
    <row r="579" spans="1:5" s="37" customFormat="1">
      <c r="A579" s="37" t="s">
        <v>630</v>
      </c>
      <c r="B579" s="45"/>
      <c r="C579" s="48"/>
    </row>
    <row r="580" spans="1:5">
      <c r="A580" t="s">
        <v>34</v>
      </c>
      <c r="B580" s="5">
        <v>3.78</v>
      </c>
      <c r="C580" s="49" t="s">
        <v>24</v>
      </c>
    </row>
    <row r="581" spans="1:5">
      <c r="A581" t="s">
        <v>23</v>
      </c>
      <c r="B581" s="5">
        <v>3.472</v>
      </c>
      <c r="C581" s="49" t="s">
        <v>24</v>
      </c>
    </row>
    <row r="582" spans="1:5">
      <c r="A582" t="s">
        <v>96</v>
      </c>
      <c r="B582" s="15">
        <v>20000</v>
      </c>
      <c r="C582" s="49" t="s">
        <v>720</v>
      </c>
    </row>
    <row r="583" spans="1:5">
      <c r="B583" s="15">
        <f>B582*$B$135</f>
        <v>31516.840213903364</v>
      </c>
      <c r="C583" s="49" t="str">
        <f>$B$128&amp;" USD"</f>
        <v>2024 USD</v>
      </c>
    </row>
    <row r="584" spans="1:5">
      <c r="A584" t="s">
        <v>97</v>
      </c>
      <c r="B584" s="15">
        <v>25000</v>
      </c>
      <c r="C584" s="49" t="s">
        <v>720</v>
      </c>
    </row>
    <row r="585" spans="1:5">
      <c r="B585" s="15">
        <f>B584*$B$135</f>
        <v>39396.050267379207</v>
      </c>
      <c r="C585" s="49" t="str">
        <f>$B$128&amp;" USD"</f>
        <v>2024 USD</v>
      </c>
    </row>
    <row r="586" spans="1:5">
      <c r="A586" t="s">
        <v>98</v>
      </c>
      <c r="B586" s="15">
        <v>50000</v>
      </c>
      <c r="C586" s="49" t="s">
        <v>720</v>
      </c>
    </row>
    <row r="587" spans="1:5">
      <c r="B587" s="15">
        <f>B586*$B$135</f>
        <v>78792.100534758414</v>
      </c>
      <c r="C587" s="49" t="str">
        <f>$B$128&amp;" USD"</f>
        <v>2024 USD</v>
      </c>
    </row>
    <row r="588" spans="1:5">
      <c r="B588" s="15"/>
      <c r="C588" s="49"/>
    </row>
    <row r="589" spans="1:5" s="37" customFormat="1">
      <c r="A589" s="37" t="s">
        <v>665</v>
      </c>
      <c r="B589" s="59"/>
      <c r="C589" s="48"/>
    </row>
    <row r="590" spans="1:5" s="92" customFormat="1">
      <c r="A590" s="92" t="s">
        <v>963</v>
      </c>
      <c r="B590" s="93"/>
      <c r="C590" s="94"/>
    </row>
    <row r="591" spans="1:5" s="20" customFormat="1">
      <c r="A591" s="92" t="s">
        <v>976</v>
      </c>
      <c r="B591" s="60"/>
    </row>
    <row r="592" spans="1:5" s="20" customFormat="1">
      <c r="A592" s="20" t="s">
        <v>523</v>
      </c>
      <c r="B592" s="50">
        <f>IF('User Interface'!$B$12=Options!$G$4,B535,C535)</f>
        <v>22.725892457964925</v>
      </c>
      <c r="C592" s="20" t="s">
        <v>2</v>
      </c>
      <c r="E592" s="50"/>
    </row>
    <row r="593" spans="1:5">
      <c r="A593" t="s">
        <v>631</v>
      </c>
      <c r="B593" s="3">
        <f>($B$4*1000)/B592</f>
        <v>13200.801709103249</v>
      </c>
      <c r="C593" s="49" t="s">
        <v>33</v>
      </c>
      <c r="E593" s="3"/>
    </row>
    <row r="594" spans="1:5">
      <c r="A594" t="s">
        <v>312</v>
      </c>
      <c r="B594" s="3">
        <f>($A$65*$A$64*$A$63)/B593</f>
        <v>39.843034657304102</v>
      </c>
      <c r="C594" s="49" t="s">
        <v>32</v>
      </c>
    </row>
    <row r="595" spans="1:5">
      <c r="A595" t="s">
        <v>25</v>
      </c>
      <c r="B595" s="3">
        <f>$B$592/($B$581*($A$61/1000))</f>
        <v>109.09126563923256</v>
      </c>
      <c r="C595" s="49" t="s">
        <v>32</v>
      </c>
    </row>
    <row r="596" spans="1:5">
      <c r="A596" t="s">
        <v>677</v>
      </c>
      <c r="B596" s="3">
        <f>$B$592/($B$580*($A$61/1000))</f>
        <v>100.20234769825805</v>
      </c>
      <c r="C596" s="49" t="s">
        <v>32</v>
      </c>
    </row>
    <row r="597" spans="1:5">
      <c r="A597" t="s">
        <v>634</v>
      </c>
      <c r="B597" s="3">
        <v>1</v>
      </c>
      <c r="C597" s="49" t="s">
        <v>32</v>
      </c>
    </row>
    <row r="598" spans="1:5">
      <c r="A598" t="s">
        <v>635</v>
      </c>
      <c r="B598" s="3">
        <v>5</v>
      </c>
      <c r="C598" s="49" t="s">
        <v>32</v>
      </c>
    </row>
    <row r="599" spans="1:5">
      <c r="A599" t="s">
        <v>636</v>
      </c>
      <c r="B599" s="3">
        <v>3</v>
      </c>
      <c r="C599" s="49" t="s">
        <v>32</v>
      </c>
    </row>
    <row r="600" spans="1:5">
      <c r="A600" t="s">
        <v>637</v>
      </c>
      <c r="B600" s="3">
        <v>1</v>
      </c>
      <c r="C600" s="49" t="s">
        <v>32</v>
      </c>
    </row>
    <row r="601" spans="1:5">
      <c r="A601" t="s">
        <v>649</v>
      </c>
      <c r="B601" s="3">
        <f>B595+SUM(B$597:B$600)</f>
        <v>119.09126563923256</v>
      </c>
      <c r="C601" s="49" t="s">
        <v>32</v>
      </c>
    </row>
    <row r="602" spans="1:5">
      <c r="A602" t="s">
        <v>650</v>
      </c>
      <c r="B602" s="3">
        <f>SUM(B$596:B$600)</f>
        <v>110.20234769825805</v>
      </c>
      <c r="C602" s="49" t="s">
        <v>32</v>
      </c>
    </row>
    <row r="603" spans="1:5">
      <c r="A603" t="s">
        <v>638</v>
      </c>
      <c r="B603" s="3">
        <f>ROUNDUP(B601/$B$594,0)</f>
        <v>3</v>
      </c>
      <c r="C603" s="49" t="s">
        <v>38</v>
      </c>
    </row>
    <row r="604" spans="1:5">
      <c r="A604" t="s">
        <v>678</v>
      </c>
      <c r="B604" s="3">
        <f>ROUNDUP((B603*SUM(B597:B600))/B594,0)</f>
        <v>1</v>
      </c>
      <c r="C604" s="49" t="s">
        <v>38</v>
      </c>
    </row>
    <row r="605" spans="1:5">
      <c r="A605" t="s">
        <v>639</v>
      </c>
      <c r="B605" s="3">
        <f>ROUNDUP(B602/$B$594,0)</f>
        <v>3</v>
      </c>
      <c r="C605" s="49" t="s">
        <v>38</v>
      </c>
    </row>
    <row r="606" spans="1:5">
      <c r="A606" t="s">
        <v>679</v>
      </c>
      <c r="B606" s="3">
        <f>ROUNDUP((B605*SUM(B597:B600))/B594,0)</f>
        <v>1</v>
      </c>
      <c r="C606" s="49" t="s">
        <v>38</v>
      </c>
    </row>
    <row r="607" spans="1:5">
      <c r="A607" t="s">
        <v>669</v>
      </c>
      <c r="B607" s="3">
        <v>0</v>
      </c>
      <c r="C607" s="49" t="s">
        <v>38</v>
      </c>
    </row>
    <row r="608" spans="1:5">
      <c r="A608" t="s">
        <v>670</v>
      </c>
      <c r="B608" s="3">
        <v>0</v>
      </c>
      <c r="C608" s="49" t="s">
        <v>38</v>
      </c>
    </row>
    <row r="609" spans="1:3">
      <c r="A609" t="s">
        <v>668</v>
      </c>
      <c r="B609" s="3">
        <f>($B$20/$BN$242)*$A$63</f>
        <v>317.79661016949149</v>
      </c>
      <c r="C609" s="49" t="s">
        <v>32</v>
      </c>
    </row>
    <row r="610" spans="1:3">
      <c r="A610" t="s">
        <v>645</v>
      </c>
      <c r="B610" s="4">
        <f>$BQ$242*$B$20</f>
        <v>2.4439918533604885</v>
      </c>
      <c r="C610" s="49" t="s">
        <v>38</v>
      </c>
    </row>
    <row r="611" spans="1:3">
      <c r="A611" t="s">
        <v>647</v>
      </c>
      <c r="B611">
        <v>5</v>
      </c>
      <c r="C611" s="49" t="s">
        <v>32</v>
      </c>
    </row>
    <row r="612" spans="1:3">
      <c r="A612" t="s">
        <v>646</v>
      </c>
      <c r="B612" s="3">
        <f>B610*B611</f>
        <v>12.219959266802443</v>
      </c>
      <c r="C612" s="49" t="s">
        <v>32</v>
      </c>
    </row>
    <row r="613" spans="1:3">
      <c r="A613" t="s">
        <v>654</v>
      </c>
      <c r="B613" s="3">
        <f>($B$110/2)/((1/$BN$242)+($BQ$242*(B611/$A$63)))</f>
        <v>299.98493763238412</v>
      </c>
      <c r="C613" s="49" t="s">
        <v>8</v>
      </c>
    </row>
    <row r="614" spans="1:3">
      <c r="A614" t="s">
        <v>658</v>
      </c>
      <c r="B614" s="3">
        <f>IF('User Interface'!$B$12=Options!$G$4,ROUNDUP(($B$20/B613),0)-1,0)</f>
        <v>1</v>
      </c>
      <c r="C614" s="49" t="s">
        <v>38</v>
      </c>
    </row>
    <row r="615" spans="1:3">
      <c r="A615" t="s">
        <v>659</v>
      </c>
      <c r="B615" s="3">
        <f>B614*$B$109</f>
        <v>30</v>
      </c>
      <c r="C615" s="49" t="s">
        <v>32</v>
      </c>
    </row>
    <row r="616" spans="1:3">
      <c r="A616" t="s">
        <v>634</v>
      </c>
      <c r="B616" s="3">
        <v>1</v>
      </c>
      <c r="C616" s="49" t="s">
        <v>32</v>
      </c>
    </row>
    <row r="617" spans="1:3">
      <c r="A617" t="s">
        <v>680</v>
      </c>
      <c r="B617" s="3">
        <v>2</v>
      </c>
      <c r="C617" s="49" t="s">
        <v>32</v>
      </c>
    </row>
    <row r="618" spans="1:3">
      <c r="A618" t="s">
        <v>681</v>
      </c>
      <c r="B618" s="3">
        <v>2</v>
      </c>
      <c r="C618" s="49" t="s">
        <v>32</v>
      </c>
    </row>
    <row r="619" spans="1:3">
      <c r="A619" t="s">
        <v>637</v>
      </c>
      <c r="B619" s="3">
        <v>1</v>
      </c>
      <c r="C619" s="49" t="s">
        <v>32</v>
      </c>
    </row>
    <row r="620" spans="1:3">
      <c r="A620" t="s">
        <v>682</v>
      </c>
      <c r="B620" s="3">
        <f>ROUNDUP(SUM(B616:B619)/B594,0)*B614</f>
        <v>1</v>
      </c>
      <c r="C620" s="49" t="s">
        <v>38</v>
      </c>
    </row>
    <row r="621" spans="1:3">
      <c r="A621" t="s">
        <v>661</v>
      </c>
      <c r="B621" s="3">
        <f>B601+B609+B612+B615</f>
        <v>479.10783507552651</v>
      </c>
      <c r="C621" s="49" t="s">
        <v>32</v>
      </c>
    </row>
    <row r="622" spans="1:3">
      <c r="A622" t="s">
        <v>662</v>
      </c>
      <c r="B622" s="3">
        <f>B602+B609+B612+B615</f>
        <v>470.21891713455199</v>
      </c>
      <c r="C622" s="49" t="s">
        <v>32</v>
      </c>
    </row>
    <row r="623" spans="1:3">
      <c r="A623" t="s">
        <v>660</v>
      </c>
      <c r="B623" s="4">
        <f>(B592/(B621+B622))*($A$63*$A$64*$A$65)*(1/1000)</f>
        <v>12.590933911178929</v>
      </c>
      <c r="C623" s="49" t="s">
        <v>20</v>
      </c>
    </row>
    <row r="624" spans="1:3">
      <c r="A624" t="s">
        <v>663</v>
      </c>
      <c r="B624" s="3">
        <f>ROUNDUP($B$4/B623,0)</f>
        <v>24</v>
      </c>
      <c r="C624" s="49" t="s">
        <v>38</v>
      </c>
    </row>
    <row r="625" spans="1:4">
      <c r="A625" t="s">
        <v>39</v>
      </c>
      <c r="B625" s="3">
        <f>IF('User Interface'!$B$12=Options!$G$4,B$624,2*B$624)</f>
        <v>24</v>
      </c>
      <c r="C625" s="49" t="s">
        <v>38</v>
      </c>
    </row>
    <row r="626" spans="1:4">
      <c r="A626" t="s">
        <v>664</v>
      </c>
      <c r="B626" s="3">
        <f>B593/B624</f>
        <v>550.03340454596866</v>
      </c>
      <c r="C626" s="49" t="s">
        <v>667</v>
      </c>
    </row>
    <row r="627" spans="1:4">
      <c r="B627" s="3"/>
      <c r="C627" s="3"/>
      <c r="D627" s="49"/>
    </row>
    <row r="628" spans="1:4">
      <c r="A628" s="92" t="s">
        <v>977</v>
      </c>
      <c r="B628" s="20"/>
      <c r="C628" s="3"/>
      <c r="D628" s="49"/>
    </row>
    <row r="629" spans="1:4">
      <c r="A629" s="20" t="s">
        <v>523</v>
      </c>
      <c r="B629" s="50">
        <f>IF('User Interface'!$B$12=Options!$G$4,D535,E535)</f>
        <v>19.602147440683037</v>
      </c>
      <c r="C629" s="20" t="s">
        <v>2</v>
      </c>
      <c r="D629" s="49"/>
    </row>
    <row r="630" spans="1:4">
      <c r="A630" t="s">
        <v>631</v>
      </c>
      <c r="B630" s="3">
        <f>($B$4*1000)/B629</f>
        <v>15304.445643407858</v>
      </c>
      <c r="C630" s="49" t="s">
        <v>33</v>
      </c>
      <c r="D630" s="49"/>
    </row>
    <row r="631" spans="1:4">
      <c r="A631" t="s">
        <v>312</v>
      </c>
      <c r="B631" s="3">
        <f>($A$65*$A$64*$A$63)/B630</f>
        <v>34.366484893005499</v>
      </c>
      <c r="C631" s="49" t="s">
        <v>32</v>
      </c>
      <c r="D631" s="49"/>
    </row>
    <row r="632" spans="1:4">
      <c r="A632" t="s">
        <v>25</v>
      </c>
      <c r="B632" s="3">
        <f>$B$629/($B$581*($A$61/1000))</f>
        <v>94.09632988039094</v>
      </c>
      <c r="C632" s="49" t="s">
        <v>32</v>
      </c>
      <c r="D632" s="49"/>
    </row>
    <row r="633" spans="1:4">
      <c r="A633" t="s">
        <v>638</v>
      </c>
      <c r="B633" s="3">
        <f>ROUNDUP($B$7/$B$581,0)</f>
        <v>3</v>
      </c>
      <c r="C633" s="49" t="s">
        <v>38</v>
      </c>
      <c r="D633" s="49"/>
    </row>
    <row r="634" spans="1:4">
      <c r="A634" t="s">
        <v>981</v>
      </c>
      <c r="B634" s="3">
        <v>3</v>
      </c>
      <c r="C634" s="49" t="s">
        <v>32</v>
      </c>
      <c r="D634" s="49"/>
    </row>
    <row r="635" spans="1:4">
      <c r="A635" t="s">
        <v>982</v>
      </c>
      <c r="B635" s="3">
        <v>3</v>
      </c>
      <c r="C635" s="49" t="s">
        <v>32</v>
      </c>
      <c r="D635" s="49"/>
    </row>
    <row r="636" spans="1:4">
      <c r="A636" t="s">
        <v>983</v>
      </c>
      <c r="B636">
        <f>ROUNDDOWN(B632/SUM(B634:B635),0)</f>
        <v>15</v>
      </c>
      <c r="C636" s="49" t="s">
        <v>38</v>
      </c>
      <c r="D636" s="49"/>
    </row>
    <row r="637" spans="1:4">
      <c r="A637" t="s">
        <v>678</v>
      </c>
      <c r="B637" s="3">
        <f>ROUNDUP(B633/B636,0)</f>
        <v>1</v>
      </c>
      <c r="C637" s="49" t="s">
        <v>38</v>
      </c>
      <c r="D637" s="49"/>
    </row>
    <row r="638" spans="1:4">
      <c r="A638" t="s">
        <v>677</v>
      </c>
      <c r="B638" s="3">
        <f>$B$629/($B$580*($A$61/1000))</f>
        <v>86.429221519766486</v>
      </c>
      <c r="C638" s="49" t="s">
        <v>32</v>
      </c>
      <c r="D638" s="49"/>
    </row>
    <row r="639" spans="1:4">
      <c r="A639" t="s">
        <v>639</v>
      </c>
      <c r="B639">
        <f>ROUNDUP($B$7/$B$580,0)</f>
        <v>3</v>
      </c>
      <c r="C639" s="49" t="s">
        <v>38</v>
      </c>
      <c r="D639" s="49"/>
    </row>
    <row r="640" spans="1:4">
      <c r="A640" t="s">
        <v>983</v>
      </c>
      <c r="B640">
        <f>ROUNDDOWN(B638/SUM(B634:B635),0)</f>
        <v>14</v>
      </c>
      <c r="C640" s="49" t="s">
        <v>38</v>
      </c>
      <c r="D640" s="49"/>
    </row>
    <row r="641" spans="1:4">
      <c r="A641" t="s">
        <v>679</v>
      </c>
      <c r="B641" s="3">
        <f>ROUNDUP(B639/B640,0)</f>
        <v>1</v>
      </c>
      <c r="C641" s="49" t="s">
        <v>38</v>
      </c>
      <c r="D641" s="49"/>
    </row>
    <row r="642" spans="1:4">
      <c r="A642" t="s">
        <v>634</v>
      </c>
      <c r="B642">
        <v>1</v>
      </c>
      <c r="C642" s="49" t="s">
        <v>32</v>
      </c>
      <c r="D642" s="49"/>
    </row>
    <row r="643" spans="1:4">
      <c r="A643" t="s">
        <v>648</v>
      </c>
      <c r="B643">
        <v>5</v>
      </c>
      <c r="C643" s="49" t="s">
        <v>32</v>
      </c>
      <c r="D643" s="49"/>
    </row>
    <row r="644" spans="1:4">
      <c r="A644" t="s">
        <v>978</v>
      </c>
      <c r="B644">
        <v>5</v>
      </c>
      <c r="C644" s="49" t="s">
        <v>32</v>
      </c>
      <c r="D644" s="49"/>
    </row>
    <row r="645" spans="1:4">
      <c r="A645" t="s">
        <v>637</v>
      </c>
      <c r="B645">
        <v>1</v>
      </c>
      <c r="C645" s="49" t="s">
        <v>32</v>
      </c>
      <c r="D645" s="49"/>
    </row>
    <row r="646" spans="1:4">
      <c r="A646" t="s">
        <v>979</v>
      </c>
      <c r="B646" s="3">
        <f>MAX($B$109-SUM(B642:B645),0)</f>
        <v>18</v>
      </c>
      <c r="C646" s="49" t="s">
        <v>32</v>
      </c>
      <c r="D646" s="49"/>
    </row>
    <row r="647" spans="1:4">
      <c r="A647" t="s">
        <v>649</v>
      </c>
      <c r="B647" s="3">
        <f>B646+SUM(B$642:B$645)</f>
        <v>30</v>
      </c>
      <c r="C647" s="49" t="s">
        <v>32</v>
      </c>
      <c r="D647" s="49"/>
    </row>
    <row r="648" spans="1:4">
      <c r="A648" t="s">
        <v>669</v>
      </c>
      <c r="B648" s="3">
        <f>ROUNDUP(SUM(B642:B645)/B631,0)</f>
        <v>1</v>
      </c>
      <c r="C648" s="49" t="s">
        <v>38</v>
      </c>
      <c r="D648" s="49"/>
    </row>
    <row r="649" spans="1:4">
      <c r="A649" t="s">
        <v>990</v>
      </c>
      <c r="B649" s="3">
        <f>ROUNDUP(B643/B631,0)</f>
        <v>1</v>
      </c>
      <c r="C649" s="49" t="s">
        <v>38</v>
      </c>
      <c r="D649" s="49"/>
    </row>
    <row r="650" spans="1:4">
      <c r="A650" t="s">
        <v>980</v>
      </c>
      <c r="B650" s="3">
        <f>MAX($B$109-SUM(B642:B645),0)</f>
        <v>18</v>
      </c>
      <c r="C650" s="49" t="s">
        <v>32</v>
      </c>
      <c r="D650" s="49"/>
    </row>
    <row r="651" spans="1:4">
      <c r="A651" t="s">
        <v>650</v>
      </c>
      <c r="B651" s="3">
        <f>B650+SUM(B$642:B$645)</f>
        <v>30</v>
      </c>
      <c r="C651" s="49" t="s">
        <v>32</v>
      </c>
      <c r="D651" s="49"/>
    </row>
    <row r="652" spans="1:4">
      <c r="A652" t="s">
        <v>670</v>
      </c>
      <c r="B652" s="3">
        <f>ROUNDUP(SUM(B641:B645)/B631,0)</f>
        <v>1</v>
      </c>
      <c r="C652" s="49" t="s">
        <v>38</v>
      </c>
      <c r="D652" s="49"/>
    </row>
    <row r="653" spans="1:4">
      <c r="A653" t="s">
        <v>989</v>
      </c>
      <c r="B653" s="3">
        <f>ROUNDUP(B643/B631,0)</f>
        <v>1</v>
      </c>
      <c r="C653" s="49" t="s">
        <v>38</v>
      </c>
      <c r="D653" s="49"/>
    </row>
    <row r="654" spans="1:4">
      <c r="A654" t="s">
        <v>668</v>
      </c>
      <c r="B654" s="3">
        <f>($B$20/$BN$242)*$A$63</f>
        <v>317.79661016949149</v>
      </c>
      <c r="C654" s="49" t="s">
        <v>32</v>
      </c>
      <c r="D654" s="49"/>
    </row>
    <row r="655" spans="1:4">
      <c r="A655" t="s">
        <v>645</v>
      </c>
      <c r="B655" s="4">
        <f>$BQ$242*$B$20</f>
        <v>2.4439918533604885</v>
      </c>
      <c r="C655" s="49"/>
      <c r="D655" s="49"/>
    </row>
    <row r="656" spans="1:4">
      <c r="A656" t="s">
        <v>647</v>
      </c>
      <c r="B656">
        <v>5</v>
      </c>
      <c r="C656" s="49" t="s">
        <v>32</v>
      </c>
      <c r="D656" s="49"/>
    </row>
    <row r="657" spans="1:4">
      <c r="A657" t="s">
        <v>646</v>
      </c>
      <c r="B657" s="3">
        <f>B655*B656</f>
        <v>12.219959266802443</v>
      </c>
      <c r="C657" s="49" t="s">
        <v>32</v>
      </c>
      <c r="D657" s="49"/>
    </row>
    <row r="658" spans="1:4">
      <c r="A658" t="s">
        <v>654</v>
      </c>
      <c r="B658" s="3">
        <f>($B$110/2)/((1/$BN$242)+($BQ$242*(B656/$A$63)))</f>
        <v>299.98493763238412</v>
      </c>
      <c r="C658" s="49" t="s">
        <v>8</v>
      </c>
      <c r="D658" s="49"/>
    </row>
    <row r="659" spans="1:4">
      <c r="A659" t="s">
        <v>658</v>
      </c>
      <c r="B659" s="3">
        <f>IF('User Interface'!$B$12=Options!$G$4,ROUNDUP(($B$20/B658),0)-1,0)</f>
        <v>1</v>
      </c>
      <c r="C659" s="49" t="s">
        <v>38</v>
      </c>
      <c r="D659" s="49"/>
    </row>
    <row r="660" spans="1:4">
      <c r="A660" t="s">
        <v>659</v>
      </c>
      <c r="B660" s="3">
        <f>B659*$B$109</f>
        <v>30</v>
      </c>
      <c r="C660" s="49" t="s">
        <v>32</v>
      </c>
      <c r="D660" s="49"/>
    </row>
    <row r="661" spans="1:4">
      <c r="A661" t="s">
        <v>634</v>
      </c>
      <c r="B661" s="3">
        <v>1</v>
      </c>
      <c r="C661" s="49" t="s">
        <v>32</v>
      </c>
      <c r="D661" s="49"/>
    </row>
    <row r="662" spans="1:4">
      <c r="A662" t="s">
        <v>680</v>
      </c>
      <c r="B662" s="3">
        <v>2</v>
      </c>
      <c r="C662" s="49" t="s">
        <v>32</v>
      </c>
      <c r="D662" s="49"/>
    </row>
    <row r="663" spans="1:4">
      <c r="A663" t="s">
        <v>681</v>
      </c>
      <c r="B663" s="3">
        <v>2</v>
      </c>
      <c r="C663" s="49" t="s">
        <v>32</v>
      </c>
      <c r="D663" s="49"/>
    </row>
    <row r="664" spans="1:4">
      <c r="A664" t="s">
        <v>637</v>
      </c>
      <c r="B664" s="3">
        <v>1</v>
      </c>
      <c r="C664" s="49" t="s">
        <v>32</v>
      </c>
      <c r="D664" s="49"/>
    </row>
    <row r="665" spans="1:4">
      <c r="A665" t="s">
        <v>682</v>
      </c>
      <c r="B665" s="3">
        <f>ROUNDUP(SUM(B661:B664)/B631,0)*B659</f>
        <v>1</v>
      </c>
      <c r="C665" s="49" t="s">
        <v>38</v>
      </c>
      <c r="D665" s="49"/>
    </row>
    <row r="666" spans="1:4">
      <c r="A666" t="s">
        <v>661</v>
      </c>
      <c r="B666" s="3">
        <f>B647+B654+B657+B660</f>
        <v>390.01656943629393</v>
      </c>
      <c r="C666" s="49" t="s">
        <v>32</v>
      </c>
      <c r="D666" s="49"/>
    </row>
    <row r="667" spans="1:4">
      <c r="A667" t="s">
        <v>662</v>
      </c>
      <c r="B667" s="3">
        <f>B651+B654+B657+B660</f>
        <v>390.01656943629393</v>
      </c>
      <c r="C667" s="49" t="s">
        <v>32</v>
      </c>
      <c r="D667" s="49"/>
    </row>
    <row r="668" spans="1:4">
      <c r="A668" t="s">
        <v>660</v>
      </c>
      <c r="B668" s="4">
        <f>(B629/(B666+B667))*($A$63*$A$64*$A$65)*(1/1000)</f>
        <v>13.217317257575768</v>
      </c>
      <c r="C668" s="49" t="s">
        <v>20</v>
      </c>
      <c r="D668" s="49"/>
    </row>
    <row r="669" spans="1:4">
      <c r="A669" t="s">
        <v>663</v>
      </c>
      <c r="B669" s="3">
        <f>ROUNDUP($B$4/B668,0)</f>
        <v>23</v>
      </c>
      <c r="C669" s="49" t="s">
        <v>38</v>
      </c>
      <c r="D669" s="49"/>
    </row>
    <row r="670" spans="1:4">
      <c r="A670" t="s">
        <v>39</v>
      </c>
      <c r="B670" s="3">
        <f>IF('User Interface'!$B$12=Options!$G$4,B$669,2*B$669)</f>
        <v>23</v>
      </c>
      <c r="C670" s="49" t="s">
        <v>38</v>
      </c>
      <c r="D670" s="49"/>
    </row>
    <row r="671" spans="1:4">
      <c r="A671" t="s">
        <v>664</v>
      </c>
      <c r="B671" s="3">
        <f>B630/B669</f>
        <v>665.41068014816778</v>
      </c>
      <c r="C671" s="49" t="s">
        <v>667</v>
      </c>
      <c r="D671" s="49"/>
    </row>
    <row r="672" spans="1:4">
      <c r="B672" s="3"/>
      <c r="C672" s="3"/>
      <c r="D672" s="49"/>
    </row>
    <row r="673" spans="1:4">
      <c r="A673" s="92" t="s">
        <v>964</v>
      </c>
      <c r="B673" s="3"/>
      <c r="C673" s="3"/>
      <c r="D673" s="49"/>
    </row>
    <row r="674" spans="1:4">
      <c r="A674" s="92" t="s">
        <v>965</v>
      </c>
      <c r="B674" s="3"/>
      <c r="C674" s="3"/>
      <c r="D674" s="49"/>
    </row>
    <row r="675" spans="1:4">
      <c r="A675" s="20" t="s">
        <v>973</v>
      </c>
      <c r="B675" s="3">
        <f>$B$20</f>
        <v>300</v>
      </c>
      <c r="C675" s="3" t="s">
        <v>8</v>
      </c>
      <c r="D675" s="49"/>
    </row>
    <row r="676" spans="1:4">
      <c r="A676" s="20" t="s">
        <v>974</v>
      </c>
      <c r="B676" s="4">
        <f>$CE$242</f>
        <v>11.611488125602412</v>
      </c>
      <c r="C676" s="3" t="s">
        <v>306</v>
      </c>
      <c r="D676" s="49"/>
    </row>
    <row r="677" spans="1:4">
      <c r="A677" s="20" t="s">
        <v>972</v>
      </c>
      <c r="B677" s="4">
        <f>B675/B676</f>
        <v>25.836481659790337</v>
      </c>
      <c r="C677" s="3" t="s">
        <v>10</v>
      </c>
      <c r="D677" s="49"/>
    </row>
    <row r="678" spans="1:4">
      <c r="A678" t="s">
        <v>635</v>
      </c>
      <c r="B678" s="3">
        <v>5</v>
      </c>
      <c r="C678" s="49" t="s">
        <v>32</v>
      </c>
      <c r="D678" s="49"/>
    </row>
    <row r="679" spans="1:4">
      <c r="A679" t="s">
        <v>636</v>
      </c>
      <c r="B679" s="3">
        <v>3</v>
      </c>
      <c r="C679" s="49" t="s">
        <v>32</v>
      </c>
      <c r="D679" s="49"/>
    </row>
    <row r="680" spans="1:4">
      <c r="A680" s="20" t="s">
        <v>1161</v>
      </c>
      <c r="B680" s="4">
        <f>(($F$535*$A$50)/$B$581)/$A$62</f>
        <v>6.5846647956771003</v>
      </c>
      <c r="C680" s="3" t="s">
        <v>10</v>
      </c>
      <c r="D680" s="49"/>
    </row>
    <row r="681" spans="1:4">
      <c r="A681" s="20" t="s">
        <v>1162</v>
      </c>
      <c r="B681" s="4">
        <f>(($F$535*$A$50)/$B$580)/$A$62</f>
        <v>6.0481365530663735</v>
      </c>
      <c r="C681" s="3" t="s">
        <v>10</v>
      </c>
      <c r="D681" s="49"/>
    </row>
    <row r="682" spans="1:4">
      <c r="A682" s="20" t="s">
        <v>1164</v>
      </c>
      <c r="B682" s="4">
        <f>B680-B681</f>
        <v>0.53652824261072674</v>
      </c>
      <c r="C682" s="3" t="s">
        <v>10</v>
      </c>
      <c r="D682" s="49"/>
    </row>
    <row r="683" spans="1:4">
      <c r="A683" s="20" t="s">
        <v>1163</v>
      </c>
      <c r="B683" s="4">
        <f>B677+(B678/$A$63)+B680+(B679/$A$63)+B677+(B678/$A$63)+B681+(B679/$A$63)+B682</f>
        <v>65.108959577601539</v>
      </c>
      <c r="C683" s="3" t="s">
        <v>10</v>
      </c>
      <c r="D683" s="49"/>
    </row>
    <row r="684" spans="1:4">
      <c r="A684" s="20" t="s">
        <v>1165</v>
      </c>
      <c r="B684" s="3">
        <f>B683*$B$6</f>
        <v>2228.2327028611066</v>
      </c>
      <c r="C684" s="3" t="s">
        <v>21</v>
      </c>
      <c r="D684" s="49"/>
    </row>
    <row r="685" spans="1:4">
      <c r="A685" s="20" t="s">
        <v>1158</v>
      </c>
      <c r="B685" s="3">
        <f>$F$535/$B$6</f>
        <v>2.4048948934967975</v>
      </c>
      <c r="C685" s="3" t="s">
        <v>10</v>
      </c>
      <c r="D685" s="49"/>
    </row>
    <row r="686" spans="1:4">
      <c r="A686" s="20" t="s">
        <v>1166</v>
      </c>
      <c r="B686" s="3">
        <f>IF(B683&lt;B685,(B685-B683)/2,0)</f>
        <v>0</v>
      </c>
      <c r="C686" s="3" t="s">
        <v>10</v>
      </c>
      <c r="D686" s="49"/>
    </row>
    <row r="687" spans="1:4">
      <c r="A687" s="20" t="s">
        <v>1178</v>
      </c>
      <c r="B687" s="3">
        <v>1</v>
      </c>
      <c r="C687" s="3" t="s">
        <v>38</v>
      </c>
      <c r="D687" s="49"/>
    </row>
    <row r="688" spans="1:4">
      <c r="A688" s="20" t="s">
        <v>1167</v>
      </c>
      <c r="B688" s="3">
        <f>(B683+(2*B686))/B687</f>
        <v>65.108959577601539</v>
      </c>
      <c r="C688" s="3" t="s">
        <v>10</v>
      </c>
      <c r="D688" s="49"/>
    </row>
    <row r="689" spans="1:4">
      <c r="A689" s="20" t="s">
        <v>1165</v>
      </c>
      <c r="B689" s="3">
        <f>B688*$B$6</f>
        <v>2228.2327028611066</v>
      </c>
      <c r="C689" s="3" t="s">
        <v>21</v>
      </c>
      <c r="D689" s="49"/>
    </row>
    <row r="690" spans="1:4">
      <c r="A690" s="20" t="s">
        <v>1159</v>
      </c>
      <c r="B690" s="3">
        <f>ROUNDUP(B689/$F$535,0)</f>
        <v>28</v>
      </c>
      <c r="C690" s="3" t="s">
        <v>38</v>
      </c>
      <c r="D690" s="49"/>
    </row>
    <row r="691" spans="1:4">
      <c r="A691" s="20" t="s">
        <v>1170</v>
      </c>
      <c r="B691" s="3">
        <f>ROUNDUP(B690/$B$113,0)</f>
        <v>1</v>
      </c>
      <c r="C691" s="3" t="s">
        <v>38</v>
      </c>
      <c r="D691" s="49"/>
    </row>
    <row r="692" spans="1:4">
      <c r="A692" s="20" t="s">
        <v>967</v>
      </c>
      <c r="B692" s="3">
        <f>ROUNDUP(B690/B691,0)</f>
        <v>28</v>
      </c>
      <c r="C692" s="3" t="s">
        <v>1168</v>
      </c>
      <c r="D692" s="49"/>
    </row>
    <row r="693" spans="1:4">
      <c r="A693" s="20" t="s">
        <v>1177</v>
      </c>
      <c r="B693" s="3">
        <f>B688/B691</f>
        <v>65.108959577601539</v>
      </c>
      <c r="C693" s="3" t="s">
        <v>10</v>
      </c>
      <c r="D693" s="49"/>
    </row>
    <row r="694" spans="1:4">
      <c r="A694" s="20" t="s">
        <v>1165</v>
      </c>
      <c r="B694" s="3">
        <f>B693*$B$6</f>
        <v>2228.2327028611066</v>
      </c>
      <c r="C694" s="3" t="s">
        <v>21</v>
      </c>
      <c r="D694" s="49"/>
    </row>
    <row r="695" spans="1:4">
      <c r="A695" s="20" t="s">
        <v>1160</v>
      </c>
      <c r="B695" s="4">
        <f>(($F$535*$A$50)/$B$581)/$A$62</f>
        <v>6.5846647956771003</v>
      </c>
      <c r="C695" s="3" t="s">
        <v>966</v>
      </c>
      <c r="D695" s="49"/>
    </row>
    <row r="696" spans="1:4">
      <c r="A696" s="20" t="s">
        <v>971</v>
      </c>
      <c r="B696" s="3">
        <f>B692</f>
        <v>28</v>
      </c>
      <c r="C696" s="3" t="s">
        <v>38</v>
      </c>
      <c r="D696" s="49"/>
    </row>
    <row r="697" spans="1:4">
      <c r="A697" s="20" t="s">
        <v>1171</v>
      </c>
      <c r="B697">
        <f>ROUNDDOWN((MAX(B680:B681)*$A$63)/SUM(B678:B679),0)</f>
        <v>49</v>
      </c>
      <c r="C697" s="3" t="s">
        <v>1172</v>
      </c>
      <c r="D697" s="49"/>
    </row>
    <row r="698" spans="1:4">
      <c r="A698" s="20" t="s">
        <v>1173</v>
      </c>
      <c r="B698">
        <f>ROUNDUP(B696/B697,0)</f>
        <v>1</v>
      </c>
      <c r="C698" s="3" t="s">
        <v>38</v>
      </c>
      <c r="D698" s="49"/>
    </row>
    <row r="699" spans="1:4">
      <c r="A699" s="20" t="s">
        <v>1174</v>
      </c>
      <c r="B699" s="3">
        <f>ROUNDUP(B696/B697,0)</f>
        <v>1</v>
      </c>
      <c r="C699" s="3" t="s">
        <v>38</v>
      </c>
      <c r="D699" s="49"/>
    </row>
    <row r="700" spans="1:4">
      <c r="A700" t="s">
        <v>669</v>
      </c>
      <c r="B700" s="3">
        <v>0</v>
      </c>
      <c r="C700" s="3" t="s">
        <v>38</v>
      </c>
      <c r="D700" s="49"/>
    </row>
    <row r="701" spans="1:4">
      <c r="A701" t="s">
        <v>670</v>
      </c>
      <c r="B701" s="3">
        <v>0</v>
      </c>
      <c r="C701" s="3" t="s">
        <v>38</v>
      </c>
      <c r="D701" s="49"/>
    </row>
    <row r="702" spans="1:4">
      <c r="A702" s="20" t="s">
        <v>1175</v>
      </c>
      <c r="B702" s="3">
        <v>0</v>
      </c>
      <c r="C702" s="3" t="s">
        <v>38</v>
      </c>
      <c r="D702" s="49"/>
    </row>
    <row r="703" spans="1:4">
      <c r="A703" t="s">
        <v>661</v>
      </c>
      <c r="B703" s="3">
        <f>($B$688/2)*$A$63</f>
        <v>1953.2687873280461</v>
      </c>
      <c r="C703" s="49" t="s">
        <v>32</v>
      </c>
      <c r="D703" s="49"/>
    </row>
    <row r="704" spans="1:4">
      <c r="A704" t="s">
        <v>662</v>
      </c>
      <c r="B704" s="3">
        <f>($B$683/2)*$A$63</f>
        <v>1953.2687873280461</v>
      </c>
      <c r="C704" s="49" t="s">
        <v>32</v>
      </c>
      <c r="D704" s="49"/>
    </row>
    <row r="705" spans="1:4">
      <c r="A705" t="s">
        <v>1169</v>
      </c>
      <c r="B705" s="3">
        <f>($B$4*$A$50)/$F$535</f>
        <v>3645.0657464093761</v>
      </c>
      <c r="C705" s="3" t="s">
        <v>33</v>
      </c>
      <c r="D705" s="49"/>
    </row>
    <row r="706" spans="1:4">
      <c r="A706" t="s">
        <v>664</v>
      </c>
      <c r="B706" s="3">
        <f>B705/B690</f>
        <v>130.18091951462057</v>
      </c>
      <c r="C706" s="49" t="s">
        <v>667</v>
      </c>
      <c r="D706" s="49"/>
    </row>
    <row r="707" spans="1:4">
      <c r="B707" s="3"/>
      <c r="C707" s="3"/>
      <c r="D707" s="49"/>
    </row>
    <row r="708" spans="1:4">
      <c r="A708" s="92" t="s">
        <v>975</v>
      </c>
      <c r="B708" s="3"/>
      <c r="C708" s="3"/>
      <c r="D708" s="49"/>
    </row>
    <row r="709" spans="1:4">
      <c r="A709" s="49" t="str">
        <f t="shared" ref="A709:B711" si="56">A675</f>
        <v>Transport distance</v>
      </c>
      <c r="B709" s="49">
        <f t="shared" si="56"/>
        <v>300</v>
      </c>
      <c r="C709" s="49" t="s">
        <v>8</v>
      </c>
    </row>
    <row r="710" spans="1:4">
      <c r="A710" s="49" t="str">
        <f t="shared" si="56"/>
        <v>Transport speed</v>
      </c>
      <c r="B710" s="49">
        <f t="shared" si="56"/>
        <v>11.611488125602412</v>
      </c>
      <c r="C710" s="49" t="s">
        <v>306</v>
      </c>
    </row>
    <row r="711" spans="1:4">
      <c r="A711" s="49" t="str">
        <f t="shared" si="56"/>
        <v>Transport time</v>
      </c>
      <c r="B711" s="49">
        <f t="shared" si="56"/>
        <v>25.836481659790337</v>
      </c>
      <c r="C711" s="49" t="s">
        <v>10</v>
      </c>
    </row>
    <row r="712" spans="1:4">
      <c r="A712" s="49" t="str">
        <f>A678</f>
        <v>Hook up time</v>
      </c>
      <c r="B712" s="49">
        <v>20</v>
      </c>
      <c r="C712" s="49" t="s">
        <v>32</v>
      </c>
    </row>
    <row r="713" spans="1:4">
      <c r="A713" s="49" t="str">
        <f>A679</f>
        <v>Unhook time</v>
      </c>
      <c r="B713" s="49">
        <v>12</v>
      </c>
      <c r="C713" s="49" t="s">
        <v>32</v>
      </c>
    </row>
    <row r="714" spans="1:4">
      <c r="A714" s="49" t="s">
        <v>1179</v>
      </c>
      <c r="B714" s="49">
        <f>(($G$535*$A$50)/$B$581)/$A$62</f>
        <v>6.4783202124936006</v>
      </c>
      <c r="C714" s="49" t="s">
        <v>10</v>
      </c>
    </row>
    <row r="715" spans="1:4">
      <c r="A715" s="49" t="s">
        <v>1180</v>
      </c>
      <c r="B715" s="49">
        <f>(($G$535*$A$50)/$B$580)/$A$62</f>
        <v>5.9504570840681952</v>
      </c>
      <c r="C715" s="49" t="s">
        <v>10</v>
      </c>
    </row>
    <row r="716" spans="1:4">
      <c r="A716" s="49" t="str">
        <f t="shared" ref="A716:A724" si="57">A682</f>
        <v>Hold time at discharge</v>
      </c>
      <c r="B716" s="49">
        <f>B680-B681</f>
        <v>0.53652824261072674</v>
      </c>
      <c r="C716" s="49" t="s">
        <v>10</v>
      </c>
    </row>
    <row r="717" spans="1:4">
      <c r="A717" s="49" t="str">
        <f t="shared" si="57"/>
        <v>Cycle time</v>
      </c>
      <c r="B717" s="4">
        <f>B711+(B712/$A$63)+B714+(B713/$A$63)+B711+(B712/$A$63)+B715+(B713/$A$63)+B716</f>
        <v>65.70493552541987</v>
      </c>
      <c r="C717" s="49" t="s">
        <v>10</v>
      </c>
    </row>
    <row r="718" spans="1:4">
      <c r="A718" s="49" t="str">
        <f t="shared" si="57"/>
        <v>Buffer volume</v>
      </c>
      <c r="B718" s="3">
        <f>B717*$B$6</f>
        <v>2248.6288680841844</v>
      </c>
      <c r="C718" s="49" t="s">
        <v>21</v>
      </c>
    </row>
    <row r="719" spans="1:4">
      <c r="A719" s="49" t="str">
        <f t="shared" si="57"/>
        <v>Time until minimum volume available</v>
      </c>
      <c r="B719" s="3">
        <f>$G$535/$B$6</f>
        <v>2.3660550204000002</v>
      </c>
      <c r="C719" s="49" t="s">
        <v>10</v>
      </c>
    </row>
    <row r="720" spans="1:4">
      <c r="A720" s="49" t="str">
        <f t="shared" si="57"/>
        <v>Additional hold time for each leg</v>
      </c>
      <c r="B720" s="3">
        <f>IF(B717&lt;B719,(B719-B717)/2,0)</f>
        <v>0</v>
      </c>
      <c r="C720" s="49" t="s">
        <v>10</v>
      </c>
    </row>
    <row r="721" spans="1:3">
      <c r="A721" s="49" t="str">
        <f t="shared" si="57"/>
        <v>Unit trains operating in parallel</v>
      </c>
      <c r="B721" s="3">
        <v>1</v>
      </c>
      <c r="C721" s="49" t="s">
        <v>38</v>
      </c>
    </row>
    <row r="722" spans="1:3">
      <c r="A722" s="49" t="str">
        <f t="shared" si="57"/>
        <v>Adjusted Cycle time</v>
      </c>
      <c r="B722" s="3">
        <f>(B717+(2*B720))/B721</f>
        <v>65.70493552541987</v>
      </c>
      <c r="C722" s="49" t="s">
        <v>10</v>
      </c>
    </row>
    <row r="723" spans="1:3">
      <c r="A723" s="49" t="str">
        <f t="shared" si="57"/>
        <v>Buffer volume</v>
      </c>
      <c r="B723" s="3">
        <f>B722*$B$6</f>
        <v>2248.6288680841844</v>
      </c>
      <c r="C723" s="49" t="s">
        <v>21</v>
      </c>
    </row>
    <row r="724" spans="1:3">
      <c r="A724" s="49" t="str">
        <f t="shared" si="57"/>
        <v>Rail cars required</v>
      </c>
      <c r="B724" s="3">
        <f>ROUNDUP(B723/$G$535,0)</f>
        <v>28</v>
      </c>
      <c r="C724" s="49" t="s">
        <v>38</v>
      </c>
    </row>
    <row r="725" spans="1:3">
      <c r="A725" t="s">
        <v>1176</v>
      </c>
      <c r="B725">
        <f>B724*4</f>
        <v>112</v>
      </c>
      <c r="C725" t="s">
        <v>38</v>
      </c>
    </row>
    <row r="726" spans="1:3">
      <c r="A726" s="49" t="str">
        <f t="shared" ref="A726:A741" si="58">A691</f>
        <v>Unit trains operating in parallel required</v>
      </c>
      <c r="B726" s="3">
        <f>ROUNDUP(B724/$B$113,0)</f>
        <v>1</v>
      </c>
      <c r="C726" s="49" t="s">
        <v>38</v>
      </c>
    </row>
    <row r="727" spans="1:3">
      <c r="A727" s="49" t="str">
        <f t="shared" si="58"/>
        <v>Unit train length</v>
      </c>
      <c r="B727" s="3">
        <f>ROUNDUP(B724/B726,0)</f>
        <v>28</v>
      </c>
      <c r="C727" s="49" t="s">
        <v>1168</v>
      </c>
    </row>
    <row r="728" spans="1:3">
      <c r="A728" s="49" t="str">
        <f t="shared" si="58"/>
        <v>Time between trains</v>
      </c>
      <c r="B728" s="3">
        <f>B722/B726</f>
        <v>65.70493552541987</v>
      </c>
      <c r="C728" s="49" t="s">
        <v>10</v>
      </c>
    </row>
    <row r="729" spans="1:3">
      <c r="A729" s="49" t="str">
        <f t="shared" si="58"/>
        <v>Buffer volume</v>
      </c>
      <c r="B729" s="3">
        <f>B728*$B$6</f>
        <v>2248.6288680841844</v>
      </c>
      <c r="C729" s="49" t="s">
        <v>21</v>
      </c>
    </row>
    <row r="730" spans="1:3">
      <c r="A730" s="49" t="str">
        <f t="shared" si="58"/>
        <v>Fill rate per car</v>
      </c>
      <c r="B730" s="4">
        <f>(($G$535*$A$50)/$B$581)/$A$62</f>
        <v>6.4783202124936006</v>
      </c>
      <c r="C730" s="49" t="s">
        <v>966</v>
      </c>
    </row>
    <row r="731" spans="1:3">
      <c r="A731" s="49" t="str">
        <f t="shared" si="58"/>
        <v>Nozzle number</v>
      </c>
      <c r="B731" s="3">
        <f>B727</f>
        <v>28</v>
      </c>
      <c r="C731" s="49" t="s">
        <v>38</v>
      </c>
    </row>
    <row r="732" spans="1:3">
      <c r="A732" s="49" t="str">
        <f t="shared" si="58"/>
        <v>Rail cars per filler or discharger</v>
      </c>
      <c r="B732">
        <f>ROUNDDOWN((MAX(B714:B715)*$A$63)/SUM(B712:B713),0)</f>
        <v>12</v>
      </c>
      <c r="C732" s="49" t="s">
        <v>1172</v>
      </c>
    </row>
    <row r="733" spans="1:3">
      <c r="A733" s="49" t="str">
        <f t="shared" si="58"/>
        <v>Rail car fillers</v>
      </c>
      <c r="B733">
        <f>ROUNDUP(B731/B732,0)</f>
        <v>3</v>
      </c>
      <c r="C733" s="49" t="s">
        <v>38</v>
      </c>
    </row>
    <row r="734" spans="1:3">
      <c r="A734" s="49" t="str">
        <f t="shared" si="58"/>
        <v>Rail car dischargers</v>
      </c>
      <c r="B734" s="3">
        <f>ROUNDUP(B731/B732,0)</f>
        <v>3</v>
      </c>
      <c r="C734" s="49" t="s">
        <v>38</v>
      </c>
    </row>
    <row r="735" spans="1:3">
      <c r="A735" s="49" t="str">
        <f t="shared" si="58"/>
        <v>Loaders required</v>
      </c>
      <c r="B735" s="3">
        <v>0</v>
      </c>
      <c r="C735" s="49" t="s">
        <v>38</v>
      </c>
    </row>
    <row r="736" spans="1:3">
      <c r="A736" s="49" t="str">
        <f t="shared" si="58"/>
        <v>Unloaders required</v>
      </c>
      <c r="B736" s="3">
        <v>0</v>
      </c>
      <c r="C736" s="49" t="s">
        <v>38</v>
      </c>
    </row>
    <row r="737" spans="1:6">
      <c r="A737" s="49" t="str">
        <f t="shared" si="58"/>
        <v>Crane Operators</v>
      </c>
      <c r="B737" s="3">
        <v>0</v>
      </c>
      <c r="C737" s="49" t="s">
        <v>38</v>
      </c>
    </row>
    <row r="738" spans="1:6">
      <c r="A738" s="49" t="str">
        <f t="shared" si="58"/>
        <v>Loaded time</v>
      </c>
      <c r="B738" s="3">
        <f>($B$722/2)*$A$63</f>
        <v>1971.1480657625962</v>
      </c>
      <c r="C738" s="49" t="s">
        <v>32</v>
      </c>
    </row>
    <row r="739" spans="1:6">
      <c r="A739" s="49" t="str">
        <f t="shared" si="58"/>
        <v>Unloaded time</v>
      </c>
      <c r="B739" s="3">
        <f>($B$722/2)*$A$63</f>
        <v>1971.1480657625962</v>
      </c>
      <c r="C739" s="49" t="s">
        <v>32</v>
      </c>
    </row>
    <row r="740" spans="1:6">
      <c r="A740" s="49" t="str">
        <f t="shared" si="58"/>
        <v>Transfers per year</v>
      </c>
      <c r="B740" s="3">
        <f>($B$4*$A$50)/$G$535</f>
        <v>3704.9011643516383</v>
      </c>
      <c r="C740" s="49" t="s">
        <v>33</v>
      </c>
    </row>
    <row r="741" spans="1:6">
      <c r="A741" s="49" t="str">
        <f t="shared" si="58"/>
        <v>Annual trips</v>
      </c>
      <c r="B741" s="3">
        <f>B740/B724</f>
        <v>132.31789872684422</v>
      </c>
      <c r="C741" s="49" t="s">
        <v>667</v>
      </c>
    </row>
    <row r="742" spans="1:6">
      <c r="B742" s="3"/>
      <c r="C742" s="49"/>
      <c r="D742" s="49"/>
    </row>
    <row r="743" spans="1:6">
      <c r="A743" s="92" t="s">
        <v>378</v>
      </c>
      <c r="B743" s="3"/>
      <c r="C743" s="3"/>
      <c r="F743" s="49"/>
    </row>
    <row r="744" spans="1:6">
      <c r="A744" t="s">
        <v>631</v>
      </c>
      <c r="B744" s="3">
        <f>IF('User Interface'!$B$8=Options!$E$4,IF('User Interface'!$B$9=Options!$F$4,B740,B705),IF('User Interface'!$B$9=Options!$F$4,Calculations!$B630,Calculations!$B593))</f>
        <v>13200.801709103249</v>
      </c>
      <c r="C744" s="3" t="s">
        <v>33</v>
      </c>
      <c r="F744" s="49"/>
    </row>
    <row r="745" spans="1:6">
      <c r="A745" t="s">
        <v>663</v>
      </c>
      <c r="B745" s="3">
        <f>IF('User Interface'!$B$8=Options!$E$4,IF('User Interface'!$B$9=Options!$F$4,B724,B690),IF('User Interface'!$B$9=Options!$F$4,Calculations!$B669,Calculations!$B624))</f>
        <v>24</v>
      </c>
      <c r="C745" s="3" t="s">
        <v>38</v>
      </c>
      <c r="F745" s="49"/>
    </row>
    <row r="746" spans="1:6">
      <c r="A746" t="s">
        <v>743</v>
      </c>
      <c r="B746" s="15">
        <f>B745*B565</f>
        <v>8114738.6033999994</v>
      </c>
      <c r="C746" s="3"/>
      <c r="F746" s="49"/>
    </row>
    <row r="747" spans="1:6">
      <c r="A747" t="s">
        <v>39</v>
      </c>
      <c r="B747" s="3">
        <f>IF('User Interface'!$B$8=Options!$E$4,0,IF('User Interface'!$B$9=Options!$F$4,Calculations!$B670,Calculations!$B625))</f>
        <v>24</v>
      </c>
      <c r="C747" s="3" t="s">
        <v>38</v>
      </c>
      <c r="F747" s="49"/>
    </row>
    <row r="748" spans="1:6">
      <c r="A748" t="s">
        <v>664</v>
      </c>
      <c r="B748" s="3">
        <f>IF('User Interface'!$B$8=Options!$E$4,IF('User Interface'!$B$9=Options!$F$4,B741,B706),IF('User Interface'!$B$9=Options!$F$4,Calculations!$B671,Calculations!$B626))</f>
        <v>550.03340454596866</v>
      </c>
      <c r="C748" s="3" t="s">
        <v>667</v>
      </c>
      <c r="F748" s="49"/>
    </row>
    <row r="749" spans="1:6">
      <c r="A749" t="s">
        <v>671</v>
      </c>
      <c r="B749" s="3">
        <f>$B$748*$B$745*$B$20</f>
        <v>3960240.5127309747</v>
      </c>
      <c r="C749" s="3" t="s">
        <v>472</v>
      </c>
      <c r="D749" s="3"/>
      <c r="F749" s="49"/>
    </row>
    <row r="750" spans="1:6">
      <c r="A750" t="s">
        <v>672</v>
      </c>
      <c r="B750" s="3">
        <f>$B$748*$B$745*$B$20</f>
        <v>3960240.5127309747</v>
      </c>
      <c r="C750" s="3" t="s">
        <v>472</v>
      </c>
      <c r="F750" s="49"/>
    </row>
    <row r="751" spans="1:6">
      <c r="A751" t="s">
        <v>649</v>
      </c>
      <c r="B751" s="3">
        <f>IF('User Interface'!$B$8=Options!$E$4,IF('User Interface'!$B$9=Options!$F$4,B714*$A$63,B695*$A$63),IF('User Interface'!$B$9=Options!$F$4,Calculations!$B647,Calculations!$B601))</f>
        <v>119.09126563923256</v>
      </c>
      <c r="C751" s="3" t="s">
        <v>32</v>
      </c>
      <c r="F751" s="49"/>
    </row>
    <row r="752" spans="1:6">
      <c r="A752" t="s">
        <v>666</v>
      </c>
      <c r="B752" s="54">
        <f>IF('User Interface'!$B$8=Options!$E$4,IF('User Interface'!$B$10=Options!$AB$5,'User Interface'!$B$11*$A$63,IF('User Interface'!$B$9=Options!$F$4,B738,B703)),IF('User Interface'!$B$9=Options!$F$4,Calculations!$B666,Calculations!$B621))</f>
        <v>479.10783507552651</v>
      </c>
      <c r="C752" s="3" t="s">
        <v>32</v>
      </c>
      <c r="F752" s="49"/>
    </row>
    <row r="753" spans="1:6">
      <c r="A753" t="s">
        <v>654</v>
      </c>
      <c r="B753" s="3">
        <f>IF('User Interface'!$B$8=Options!$E$4,"NA",IF('User Interface'!$B$9=Options!$F$4,Calculations!$B658,Calculations!$B613))</f>
        <v>299.98493763238412</v>
      </c>
      <c r="C753" s="49" t="s">
        <v>8</v>
      </c>
      <c r="F753" s="49"/>
    </row>
    <row r="754" spans="1:6">
      <c r="A754" t="s">
        <v>658</v>
      </c>
      <c r="B754" s="3">
        <f>IF('User Interface'!$B$8=Options!$E$4,0,IF('User Interface'!$B$9=Options!$F$4,Calculations!$B659,Calculations!$B614))</f>
        <v>1</v>
      </c>
      <c r="C754" s="3" t="s">
        <v>38</v>
      </c>
      <c r="F754" s="49"/>
    </row>
    <row r="755" spans="1:6">
      <c r="A755" t="s">
        <v>675</v>
      </c>
      <c r="B755" s="3">
        <f>IF('User Interface'!$B$8=Options!$E$4,0,IF('User Interface'!$B$9=Options!$F$4,Calculations!$B665,Calculations!$B620))</f>
        <v>1</v>
      </c>
      <c r="C755" s="3" t="s">
        <v>38</v>
      </c>
      <c r="F755" s="49"/>
    </row>
    <row r="756" spans="1:6">
      <c r="B756" s="3"/>
      <c r="C756" s="3"/>
      <c r="F756" s="49"/>
    </row>
    <row r="757" spans="1:6" s="37" customFormat="1">
      <c r="A757" s="37" t="s">
        <v>547</v>
      </c>
      <c r="B757" s="48"/>
      <c r="C757" s="48"/>
    </row>
    <row r="758" spans="1:6">
      <c r="A758" t="s">
        <v>598</v>
      </c>
      <c r="B758" s="4">
        <f>B41+A68</f>
        <v>288.45</v>
      </c>
      <c r="C758" s="49" t="s">
        <v>403</v>
      </c>
      <c r="D758" s="43"/>
    </row>
    <row r="759" spans="1:6">
      <c r="A759" t="s">
        <v>596</v>
      </c>
      <c r="B759" s="4">
        <f>(B96^0.25)*B758</f>
        <v>272.79916711696603</v>
      </c>
      <c r="C759" s="49" t="s">
        <v>403</v>
      </c>
      <c r="D759" s="43"/>
    </row>
    <row r="760" spans="1:6">
      <c r="A760" t="s">
        <v>577</v>
      </c>
      <c r="B760" s="3">
        <f>B120+A68</f>
        <v>244.95</v>
      </c>
      <c r="C760" s="49" t="s">
        <v>403</v>
      </c>
      <c r="D760" s="4"/>
      <c r="E760" s="4"/>
    </row>
    <row r="761" spans="1:6">
      <c r="A761" t="s">
        <v>600</v>
      </c>
      <c r="B761" s="3">
        <f>(Z242*1000*$A$62)/($A$64*$A$62)</f>
        <v>239.58333333333334</v>
      </c>
      <c r="C761" s="49" t="s">
        <v>580</v>
      </c>
      <c r="D761" s="43"/>
    </row>
    <row r="762" spans="1:6">
      <c r="A762" t="s">
        <v>617</v>
      </c>
      <c r="B762" s="3">
        <v>1</v>
      </c>
      <c r="C762" s="49" t="s">
        <v>580</v>
      </c>
      <c r="D762" s="43"/>
    </row>
    <row r="763" spans="1:6">
      <c r="A763" t="s">
        <v>620</v>
      </c>
      <c r="B763" s="3">
        <f>B88*B69*((B779^4)-(B759^4))</f>
        <v>32.883371332476024</v>
      </c>
      <c r="C763" s="49" t="s">
        <v>580</v>
      </c>
      <c r="D763" s="43"/>
    </row>
    <row r="764" spans="1:6">
      <c r="A764" t="s">
        <v>563</v>
      </c>
      <c r="B764" s="3">
        <f>IF('User Interface'!$B$8=Options!$E$4,(CE242*A51*1000)/A62,(BN242*A51*1000)/A62)</f>
        <v>25.320282666666664</v>
      </c>
      <c r="C764" s="49" t="s">
        <v>565</v>
      </c>
    </row>
    <row r="765" spans="1:6">
      <c r="A765" t="s">
        <v>562</v>
      </c>
      <c r="B765" s="57">
        <f>(B764*B768)/B93</f>
        <v>11130164.093846835</v>
      </c>
      <c r="C765" s="56" t="s">
        <v>568</v>
      </c>
    </row>
    <row r="766" spans="1:6">
      <c r="A766" t="s">
        <v>605</v>
      </c>
      <c r="B766" s="3">
        <f>(B97/B768)*0.037*(B765^(4/5))*(B95^(1/5))</f>
        <v>56.986809012576636</v>
      </c>
      <c r="C766" s="49" t="s">
        <v>570</v>
      </c>
    </row>
    <row r="767" spans="1:6">
      <c r="A767" t="s">
        <v>619</v>
      </c>
      <c r="B767" s="3">
        <f>B766*(B758-B779)</f>
        <v>458.20308529793448</v>
      </c>
      <c r="C767" s="49" t="s">
        <v>580</v>
      </c>
    </row>
    <row r="768" spans="1:6">
      <c r="A768" t="s">
        <v>566</v>
      </c>
      <c r="B768" s="4">
        <f>B571</f>
        <v>6.62</v>
      </c>
      <c r="C768" s="49" t="s">
        <v>36</v>
      </c>
    </row>
    <row r="769" spans="1:4">
      <c r="A769" t="s">
        <v>574</v>
      </c>
      <c r="B769" s="1">
        <f>B572</f>
        <v>1.2450000000000001</v>
      </c>
      <c r="C769" s="49" t="s">
        <v>36</v>
      </c>
    </row>
    <row r="770" spans="1:4">
      <c r="A770" t="s">
        <v>602</v>
      </c>
      <c r="B770" s="1">
        <f>B574</f>
        <v>3.1749999999999999E-3</v>
      </c>
      <c r="C770" s="49" t="s">
        <v>36</v>
      </c>
    </row>
    <row r="771" spans="1:4">
      <c r="A771" t="s">
        <v>575</v>
      </c>
      <c r="B771" s="1">
        <f>B576</f>
        <v>0.127</v>
      </c>
      <c r="C771" s="49" t="s">
        <v>36</v>
      </c>
    </row>
    <row r="772" spans="1:4">
      <c r="A772" t="s">
        <v>601</v>
      </c>
      <c r="B772" s="1">
        <f>B577</f>
        <v>1.9989800000000002E-2</v>
      </c>
      <c r="C772" s="49" t="s">
        <v>36</v>
      </c>
    </row>
    <row r="773" spans="1:4">
      <c r="A773" t="s">
        <v>606</v>
      </c>
      <c r="B773" s="4">
        <f>LN(B769/(B769-B770))/(2*PI()*B84*B768)</f>
        <v>1.4276522141452894E-6</v>
      </c>
      <c r="C773" s="49" t="s">
        <v>573</v>
      </c>
    </row>
    <row r="774" spans="1:4">
      <c r="A774" t="s">
        <v>607</v>
      </c>
      <c r="B774" s="4">
        <f>LN((B769-B770)/(B769-B770-B771))/(2*PI()*B575*B768)</f>
        <v>8.3144177029685046E-2</v>
      </c>
      <c r="C774" s="49" t="s">
        <v>573</v>
      </c>
    </row>
    <row r="775" spans="1:4">
      <c r="A775" t="s">
        <v>608</v>
      </c>
      <c r="B775" s="4">
        <f>LN((B769-B770-B771)/(B769-B770-B771-B772))/(2*PI()*B86*B768)</f>
        <v>3.0208172277692779E-5</v>
      </c>
      <c r="C775" s="49" t="s">
        <v>573</v>
      </c>
    </row>
    <row r="776" spans="1:4">
      <c r="A776" t="s">
        <v>625</v>
      </c>
      <c r="B776" s="4">
        <f>SUM(B773:B775)</f>
        <v>8.3175812854176884E-2</v>
      </c>
      <c r="C776" s="49" t="s">
        <v>573</v>
      </c>
    </row>
    <row r="777" spans="1:4">
      <c r="A777" t="s">
        <v>624</v>
      </c>
      <c r="B777" s="3">
        <f>(B779-B760)/B776</f>
        <v>426.31971269191513</v>
      </c>
      <c r="C777" s="49" t="s">
        <v>580</v>
      </c>
    </row>
    <row r="778" spans="1:4">
      <c r="A778" t="s">
        <v>621</v>
      </c>
      <c r="B778" s="5">
        <f>B762-B763+B767-B777</f>
        <v>1.2735433188026946E-6</v>
      </c>
      <c r="C778" s="49" t="s">
        <v>580</v>
      </c>
    </row>
    <row r="779" spans="1:4">
      <c r="A779" t="s">
        <v>616</v>
      </c>
      <c r="B779" s="3">
        <v>280.40948863890918</v>
      </c>
      <c r="C779" s="49" t="s">
        <v>403</v>
      </c>
      <c r="D779" s="3"/>
    </row>
    <row r="780" spans="1:4">
      <c r="A780" t="s">
        <v>578</v>
      </c>
      <c r="B780" s="3">
        <f>B779/B776</f>
        <v>3371.2864235005513</v>
      </c>
      <c r="C780" s="49" t="s">
        <v>579</v>
      </c>
    </row>
    <row r="781" spans="1:4">
      <c r="A781" s="3" t="s">
        <v>1118</v>
      </c>
      <c r="B781" s="3">
        <f>B98</f>
        <v>938.26947552447996</v>
      </c>
      <c r="C781" s="49" t="s">
        <v>586</v>
      </c>
    </row>
    <row r="782" spans="1:4">
      <c r="A782" t="s">
        <v>7</v>
      </c>
      <c r="B782" s="3">
        <f>B563*1000</f>
        <v>22725.892457964925</v>
      </c>
      <c r="C782" s="49" t="s">
        <v>44</v>
      </c>
    </row>
    <row r="783" spans="1:4">
      <c r="A783" t="s">
        <v>588</v>
      </c>
      <c r="B783" s="14">
        <f>B780/(B781*B782)</f>
        <v>1.5810555049175574E-4</v>
      </c>
      <c r="C783" s="49" t="s">
        <v>587</v>
      </c>
    </row>
    <row r="784" spans="1:4">
      <c r="B784" s="1">
        <f>B783*A62</f>
        <v>0.5691799817703207</v>
      </c>
      <c r="C784" s="49" t="s">
        <v>626</v>
      </c>
    </row>
    <row r="785" spans="1:6">
      <c r="A785" t="s">
        <v>593</v>
      </c>
      <c r="B785" s="4">
        <f>B118+(B107/A66)</f>
        <v>16.172106620333981</v>
      </c>
      <c r="C785" s="49" t="s">
        <v>72</v>
      </c>
    </row>
    <row r="786" spans="1:6">
      <c r="A786" t="s">
        <v>594</v>
      </c>
      <c r="B786" s="3">
        <f>((((B785*B760)/B118)-B760)/B783)/(A62)</f>
        <v>33.628205002082439</v>
      </c>
      <c r="C786" s="49" t="s">
        <v>10</v>
      </c>
    </row>
    <row r="787" spans="1:6">
      <c r="B787" s="4">
        <f>B786/A64</f>
        <v>1.4011752084201017</v>
      </c>
      <c r="C787" s="49" t="s">
        <v>73</v>
      </c>
    </row>
    <row r="788" spans="1:6">
      <c r="A788" t="s">
        <v>613</v>
      </c>
      <c r="B788" s="5">
        <f>(B780/(B99*1000))*(B100/1000)*A62</f>
        <v>32.568353607476141</v>
      </c>
      <c r="C788" s="49" t="s">
        <v>35</v>
      </c>
    </row>
    <row r="789" spans="1:6">
      <c r="B789" s="13"/>
      <c r="C789" s="220"/>
    </row>
    <row r="790" spans="1:6">
      <c r="A790" t="s">
        <v>378</v>
      </c>
      <c r="B790" s="5"/>
      <c r="C790" s="49"/>
    </row>
    <row r="791" spans="1:6">
      <c r="A791" t="s">
        <v>686</v>
      </c>
      <c r="B791" s="3">
        <f>MIN((IF((B752/$A$63)&lt;$B$786,0,(((B752/$A$63)-$B$786)*$B$788))),($B$562*1000))</f>
        <v>0</v>
      </c>
      <c r="C791" s="49" t="s">
        <v>1019</v>
      </c>
      <c r="F791" s="49"/>
    </row>
    <row r="792" spans="1:6">
      <c r="B792" s="3">
        <f>(B791/1000)*B744</f>
        <v>0</v>
      </c>
      <c r="C792" s="49" t="s">
        <v>43</v>
      </c>
      <c r="F792" s="49"/>
    </row>
    <row r="793" spans="1:6">
      <c r="B793" s="3"/>
      <c r="C793" s="49"/>
      <c r="F793" s="49"/>
    </row>
    <row r="794" spans="1:6" s="37" customFormat="1">
      <c r="A794" s="37" t="s">
        <v>457</v>
      </c>
    </row>
    <row r="795" spans="1:6" s="20" customFormat="1">
      <c r="A795" s="92" t="s">
        <v>887</v>
      </c>
    </row>
    <row r="796" spans="1:6">
      <c r="A796" t="s">
        <v>63</v>
      </c>
      <c r="B796" t="s">
        <v>455</v>
      </c>
      <c r="C796" t="s">
        <v>456</v>
      </c>
    </row>
    <row r="797" spans="1:6">
      <c r="A797">
        <v>2024</v>
      </c>
      <c r="B797" s="17">
        <f>(AVERAGE(76.2,80.9,80.4)*$A$49)/($B$78*1000)</f>
        <v>6.9970048866611805E-3</v>
      </c>
      <c r="C797" s="17">
        <f>(AVERAGE(68,73.5,70.7)*$A$49)/($B$78*1000)</f>
        <v>6.2516397345242208E-3</v>
      </c>
      <c r="D797" t="s">
        <v>458</v>
      </c>
    </row>
    <row r="798" spans="1:6">
      <c r="A798">
        <v>2025</v>
      </c>
      <c r="B798" s="17">
        <f>B797</f>
        <v>6.9970048866611805E-3</v>
      </c>
      <c r="C798" s="17">
        <f>C797</f>
        <v>6.2516397345242208E-3</v>
      </c>
      <c r="D798" t="s">
        <v>458</v>
      </c>
    </row>
    <row r="799" spans="1:6">
      <c r="A799">
        <v>2026</v>
      </c>
      <c r="B799" s="17">
        <f>B797</f>
        <v>6.9970048866611805E-3</v>
      </c>
      <c r="C799" s="17">
        <f>C797</f>
        <v>6.2516397345242208E-3</v>
      </c>
      <c r="D799" t="s">
        <v>458</v>
      </c>
    </row>
    <row r="800" spans="1:6">
      <c r="A800">
        <v>2027</v>
      </c>
      <c r="B800" s="17">
        <f>(AVERAGE(73.4,78,75.7)*$A$49)/($B$78*1000)</f>
        <v>6.6906097253084393E-3</v>
      </c>
      <c r="C800" s="17">
        <f>(AVERAGE(64.1,69.6,64.3)*$A$49)/($B$78*1000)</f>
        <v>5.8332924949849006E-3</v>
      </c>
      <c r="D800" t="s">
        <v>458</v>
      </c>
    </row>
    <row r="801" spans="1:4">
      <c r="A801">
        <v>2028</v>
      </c>
      <c r="B801" s="17">
        <f>(AVERAGE(64.6,68.6,66.6)*$A$49)/($B$78*1000)</f>
        <v>5.8863224267574898E-3</v>
      </c>
      <c r="C801" s="17">
        <f>(AVERAGE(64.1,69.6,64.3)*$A$49)/($B$78*1000)</f>
        <v>5.8332924949849006E-3</v>
      </c>
      <c r="D801" t="s">
        <v>458</v>
      </c>
    </row>
    <row r="802" spans="1:4">
      <c r="A802">
        <v>2029</v>
      </c>
      <c r="B802" s="17">
        <f>(AVERAGE(62.4,66.3,64.3)*$A$49)/($B$78*1000)</f>
        <v>5.685987128949928E-3</v>
      </c>
      <c r="C802" s="17">
        <f>(AVERAGE(64.1,69.6,64.3)*$A$49)/($B$78*1000)</f>
        <v>5.8332924949849006E-3</v>
      </c>
      <c r="D802" t="s">
        <v>458</v>
      </c>
    </row>
    <row r="803" spans="1:4">
      <c r="A803">
        <v>2030</v>
      </c>
      <c r="B803" s="17">
        <f>(AVERAGE(58.7,62.4,60.6)*$A$49)/($B$78*1000)</f>
        <v>5.3530770017108905E-3</v>
      </c>
      <c r="C803" s="17">
        <f>(AVERAGE(57.7,62.6,57.9)*$A$49)/($B$78*1000)</f>
        <v>5.2499632454864106E-3</v>
      </c>
      <c r="D803" t="s">
        <v>458</v>
      </c>
    </row>
    <row r="804" spans="1:4">
      <c r="A804">
        <v>2031</v>
      </c>
      <c r="B804" s="17">
        <f>(AVERAGE(51.4,54.6,53)*$A$49)/($B$78*1000)</f>
        <v>4.6843106399121169E-3</v>
      </c>
      <c r="C804" s="17">
        <f>(AVERAGE(51.3,55.7,51.4)*$A$49)/($B$78*1000)</f>
        <v>4.6666339959879205E-3</v>
      </c>
      <c r="D804" t="s">
        <v>458</v>
      </c>
    </row>
    <row r="805" spans="1:4">
      <c r="A805">
        <v>2032</v>
      </c>
      <c r="B805" s="17">
        <f>(AVERAGE(48.4,51.5,50)*$A$49)/($B$78*1000)</f>
        <v>4.4162148737284671E-3</v>
      </c>
      <c r="C805" s="17">
        <f>(AVERAGE(48.1,52.2,48.2)*$A$49)/($B$78*1000)</f>
        <v>4.3749693712386755E-3</v>
      </c>
      <c r="D805" t="s">
        <v>458</v>
      </c>
    </row>
    <row r="807" spans="1:4">
      <c r="A807" t="s">
        <v>460</v>
      </c>
      <c r="B807">
        <v>2032</v>
      </c>
    </row>
    <row r="808" spans="1:4">
      <c r="A808" t="s">
        <v>392</v>
      </c>
      <c r="B808">
        <f>$B$11+$B$12</f>
        <v>2025</v>
      </c>
    </row>
    <row r="809" spans="1:4">
      <c r="A809" t="s">
        <v>461</v>
      </c>
      <c r="B809" t="str">
        <f>IF(B808&gt;=B807,"Yes","No")</f>
        <v>No</v>
      </c>
    </row>
    <row r="810" spans="1:4">
      <c r="A810" t="s">
        <v>464</v>
      </c>
      <c r="B810">
        <f>B9</f>
        <v>30</v>
      </c>
    </row>
    <row r="811" spans="1:4">
      <c r="A811" t="s">
        <v>393</v>
      </c>
      <c r="B811">
        <f>B808+B810-1</f>
        <v>2054</v>
      </c>
    </row>
    <row r="812" spans="1:4">
      <c r="A812" t="s">
        <v>462</v>
      </c>
      <c r="B812" t="str">
        <f>IF(B811&gt;=B807,"Yes","No")</f>
        <v>Yes</v>
      </c>
    </row>
    <row r="813" spans="1:4">
      <c r="A813" t="s">
        <v>463</v>
      </c>
      <c r="B813" s="3">
        <f>IF(B811-B807&lt;0,0,B811-B807)</f>
        <v>22</v>
      </c>
    </row>
    <row r="814" spans="1:4">
      <c r="A814" t="s">
        <v>398</v>
      </c>
      <c r="B814" s="16">
        <f>IF(B809="Yes",0,IF(B812="No",1,(B807-B808)/(B811-B808)))</f>
        <v>0.2413793103448276</v>
      </c>
    </row>
    <row r="815" spans="1:4">
      <c r="A815" t="s">
        <v>465</v>
      </c>
      <c r="B815" s="17">
        <f>IF($B$809="Yes",B805,IF($B$812="Yes",((SUMIF($A$797:$A$805,"&gt;="&amp;$B$808,B$797:B$805))+(B$805*$B$813))/$B$810,SUMIFS(B$797:B$805,$A$797:$A$805,"&gt;="&amp;$B$808,$A$797:$A$805,"&lt;="&amp;$B$811)/$B$810))</f>
        <v>4.795575293057199E-3</v>
      </c>
      <c r="C815" s="17">
        <f>IF($B$809="Yes",C805,IF($B$812="Yes",((SUMIF($A$797:$A$805,"&gt;="&amp;$B$808,C$797:C$805))+(C$805*$B$813))/$B$810,SUMIFS(C$797:C$805,$A$797:$A$805,"&gt;="&amp;$B$808,$A$797:$A$805,"&lt;="&amp;$B$811)/$B$810))</f>
        <v>4.6848016577989001E-3</v>
      </c>
      <c r="D815" t="s">
        <v>458</v>
      </c>
    </row>
    <row r="816" spans="1:4">
      <c r="A816" t="s">
        <v>900</v>
      </c>
      <c r="B816" s="3">
        <f>B815*$B$18*$B$20</f>
        <v>58.731451639078102</v>
      </c>
      <c r="C816" s="3">
        <f>C815*$B$18*$B$20</f>
        <v>57.374805980427602</v>
      </c>
      <c r="D816" s="49" t="s">
        <v>1020</v>
      </c>
    </row>
    <row r="817" spans="1:4">
      <c r="A817" t="s">
        <v>901</v>
      </c>
      <c r="B817" s="3">
        <f>B815*$B$19*$B$20</f>
        <v>26.036333123850646</v>
      </c>
      <c r="C817" s="3">
        <f>C815*$B$19*$B$20</f>
        <v>25.434916381817523</v>
      </c>
      <c r="D817" s="49" t="s">
        <v>1020</v>
      </c>
    </row>
    <row r="818" spans="1:4">
      <c r="B818" s="17"/>
      <c r="C818" s="17"/>
    </row>
    <row r="819" spans="1:4">
      <c r="A819" s="92" t="s">
        <v>999</v>
      </c>
    </row>
    <row r="820" spans="1:4">
      <c r="A820" s="20" t="s">
        <v>47</v>
      </c>
    </row>
    <row r="821" spans="1:4">
      <c r="A821" s="20" t="s">
        <v>1003</v>
      </c>
      <c r="B821">
        <v>2022</v>
      </c>
    </row>
    <row r="822" spans="1:4">
      <c r="A822" t="s">
        <v>1000</v>
      </c>
      <c r="B822" s="17">
        <v>0</v>
      </c>
      <c r="C822" s="17"/>
    </row>
    <row r="823" spans="1:4">
      <c r="A823" s="18" t="s">
        <v>890</v>
      </c>
      <c r="B823" s="5">
        <v>7.27</v>
      </c>
      <c r="C823" s="17" t="s">
        <v>885</v>
      </c>
    </row>
    <row r="824" spans="1:4">
      <c r="A824" s="18" t="s">
        <v>891</v>
      </c>
      <c r="B824" s="5">
        <v>6.99</v>
      </c>
      <c r="C824" s="17" t="s">
        <v>885</v>
      </c>
    </row>
    <row r="825" spans="1:4">
      <c r="A825" s="18" t="s">
        <v>892</v>
      </c>
      <c r="B825" s="5">
        <v>6.98</v>
      </c>
      <c r="C825" s="17" t="s">
        <v>885</v>
      </c>
    </row>
    <row r="826" spans="1:4">
      <c r="A826" s="18" t="s">
        <v>893</v>
      </c>
      <c r="B826" s="5">
        <v>7.1</v>
      </c>
      <c r="C826" s="17" t="s">
        <v>885</v>
      </c>
    </row>
    <row r="827" spans="1:4">
      <c r="A827" s="18" t="s">
        <v>894</v>
      </c>
      <c r="B827" s="5">
        <v>6.47</v>
      </c>
      <c r="C827" s="17" t="s">
        <v>885</v>
      </c>
    </row>
    <row r="828" spans="1:4">
      <c r="A828" s="18" t="s">
        <v>895</v>
      </c>
      <c r="B828" s="5">
        <v>5.27</v>
      </c>
      <c r="C828" s="17" t="s">
        <v>885</v>
      </c>
    </row>
    <row r="829" spans="1:4">
      <c r="A829" s="18"/>
      <c r="B829" s="5"/>
      <c r="C829" s="17"/>
    </row>
    <row r="830" spans="1:4">
      <c r="A830" s="18" t="s">
        <v>897</v>
      </c>
      <c r="B830" s="17"/>
      <c r="C830" s="17"/>
    </row>
    <row r="831" spans="1:4">
      <c r="A831" s="18" t="s">
        <v>898</v>
      </c>
      <c r="B831" s="5">
        <f>B828</f>
        <v>5.27</v>
      </c>
      <c r="C831" s="17" t="s">
        <v>885</v>
      </c>
      <c r="D831" s="17"/>
    </row>
    <row r="832" spans="1:4">
      <c r="A832" s="18"/>
      <c r="B832" s="3">
        <f>$B$20/B831</f>
        <v>56.92599620493359</v>
      </c>
      <c r="C832" s="49" t="s">
        <v>1020</v>
      </c>
      <c r="D832" s="17"/>
    </row>
    <row r="833" spans="1:6">
      <c r="A833" s="18" t="s">
        <v>899</v>
      </c>
      <c r="B833" s="5">
        <f>B824</f>
        <v>6.99</v>
      </c>
      <c r="C833" s="17" t="s">
        <v>885</v>
      </c>
      <c r="D833" s="17"/>
    </row>
    <row r="834" spans="1:6">
      <c r="A834" s="18"/>
      <c r="B834" s="3">
        <f>$B$20/B833</f>
        <v>42.918454935622314</v>
      </c>
      <c r="C834" s="49" t="s">
        <v>1020</v>
      </c>
      <c r="D834" s="17"/>
    </row>
    <row r="835" spans="1:6">
      <c r="A835" s="18" t="s">
        <v>366</v>
      </c>
      <c r="B835" s="3"/>
      <c r="C835" s="17"/>
      <c r="D835" s="17"/>
    </row>
    <row r="836" spans="1:6">
      <c r="A836" s="20" t="s">
        <v>1003</v>
      </c>
      <c r="B836">
        <v>2020</v>
      </c>
      <c r="C836" s="17"/>
      <c r="D836" s="17"/>
    </row>
    <row r="837" spans="1:6">
      <c r="A837" s="18" t="s">
        <v>1006</v>
      </c>
      <c r="B837" s="1">
        <f>B19/B18</f>
        <v>0.44331158854801517</v>
      </c>
      <c r="C837" s="95" t="s">
        <v>568</v>
      </c>
      <c r="D837" s="17"/>
    </row>
    <row r="838" spans="1:6">
      <c r="A838" s="18" t="s">
        <v>1007</v>
      </c>
      <c r="B838" s="1">
        <v>2.2653556821657849E-3</v>
      </c>
      <c r="C838" s="95" t="s">
        <v>458</v>
      </c>
      <c r="D838" s="17"/>
    </row>
    <row r="839" spans="1:6">
      <c r="A839" s="18" t="s">
        <v>898</v>
      </c>
      <c r="B839" s="1">
        <f>B838*(B18/B17)</f>
        <v>4.0693422668116293E-3</v>
      </c>
      <c r="C839" s="95" t="s">
        <v>458</v>
      </c>
      <c r="D839" s="17"/>
    </row>
    <row r="840" spans="1:6">
      <c r="A840" s="18" t="s">
        <v>899</v>
      </c>
      <c r="B840" s="1">
        <f>B839*B837</f>
        <v>1.8039865846458444E-3</v>
      </c>
      <c r="C840" s="95" t="s">
        <v>458</v>
      </c>
      <c r="D840" s="17"/>
    </row>
    <row r="841" spans="1:6">
      <c r="A841" s="18" t="s">
        <v>1183</v>
      </c>
      <c r="B841" s="3">
        <f>B112</f>
        <v>73</v>
      </c>
      <c r="C841" t="s">
        <v>38</v>
      </c>
      <c r="D841" s="17"/>
    </row>
    <row r="842" spans="1:6">
      <c r="A842" s="18" t="s">
        <v>967</v>
      </c>
      <c r="B842" s="3">
        <f>IF('User Interface'!$B$9=Options!$F$4,$B$727,$B$692)</f>
        <v>28</v>
      </c>
      <c r="D842" s="17"/>
    </row>
    <row r="843" spans="1:6">
      <c r="A843" s="18" t="s">
        <v>1184</v>
      </c>
      <c r="B843" s="4">
        <f>IF(B842&lt;$B$112,$B$112/B841,B842/B841)</f>
        <v>1</v>
      </c>
      <c r="D843" s="17"/>
    </row>
    <row r="844" spans="1:6">
      <c r="A844" t="s">
        <v>1187</v>
      </c>
      <c r="B844" s="5">
        <f>IF(B843&lt;=1,(-4.325*B843)+5.325,0.9225*(B843^(-1.8205)))</f>
        <v>1</v>
      </c>
      <c r="D844" s="17"/>
    </row>
    <row r="845" spans="1:6">
      <c r="A845" s="18" t="s">
        <v>898</v>
      </c>
      <c r="B845" s="3">
        <f>B839*$B$844*$B$18*$B$20</f>
        <v>49.837269553897713</v>
      </c>
      <c r="C845" s="49" t="s">
        <v>1020</v>
      </c>
      <c r="D845" s="17"/>
      <c r="F845" s="86"/>
    </row>
    <row r="846" spans="1:6">
      <c r="A846" s="18" t="s">
        <v>899</v>
      </c>
      <c r="B846" s="3">
        <f>B840*$B$844*$B$19*$B$20</f>
        <v>9.7942775993521582</v>
      </c>
      <c r="C846" s="49" t="s">
        <v>1020</v>
      </c>
      <c r="D846" s="17"/>
    </row>
    <row r="847" spans="1:6">
      <c r="B847" s="17"/>
      <c r="C847" s="17"/>
      <c r="F847" s="43"/>
    </row>
    <row r="848" spans="1:6">
      <c r="A848" s="92" t="s">
        <v>896</v>
      </c>
      <c r="F848" s="13"/>
    </row>
    <row r="849" spans="1:6">
      <c r="A849" t="s">
        <v>47</v>
      </c>
      <c r="F849" s="13"/>
    </row>
    <row r="850" spans="1:6">
      <c r="A850" t="s">
        <v>1002</v>
      </c>
      <c r="B850" s="5">
        <v>5.6678571428571418E-2</v>
      </c>
      <c r="C850" t="s">
        <v>1001</v>
      </c>
    </row>
    <row r="851" spans="1:6">
      <c r="A851" t="s">
        <v>846</v>
      </c>
      <c r="B851" s="17">
        <v>-107.9320714285714</v>
      </c>
    </row>
    <row r="852" spans="1:6">
      <c r="A852" t="s">
        <v>392</v>
      </c>
      <c r="B852">
        <f>$B$11+$B$12</f>
        <v>2025</v>
      </c>
    </row>
    <row r="853" spans="1:6">
      <c r="A853" t="s">
        <v>1004</v>
      </c>
      <c r="B853" s="5">
        <f>$B$831+($B$850*(B852-$B$821))</f>
        <v>5.4400357142857141</v>
      </c>
      <c r="C853" s="17" t="s">
        <v>885</v>
      </c>
    </row>
    <row r="854" spans="1:6">
      <c r="A854" t="s">
        <v>1005</v>
      </c>
      <c r="B854" s="5">
        <f>$B$833+($B$850*(B852-$B$821))</f>
        <v>7.1600357142857147</v>
      </c>
      <c r="C854" t="s">
        <v>885</v>
      </c>
    </row>
    <row r="855" spans="1:6">
      <c r="A855" t="s">
        <v>464</v>
      </c>
      <c r="B855">
        <f>$B$9</f>
        <v>30</v>
      </c>
      <c r="C855" s="17" t="s">
        <v>9</v>
      </c>
    </row>
    <row r="856" spans="1:6">
      <c r="A856" t="s">
        <v>393</v>
      </c>
      <c r="B856">
        <f>B852+B855-1</f>
        <v>2054</v>
      </c>
      <c r="C856" s="17"/>
    </row>
    <row r="857" spans="1:6">
      <c r="A857" t="s">
        <v>1004</v>
      </c>
      <c r="B857" s="5">
        <f>$B$831+($B$850*(B856-$B$821))</f>
        <v>7.0837142857142847</v>
      </c>
      <c r="C857" s="17" t="s">
        <v>885</v>
      </c>
    </row>
    <row r="858" spans="1:6">
      <c r="A858" t="s">
        <v>1005</v>
      </c>
      <c r="B858" s="5">
        <f>$B$833+($B$850*(B856-$B$821))</f>
        <v>8.8037142857142854</v>
      </c>
      <c r="C858" t="s">
        <v>885</v>
      </c>
    </row>
    <row r="859" spans="1:6">
      <c r="A859" t="s">
        <v>897</v>
      </c>
    </row>
    <row r="860" spans="1:6">
      <c r="A860" s="18" t="s">
        <v>898</v>
      </c>
      <c r="B860" s="5">
        <f>AVERAGE(B857,B853)</f>
        <v>6.2618749999999999</v>
      </c>
      <c r="C860" s="49" t="s">
        <v>885</v>
      </c>
      <c r="F860" s="49"/>
    </row>
    <row r="861" spans="1:6">
      <c r="A861" s="18"/>
      <c r="B861" s="3">
        <f>$B$20/B860</f>
        <v>47.908972951392357</v>
      </c>
      <c r="C861" s="49" t="s">
        <v>1020</v>
      </c>
      <c r="F861" s="49"/>
    </row>
    <row r="862" spans="1:6">
      <c r="A862" s="18" t="s">
        <v>899</v>
      </c>
      <c r="B862" s="5">
        <f>AVERAGE(B858,B854)</f>
        <v>7.9818750000000005</v>
      </c>
      <c r="C862" s="49" t="s">
        <v>885</v>
      </c>
      <c r="F862" s="49"/>
    </row>
    <row r="863" spans="1:6">
      <c r="A863" s="18"/>
      <c r="B863" s="3">
        <f>$B$20/B862</f>
        <v>37.585153864223628</v>
      </c>
      <c r="C863" s="49" t="s">
        <v>1020</v>
      </c>
      <c r="F863" s="49"/>
    </row>
    <row r="864" spans="1:6">
      <c r="A864" s="18"/>
      <c r="B864" s="3"/>
      <c r="C864" s="17"/>
      <c r="D864" s="3"/>
      <c r="E864" s="17"/>
      <c r="F864" s="49"/>
    </row>
    <row r="865" spans="1:6">
      <c r="A865" s="17" t="s">
        <v>366</v>
      </c>
      <c r="C865" s="17"/>
      <c r="D865" s="3"/>
      <c r="E865" s="17"/>
      <c r="F865" s="49"/>
    </row>
    <row r="866" spans="1:6">
      <c r="A866" t="s">
        <v>1008</v>
      </c>
      <c r="B866" s="43">
        <f>-0.0358/5</f>
        <v>-7.1599999999999997E-3</v>
      </c>
      <c r="D866" s="3"/>
      <c r="E866" s="17"/>
      <c r="F866" s="49"/>
    </row>
    <row r="867" spans="1:6">
      <c r="A867" t="s">
        <v>846</v>
      </c>
      <c r="B867" s="17">
        <v>3.7165357972319582E-2</v>
      </c>
      <c r="D867" s="3"/>
      <c r="E867" s="17"/>
      <c r="F867" s="49"/>
    </row>
    <row r="868" spans="1:6">
      <c r="A868" t="s">
        <v>392</v>
      </c>
      <c r="B868">
        <f>$B$11+$B$12</f>
        <v>2025</v>
      </c>
      <c r="D868" s="3"/>
      <c r="E868" s="17"/>
      <c r="F868" s="49"/>
    </row>
    <row r="869" spans="1:6">
      <c r="A869" t="s">
        <v>1004</v>
      </c>
      <c r="B869" s="17">
        <f>$B$839*(1+((B868-$B$836)*$B$866))</f>
        <v>3.9236598136597727E-3</v>
      </c>
      <c r="C869" t="s">
        <v>458</v>
      </c>
      <c r="D869" s="13"/>
      <c r="E869" s="17"/>
      <c r="F869" s="49"/>
    </row>
    <row r="870" spans="1:6">
      <c r="A870" t="s">
        <v>1005</v>
      </c>
      <c r="B870" s="17">
        <f>$B$840*(1+((B868-$B$836)*$B$866))</f>
        <v>1.7394038649155231E-3</v>
      </c>
      <c r="C870" t="s">
        <v>458</v>
      </c>
      <c r="D870" s="13"/>
      <c r="E870" s="17"/>
      <c r="F870" s="49"/>
    </row>
    <row r="871" spans="1:6">
      <c r="A871" t="s">
        <v>464</v>
      </c>
      <c r="B871">
        <f>$B$9</f>
        <v>30</v>
      </c>
      <c r="C871" t="s">
        <v>9</v>
      </c>
      <c r="D871" s="3"/>
      <c r="E871" s="17"/>
      <c r="F871" s="49"/>
    </row>
    <row r="872" spans="1:6">
      <c r="A872" t="s">
        <v>393</v>
      </c>
      <c r="B872">
        <f>B868+B871-1</f>
        <v>2054</v>
      </c>
      <c r="D872" s="3"/>
      <c r="E872" s="17"/>
      <c r="F872" s="49"/>
    </row>
    <row r="873" spans="1:6">
      <c r="A873" t="s">
        <v>1004</v>
      </c>
      <c r="B873" s="17">
        <f>$B$839*(1+((B872-$B$836)*$B$866))</f>
        <v>3.0787015853790062E-3</v>
      </c>
      <c r="C873" t="s">
        <v>458</v>
      </c>
      <c r="D873" s="3"/>
      <c r="E873" s="17"/>
      <c r="F873" s="49"/>
    </row>
    <row r="874" spans="1:6">
      <c r="A874" t="s">
        <v>1005</v>
      </c>
      <c r="B874" s="17">
        <f>$B$840*(1+((B872-$B$836)*$B$866))</f>
        <v>1.3648240904796599E-3</v>
      </c>
      <c r="C874" t="s">
        <v>458</v>
      </c>
      <c r="D874" s="3"/>
      <c r="E874" s="17"/>
      <c r="F874" s="49"/>
    </row>
    <row r="875" spans="1:6">
      <c r="A875" t="s">
        <v>897</v>
      </c>
      <c r="D875" s="3"/>
      <c r="E875" s="17"/>
      <c r="F875" s="49"/>
    </row>
    <row r="876" spans="1:6">
      <c r="A876" s="18" t="s">
        <v>898</v>
      </c>
      <c r="B876" s="17">
        <f>AVERAGE(B873,B869)</f>
        <v>3.5011806995193895E-3</v>
      </c>
      <c r="C876" t="s">
        <v>458</v>
      </c>
      <c r="D876" s="4"/>
      <c r="E876" s="17"/>
      <c r="F876" s="49"/>
    </row>
    <row r="877" spans="1:6">
      <c r="A877" s="18" t="s">
        <v>899</v>
      </c>
      <c r="B877" s="17">
        <f>AVERAGE(B874,B870)</f>
        <v>1.5521139776975917E-3</v>
      </c>
      <c r="C877" t="s">
        <v>458</v>
      </c>
      <c r="D877" s="4"/>
      <c r="E877" s="17"/>
      <c r="F877" s="49"/>
    </row>
    <row r="878" spans="1:6">
      <c r="A878" s="18" t="s">
        <v>1183</v>
      </c>
      <c r="B878" s="3">
        <f>B112</f>
        <v>73</v>
      </c>
      <c r="C878" t="s">
        <v>38</v>
      </c>
      <c r="D878" s="4"/>
      <c r="E878" s="17"/>
      <c r="F878" s="49"/>
    </row>
    <row r="879" spans="1:6">
      <c r="A879" s="18" t="s">
        <v>967</v>
      </c>
      <c r="B879" s="3">
        <f>IF('User Interface'!$B$9=Options!$F$4,$B$727,$B$692)</f>
        <v>28</v>
      </c>
      <c r="D879" s="4"/>
      <c r="E879" s="17"/>
      <c r="F879" s="49"/>
    </row>
    <row r="880" spans="1:6">
      <c r="A880" s="18" t="s">
        <v>1184</v>
      </c>
      <c r="B880" s="4">
        <f>IF(B879&lt;$B$112,$B$112/B878,B879/B878)</f>
        <v>1</v>
      </c>
      <c r="D880" s="4"/>
      <c r="E880" s="17"/>
      <c r="F880" s="49"/>
    </row>
    <row r="881" spans="1:8">
      <c r="A881" t="s">
        <v>1187</v>
      </c>
      <c r="B881" s="5">
        <f>IF(B880&lt;=1,(-4.325*B880)+5.325,0.9225*(B880^(-1.8205)))</f>
        <v>1</v>
      </c>
      <c r="D881" s="4"/>
      <c r="E881" s="17"/>
      <c r="F881" s="49"/>
    </row>
    <row r="882" spans="1:8">
      <c r="A882" s="18" t="s">
        <v>898</v>
      </c>
      <c r="B882" s="3">
        <f>B876*$B$881*$B$18*$B$20</f>
        <v>42.878989978782521</v>
      </c>
      <c r="C882" s="49" t="s">
        <v>1020</v>
      </c>
      <c r="D882" s="4"/>
      <c r="E882" s="17"/>
      <c r="F882" s="49"/>
    </row>
    <row r="883" spans="1:8">
      <c r="A883" s="18" t="s">
        <v>899</v>
      </c>
      <c r="B883" s="3">
        <f>B877*$B$881*$B$19*$B$20</f>
        <v>8.4268005609306122</v>
      </c>
      <c r="C883" s="49" t="s">
        <v>1020</v>
      </c>
      <c r="D883" s="3"/>
      <c r="E883" s="17"/>
      <c r="F883" s="49"/>
    </row>
    <row r="884" spans="1:8">
      <c r="A884" s="18"/>
      <c r="B884" s="3"/>
      <c r="C884" s="49"/>
      <c r="F884" s="49"/>
    </row>
    <row r="885" spans="1:8">
      <c r="A885" s="92" t="s">
        <v>378</v>
      </c>
      <c r="B885" s="3"/>
      <c r="C885" s="49"/>
      <c r="F885" s="49"/>
    </row>
    <row r="886" spans="1:8">
      <c r="A886" t="s">
        <v>687</v>
      </c>
      <c r="B886" s="3">
        <f>IF('User Interface'!$B$8=Options!$E$4,IF('User Interface'!$B$17=Options!$H$6,$B$882,$B$845),IF('User Interface'!$B$17=Options!$H$4,IF('User Interface'!$B$12=Options!$G$4,$B$816,$C$816),IF('User Interface'!$B$17=Options!$H$5,B832,B861)))</f>
        <v>47.908972951392357</v>
      </c>
      <c r="C886" s="49" t="s">
        <v>1020</v>
      </c>
      <c r="F886" s="49"/>
    </row>
    <row r="887" spans="1:8">
      <c r="A887" t="s">
        <v>688</v>
      </c>
      <c r="B887" s="3">
        <f>IF('User Interface'!$B$8=Options!$E$4,IF('User Interface'!$B$17=Options!$H$6,$B$883,$B$846),IF('User Interface'!$B$17=Options!$H$4,IF('User Interface'!$B$12=Options!$G$4,$B$817,$C$817),IF('User Interface'!$B$17=Options!$H$5,B834,B863)))</f>
        <v>37.585153864223628</v>
      </c>
      <c r="C887" s="49" t="s">
        <v>1020</v>
      </c>
      <c r="F887" s="49"/>
    </row>
    <row r="888" spans="1:8">
      <c r="A888" t="s">
        <v>689</v>
      </c>
      <c r="B888" s="3">
        <f>SUM(B886:B887)</f>
        <v>85.494126815615985</v>
      </c>
      <c r="C888" s="49" t="s">
        <v>1020</v>
      </c>
      <c r="F888" s="49"/>
    </row>
    <row r="889" spans="1:8">
      <c r="B889" s="3">
        <f>B888*B744</f>
        <v>1128591.0153858734</v>
      </c>
      <c r="C889" s="49" t="s">
        <v>818</v>
      </c>
      <c r="F889" s="49"/>
    </row>
    <row r="890" spans="1:8">
      <c r="A890" t="s">
        <v>819</v>
      </c>
      <c r="B890" s="15">
        <f>IF('User Interface'!$B$8=Options!$E$4,0,B889*X242)</f>
        <v>4515593.8564752815</v>
      </c>
      <c r="C890" s="49" t="s">
        <v>3</v>
      </c>
      <c r="F890" s="49"/>
    </row>
    <row r="891" spans="1:8">
      <c r="A891" t="s">
        <v>690</v>
      </c>
      <c r="B891" s="3">
        <f>(B889*$B$78)/1000</f>
        <v>14075.716719813254</v>
      </c>
      <c r="C891" s="49" t="s">
        <v>43</v>
      </c>
      <c r="F891" s="49"/>
    </row>
    <row r="892" spans="1:8">
      <c r="B892" s="3"/>
      <c r="C892" s="49"/>
      <c r="F892" s="49"/>
    </row>
    <row r="893" spans="1:8" s="37" customFormat="1">
      <c r="A893" s="37" t="s">
        <v>932</v>
      </c>
      <c r="B893" s="47"/>
      <c r="C893" s="48"/>
      <c r="F893" s="48"/>
    </row>
    <row r="894" spans="1:8">
      <c r="A894" t="s">
        <v>927</v>
      </c>
      <c r="B894" s="1">
        <v>0.46603897976779352</v>
      </c>
      <c r="F894" s="49"/>
    </row>
    <row r="895" spans="1:8">
      <c r="F895" s="49"/>
    </row>
    <row r="896" spans="1:8">
      <c r="B896" s="3" t="s">
        <v>928</v>
      </c>
      <c r="C896" s="3" t="s">
        <v>929</v>
      </c>
      <c r="D896" s="49" t="s">
        <v>930</v>
      </c>
      <c r="E896" s="49" t="s">
        <v>931</v>
      </c>
      <c r="F896" s="49" t="s">
        <v>942</v>
      </c>
      <c r="G896" s="49" t="s">
        <v>940</v>
      </c>
      <c r="H896" t="s">
        <v>936</v>
      </c>
    </row>
    <row r="897" spans="1:16">
      <c r="A897" t="s">
        <v>203</v>
      </c>
      <c r="B897" s="4">
        <v>23.907638875142855</v>
      </c>
      <c r="C897" s="49">
        <f t="shared" ref="C897:C904" si="59">B897*$B$894</f>
        <v>11.141891630028415</v>
      </c>
      <c r="D897" s="4">
        <v>1.1103745697973699</v>
      </c>
      <c r="E897" s="4">
        <f t="shared" ref="E897:E904" si="60">D897*$B$894</f>
        <v>0.51747783166846895</v>
      </c>
      <c r="F897" s="6">
        <v>0.1493238085238433</v>
      </c>
      <c r="G897" s="5">
        <v>1</v>
      </c>
      <c r="H897" s="15">
        <v>4028.2153231456896</v>
      </c>
      <c r="I897" s="15"/>
      <c r="J897" s="15"/>
    </row>
    <row r="898" spans="1:16">
      <c r="A898" t="s">
        <v>920</v>
      </c>
      <c r="B898" s="4">
        <v>25.203180212014122</v>
      </c>
      <c r="C898" s="49">
        <f t="shared" si="59"/>
        <v>11.745664392910903</v>
      </c>
      <c r="D898" s="4">
        <v>1.352941552061651</v>
      </c>
      <c r="E898" s="4">
        <f t="shared" si="60"/>
        <v>0.6305235006082669</v>
      </c>
      <c r="F898" s="6">
        <v>0.16177161495413875</v>
      </c>
      <c r="G898" s="5">
        <v>1.2966666853318201</v>
      </c>
      <c r="H898" s="15">
        <f t="shared" ref="H898:H904" si="61">$H$897*G898</f>
        <v>5223.2526108661677</v>
      </c>
      <c r="I898" s="15"/>
      <c r="J898" s="15"/>
    </row>
    <row r="899" spans="1:16">
      <c r="A899" t="s">
        <v>926</v>
      </c>
      <c r="B899" s="4">
        <v>25.183745583038874</v>
      </c>
      <c r="C899" s="49">
        <f t="shared" si="59"/>
        <v>11.736607098251113</v>
      </c>
      <c r="D899" s="4">
        <v>1.8259023123353046</v>
      </c>
      <c r="E899" s="4">
        <f t="shared" si="60"/>
        <v>0.85094165079640038</v>
      </c>
      <c r="F899" s="6">
        <v>9.226202162185744E-2</v>
      </c>
      <c r="G899" s="5">
        <v>1.3255069967156194</v>
      </c>
      <c r="H899" s="15">
        <f t="shared" si="61"/>
        <v>5339.4275951066811</v>
      </c>
      <c r="I899" s="15"/>
      <c r="J899" s="15"/>
    </row>
    <row r="900" spans="1:16">
      <c r="A900" t="s">
        <v>921</v>
      </c>
      <c r="B900" s="4">
        <v>23.518727915194361</v>
      </c>
      <c r="C900" s="49">
        <f t="shared" si="59"/>
        <v>10.960643963033506</v>
      </c>
      <c r="D900" s="4">
        <v>1.9240091325197504</v>
      </c>
      <c r="E900" s="4">
        <f t="shared" si="60"/>
        <v>0.89666325318342188</v>
      </c>
      <c r="F900" s="6">
        <v>0.12617110418812871</v>
      </c>
      <c r="G900" s="5">
        <v>1.2766986592045442</v>
      </c>
      <c r="H900" s="15">
        <f t="shared" si="61"/>
        <v>5142.8171020473019</v>
      </c>
      <c r="I900" s="15"/>
      <c r="J900" s="15"/>
    </row>
    <row r="901" spans="1:16">
      <c r="A901" t="s">
        <v>925</v>
      </c>
      <c r="B901" s="4">
        <v>22.871378091872778</v>
      </c>
      <c r="C901" s="49">
        <f t="shared" si="59"/>
        <v>10.658953711819853</v>
      </c>
      <c r="D901" s="4">
        <v>1.3398927692675091</v>
      </c>
      <c r="E901" s="4">
        <f t="shared" si="60"/>
        <v>0.62444225918767349</v>
      </c>
      <c r="F901" s="6">
        <v>6.4971821169610464E-2</v>
      </c>
      <c r="G901" s="5">
        <v>0.45275375143485569</v>
      </c>
      <c r="H901" s="15">
        <f t="shared" si="61"/>
        <v>1823.7895991415805</v>
      </c>
      <c r="I901" s="15"/>
      <c r="J901" s="15"/>
    </row>
    <row r="902" spans="1:16">
      <c r="A902" t="s">
        <v>922</v>
      </c>
      <c r="B902" s="4">
        <v>26.458303886925822</v>
      </c>
      <c r="C902" s="49">
        <f t="shared" si="59"/>
        <v>12.330600949849156</v>
      </c>
      <c r="D902" s="4">
        <v>1.1268609287375861</v>
      </c>
      <c r="E902" s="4">
        <f t="shared" si="60"/>
        <v>0.52516111756905293</v>
      </c>
      <c r="F902" s="6">
        <v>9.2150636743814102E-2</v>
      </c>
      <c r="G902" s="5">
        <v>0.72511694104338509</v>
      </c>
      <c r="H902" s="15">
        <f t="shared" si="61"/>
        <v>2920.9271729834936</v>
      </c>
      <c r="I902" s="15"/>
      <c r="J902" s="15"/>
    </row>
    <row r="903" spans="1:16">
      <c r="A903" t="s">
        <v>923</v>
      </c>
      <c r="B903" s="4">
        <v>20.858657243816257</v>
      </c>
      <c r="C903" s="49">
        <f t="shared" si="59"/>
        <v>9.7209473412342238</v>
      </c>
      <c r="D903" s="4">
        <v>1.9862526548885846</v>
      </c>
      <c r="E903" s="4">
        <f t="shared" si="60"/>
        <v>0.92567116084534729</v>
      </c>
      <c r="F903" s="6">
        <v>9.8166150829199966E-2</v>
      </c>
      <c r="G903" s="5">
        <v>1.1916152797144295</v>
      </c>
      <c r="H903" s="15">
        <f t="shared" si="61"/>
        <v>4800.0829290402016</v>
      </c>
      <c r="I903" s="15"/>
      <c r="J903" s="15"/>
    </row>
    <row r="904" spans="1:16">
      <c r="A904" t="s">
        <v>924</v>
      </c>
      <c r="B904" s="4">
        <v>24.730388692579492</v>
      </c>
      <c r="C904" s="49">
        <f t="shared" si="59"/>
        <v>11.525325115550723</v>
      </c>
      <c r="D904" s="4">
        <v>1.1483856341379348</v>
      </c>
      <c r="E904" s="4">
        <f t="shared" si="60"/>
        <v>0.53519246931363373</v>
      </c>
      <c r="F904" s="6">
        <v>0.24130868012225648</v>
      </c>
      <c r="G904" s="5">
        <v>1.2017201047626154</v>
      </c>
      <c r="H904" s="15">
        <f t="shared" si="61"/>
        <v>4840.7873401370107</v>
      </c>
      <c r="I904" s="15"/>
      <c r="J904" s="15"/>
    </row>
    <row r="905" spans="1:16">
      <c r="B905" s="4"/>
      <c r="C905" s="49"/>
      <c r="D905" s="4"/>
      <c r="E905" s="4"/>
      <c r="F905" s="6"/>
      <c r="G905" s="5"/>
      <c r="H905" s="15"/>
      <c r="I905" s="15"/>
      <c r="J905" s="15"/>
    </row>
    <row r="906" spans="1:16">
      <c r="A906" t="s">
        <v>1043</v>
      </c>
      <c r="B906" s="215">
        <f>'User Interface'!$B$18</f>
        <v>0.1</v>
      </c>
      <c r="C906" s="49"/>
      <c r="D906" s="4"/>
      <c r="E906" s="4"/>
      <c r="F906" s="6"/>
      <c r="G906" s="5"/>
      <c r="H906" s="15"/>
      <c r="I906" s="15"/>
      <c r="J906" s="15"/>
    </row>
    <row r="907" spans="1:16">
      <c r="A907" t="s">
        <v>1016</v>
      </c>
      <c r="B907" s="15">
        <f>$CG$242*(1-B906)</f>
        <v>5032.1272774451709</v>
      </c>
      <c r="C907" t="s">
        <v>1017</v>
      </c>
      <c r="D907" s="4"/>
      <c r="E907" s="4"/>
      <c r="F907" s="6"/>
      <c r="G907" s="5"/>
      <c r="H907" s="15"/>
      <c r="I907" s="15"/>
      <c r="J907" s="15"/>
    </row>
    <row r="908" spans="1:16">
      <c r="B908" s="15">
        <f>IF('User Interface'!$B$8=Options!$E$4,B907*$B$744,0)</f>
        <v>0</v>
      </c>
      <c r="C908" t="s">
        <v>3</v>
      </c>
      <c r="D908" s="4"/>
      <c r="E908" s="4"/>
      <c r="F908" s="6"/>
      <c r="G908" s="5"/>
      <c r="H908" s="15"/>
      <c r="I908" s="15"/>
      <c r="J908" s="15"/>
    </row>
    <row r="909" spans="1:16">
      <c r="A909" t="s">
        <v>1021</v>
      </c>
      <c r="B909" s="6">
        <f>$CH$242</f>
        <v>0.23551749563647312</v>
      </c>
      <c r="C909" s="49" t="s">
        <v>1018</v>
      </c>
      <c r="D909" s="4"/>
      <c r="E909" s="4"/>
      <c r="F909" s="6"/>
      <c r="G909" s="5"/>
      <c r="H909" s="15"/>
      <c r="I909" s="15"/>
      <c r="J909" s="15"/>
    </row>
    <row r="910" spans="1:16">
      <c r="B910" s="15">
        <f>IF('User Interface'!$B$8=Options!$E$4,B909*$B$744*$B$20,0)</f>
        <v>0</v>
      </c>
      <c r="C910" s="49" t="s">
        <v>3</v>
      </c>
      <c r="D910" s="4"/>
      <c r="E910" s="4"/>
      <c r="F910" s="6"/>
      <c r="G910" s="5"/>
      <c r="H910" s="15"/>
      <c r="I910" s="15"/>
      <c r="J910" s="15"/>
    </row>
    <row r="911" spans="1:16">
      <c r="B911" s="3"/>
      <c r="C911" s="49"/>
      <c r="F911" s="49"/>
    </row>
    <row r="912" spans="1:16" s="37" customFormat="1">
      <c r="A912" s="37" t="s">
        <v>546</v>
      </c>
      <c r="P912" s="48"/>
    </row>
    <row r="913" spans="1:16">
      <c r="B913" t="s">
        <v>746</v>
      </c>
      <c r="C913" s="49" t="s">
        <v>747</v>
      </c>
      <c r="D913" t="s">
        <v>366</v>
      </c>
      <c r="P913" s="4"/>
    </row>
    <row r="914" spans="1:16">
      <c r="A914" t="s">
        <v>537</v>
      </c>
      <c r="P914" s="4"/>
    </row>
    <row r="915" spans="1:16">
      <c r="A915" t="s">
        <v>919</v>
      </c>
      <c r="B915" s="4">
        <f>B17</f>
        <v>22.725892457964925</v>
      </c>
      <c r="C915" s="4">
        <f>B17</f>
        <v>22.725892457964925</v>
      </c>
      <c r="D915" s="3">
        <f>B694</f>
        <v>2228.2327028611066</v>
      </c>
      <c r="E915" t="s">
        <v>2</v>
      </c>
      <c r="P915" s="4"/>
    </row>
    <row r="916" spans="1:16">
      <c r="A916" t="s">
        <v>535</v>
      </c>
      <c r="B916" s="3">
        <v>2</v>
      </c>
      <c r="C916" s="3">
        <v>2</v>
      </c>
      <c r="D916">
        <v>1</v>
      </c>
      <c r="E916" s="18" t="s">
        <v>568</v>
      </c>
      <c r="P916" s="4"/>
    </row>
    <row r="917" spans="1:16">
      <c r="A917" t="s">
        <v>303</v>
      </c>
      <c r="B917" s="3">
        <f>B915*B$916</f>
        <v>45.451784915929849</v>
      </c>
      <c r="C917" s="3">
        <f>C915*C$916</f>
        <v>45.451784915929849</v>
      </c>
      <c r="D917" s="3">
        <f>D915*D$916</f>
        <v>2228.2327028611066</v>
      </c>
      <c r="E917" t="s">
        <v>2</v>
      </c>
      <c r="P917" s="4"/>
    </row>
    <row r="918" spans="1:16">
      <c r="A918" t="s">
        <v>536</v>
      </c>
      <c r="B918" s="4">
        <f>B917/$B$6</f>
        <v>1.3281011552434703</v>
      </c>
      <c r="C918" s="4">
        <f>C917/$B$6</f>
        <v>1.3281011552434703</v>
      </c>
      <c r="D918" s="4">
        <f>D917/$B$6</f>
        <v>65.108959577601539</v>
      </c>
      <c r="E918" t="s">
        <v>10</v>
      </c>
      <c r="P918" s="4"/>
    </row>
    <row r="919" spans="1:16">
      <c r="A919" t="s">
        <v>538</v>
      </c>
      <c r="P919" s="4"/>
    </row>
    <row r="920" spans="1:16">
      <c r="A920" t="s">
        <v>304</v>
      </c>
      <c r="B920" s="3">
        <f>B20</f>
        <v>300</v>
      </c>
      <c r="C920" s="3">
        <f>MIN(B20,B613)</f>
        <v>299.98493763238412</v>
      </c>
      <c r="D920" s="3">
        <f>B20</f>
        <v>300</v>
      </c>
      <c r="E920" t="s">
        <v>8</v>
      </c>
      <c r="P920" s="4"/>
    </row>
    <row r="921" spans="1:16">
      <c r="A921" t="s">
        <v>309</v>
      </c>
      <c r="B921" s="4">
        <v>1.3</v>
      </c>
      <c r="C921" s="4">
        <v>1.3</v>
      </c>
      <c r="D921">
        <v>1</v>
      </c>
      <c r="E921" s="18" t="s">
        <v>568</v>
      </c>
      <c r="P921" s="4"/>
    </row>
    <row r="922" spans="1:16">
      <c r="A922" t="s">
        <v>310</v>
      </c>
      <c r="B922" s="3">
        <f>B920*B921</f>
        <v>390</v>
      </c>
      <c r="C922" s="3">
        <f>C920*C921</f>
        <v>389.98041892209937</v>
      </c>
      <c r="D922" s="3">
        <f>D920*D921</f>
        <v>300</v>
      </c>
      <c r="E922" t="s">
        <v>8</v>
      </c>
      <c r="P922" s="4"/>
    </row>
    <row r="923" spans="1:16">
      <c r="A923" t="s">
        <v>305</v>
      </c>
      <c r="B923" s="3">
        <f>BN242</f>
        <v>56.64</v>
      </c>
      <c r="C923" s="3">
        <f>BN242</f>
        <v>56.64</v>
      </c>
      <c r="D923" s="4">
        <f>CE242</f>
        <v>11.611488125602412</v>
      </c>
      <c r="E923" t="s">
        <v>306</v>
      </c>
      <c r="P923" s="4"/>
    </row>
    <row r="924" spans="1:16">
      <c r="A924" t="s">
        <v>307</v>
      </c>
      <c r="B924" s="3">
        <v>6.3</v>
      </c>
      <c r="C924" s="3">
        <v>6.3</v>
      </c>
      <c r="D924" s="4">
        <f>CF242</f>
        <v>0.5724713816622935</v>
      </c>
      <c r="E924" t="s">
        <v>306</v>
      </c>
      <c r="P924" s="4"/>
    </row>
    <row r="925" spans="1:16">
      <c r="A925" t="s">
        <v>308</v>
      </c>
      <c r="B925" s="3">
        <v>3</v>
      </c>
      <c r="C925" s="3">
        <v>3</v>
      </c>
      <c r="D925">
        <v>3</v>
      </c>
      <c r="E925" t="s">
        <v>302</v>
      </c>
      <c r="P925" s="4"/>
    </row>
    <row r="926" spans="1:16">
      <c r="A926" t="s">
        <v>540</v>
      </c>
      <c r="B926" s="3">
        <f>B923-(B925*B924)</f>
        <v>37.74</v>
      </c>
      <c r="C926" s="3">
        <f>C923-(C925*C924)</f>
        <v>37.74</v>
      </c>
      <c r="D926" s="3">
        <f>D923-(D925*D924)</f>
        <v>9.8940739806155307</v>
      </c>
      <c r="E926" t="s">
        <v>306</v>
      </c>
      <c r="P926" s="4"/>
    </row>
    <row r="927" spans="1:16">
      <c r="A927" t="s">
        <v>311</v>
      </c>
      <c r="B927" s="4">
        <f>B922/B926</f>
        <v>10.333863275039745</v>
      </c>
      <c r="C927" s="4">
        <f>C922/C926</f>
        <v>10.333344433547943</v>
      </c>
      <c r="D927" s="4">
        <f>(D922/D926)-(D922/D923)</f>
        <v>4.4846985322882738</v>
      </c>
      <c r="E927" t="s">
        <v>10</v>
      </c>
      <c r="P927" s="4"/>
    </row>
    <row r="928" spans="1:16">
      <c r="A928" t="s">
        <v>536</v>
      </c>
      <c r="B928" s="4">
        <f>MAX(B918,B927)</f>
        <v>10.333863275039745</v>
      </c>
      <c r="C928" s="4">
        <f>MAX(C918,C927)</f>
        <v>10.333344433547943</v>
      </c>
      <c r="D928" s="4">
        <f>MAX(D918,D927)</f>
        <v>65.108959577601539</v>
      </c>
      <c r="E928" t="s">
        <v>10</v>
      </c>
      <c r="P928" s="4"/>
    </row>
    <row r="929" spans="1:16">
      <c r="A929" t="s">
        <v>535</v>
      </c>
      <c r="B929" s="4">
        <v>1</v>
      </c>
      <c r="C929" s="4">
        <v>1</v>
      </c>
      <c r="D929" s="4">
        <v>1</v>
      </c>
      <c r="E929" s="18" t="s">
        <v>568</v>
      </c>
      <c r="P929" s="4"/>
    </row>
    <row r="930" spans="1:16">
      <c r="A930" t="s">
        <v>542</v>
      </c>
      <c r="B930" s="3">
        <f>$B$6*B928*B929</f>
        <v>353.65719627103846</v>
      </c>
      <c r="C930" s="3">
        <f>$B$6*C928*C929</f>
        <v>353.63943988870437</v>
      </c>
      <c r="D930" s="3">
        <f>$B$6*D928*D929</f>
        <v>2228.2327028611066</v>
      </c>
      <c r="E930" t="s">
        <v>21</v>
      </c>
      <c r="G930" s="3"/>
      <c r="P930" s="4"/>
    </row>
    <row r="931" spans="1:16">
      <c r="A931" t="s">
        <v>713</v>
      </c>
      <c r="P931" s="4"/>
    </row>
    <row r="932" spans="1:16">
      <c r="A932" t="s">
        <v>699</v>
      </c>
      <c r="B932" s="3">
        <f>(PI()*(B933^2)*B935)+((4/3)*PI()*(B933^3))</f>
        <v>110.0199622654699</v>
      </c>
      <c r="C932" s="3">
        <f>(PI()*(C933^2)*C935)+((4/3)*PI()*(C933^3))</f>
        <v>110.0199622654699</v>
      </c>
      <c r="D932" s="3">
        <f>(PI()*(D933^2)*D935)+((4/3)*PI()*(D933^3))</f>
        <v>110.0199622654699</v>
      </c>
      <c r="E932" t="s">
        <v>28</v>
      </c>
      <c r="P932" s="4"/>
    </row>
    <row r="933" spans="1:16">
      <c r="A933" t="s">
        <v>697</v>
      </c>
      <c r="B933" s="5">
        <v>1.55</v>
      </c>
      <c r="C933">
        <v>1.55</v>
      </c>
      <c r="D933">
        <v>1.55</v>
      </c>
      <c r="E933" t="s">
        <v>36</v>
      </c>
      <c r="P933" s="4"/>
    </row>
    <row r="934" spans="1:16">
      <c r="A934" t="s">
        <v>702</v>
      </c>
      <c r="B934" s="5">
        <f>B933*2</f>
        <v>3.1</v>
      </c>
      <c r="C934" s="5">
        <f>C933*2</f>
        <v>3.1</v>
      </c>
      <c r="D934" s="5">
        <f>D933*2</f>
        <v>3.1</v>
      </c>
      <c r="E934" t="s">
        <v>36</v>
      </c>
      <c r="P934" s="4"/>
    </row>
    <row r="935" spans="1:16">
      <c r="A935" t="s">
        <v>698</v>
      </c>
      <c r="B935" s="5">
        <v>12.51</v>
      </c>
      <c r="C935">
        <v>12.51</v>
      </c>
      <c r="D935">
        <v>12.51</v>
      </c>
      <c r="E935" t="s">
        <v>36</v>
      </c>
      <c r="P935" s="4"/>
    </row>
    <row r="936" spans="1:16">
      <c r="A936" t="s">
        <v>696</v>
      </c>
      <c r="B936" s="3">
        <f>B932*$B$104</f>
        <v>104.5189641521964</v>
      </c>
      <c r="C936" s="3">
        <f>C932*$B$104</f>
        <v>104.5189641521964</v>
      </c>
      <c r="D936" s="3">
        <f>D932*$B$104</f>
        <v>104.5189641521964</v>
      </c>
      <c r="E936" t="s">
        <v>28</v>
      </c>
      <c r="P936" s="4"/>
    </row>
    <row r="937" spans="1:16">
      <c r="B937" s="3">
        <f>B936*($B$122/1000)</f>
        <v>108.90876064658866</v>
      </c>
      <c r="C937" s="3">
        <f>C936*($B$122/1000)</f>
        <v>108.90876064658866</v>
      </c>
      <c r="D937" s="3">
        <f>D936*($B$122/1000)</f>
        <v>108.90876064658866</v>
      </c>
      <c r="E937" t="s">
        <v>21</v>
      </c>
      <c r="P937" s="4"/>
    </row>
    <row r="938" spans="1:16">
      <c r="A938" t="s">
        <v>700</v>
      </c>
      <c r="B938" s="3">
        <f>ROUNDUP(B930/B937,0)</f>
        <v>4</v>
      </c>
      <c r="C938" s="3">
        <f>ROUNDUP(C930/C937,0)</f>
        <v>4</v>
      </c>
      <c r="D938" s="3">
        <f>ROUNDUP(D930/D937,0)</f>
        <v>21</v>
      </c>
      <c r="E938" t="s">
        <v>38</v>
      </c>
      <c r="P938" s="4"/>
    </row>
    <row r="939" spans="1:16">
      <c r="A939" s="61" t="s">
        <v>89</v>
      </c>
      <c r="B939" s="62">
        <v>0.85</v>
      </c>
      <c r="C939" s="62">
        <v>0.85</v>
      </c>
      <c r="D939" s="61">
        <v>0.85</v>
      </c>
      <c r="E939" s="18" t="s">
        <v>568</v>
      </c>
      <c r="P939" s="4"/>
    </row>
    <row r="940" spans="1:16">
      <c r="A940" s="61" t="s">
        <v>90</v>
      </c>
      <c r="B940" s="63">
        <v>20000</v>
      </c>
      <c r="C940" s="63">
        <v>20000</v>
      </c>
      <c r="D940">
        <v>20000</v>
      </c>
      <c r="E940" s="61" t="s">
        <v>694</v>
      </c>
      <c r="P940" s="4"/>
    </row>
    <row r="941" spans="1:16">
      <c r="A941" s="61"/>
      <c r="B941" s="63">
        <f>(B940/$A$66)/10</f>
        <v>137.89489650988017</v>
      </c>
      <c r="C941" s="63">
        <f>(C940/$A$66)/10</f>
        <v>137.89489650988017</v>
      </c>
      <c r="D941" s="63">
        <f>(D940/$A$66)/10</f>
        <v>137.89489650988017</v>
      </c>
      <c r="E941" s="61" t="s">
        <v>74</v>
      </c>
      <c r="P941" s="4"/>
    </row>
    <row r="942" spans="1:16">
      <c r="A942" s="61" t="s">
        <v>902</v>
      </c>
      <c r="B942" s="65">
        <f>(1+$B$108)*$B$119</f>
        <v>1.6500000000000001</v>
      </c>
      <c r="C942" s="65">
        <f>(1+$B$108)*$B$119</f>
        <v>1.6500000000000001</v>
      </c>
      <c r="D942" s="65">
        <f>(1+$B$108)*$B$119</f>
        <v>1.6500000000000001</v>
      </c>
      <c r="E942" s="61" t="s">
        <v>74</v>
      </c>
      <c r="P942" s="4"/>
    </row>
    <row r="943" spans="1:16">
      <c r="A943" s="61" t="s">
        <v>88</v>
      </c>
      <c r="B943" s="64">
        <f>(B942*B934)/((2*B941*B939)-(1.2*B942))</f>
        <v>2.2005553532856794E-2</v>
      </c>
      <c r="C943" s="64">
        <f>(C942*C934)/((2*C941*C939)-(1.2*C942))</f>
        <v>2.2005553532856794E-2</v>
      </c>
      <c r="D943" s="64">
        <f>(D942*D934)/((2*D941*D939)-(1.2*D942))</f>
        <v>2.2005553532856794E-2</v>
      </c>
      <c r="E943" s="61" t="s">
        <v>91</v>
      </c>
      <c r="P943" s="4"/>
    </row>
    <row r="944" spans="1:16">
      <c r="A944" s="61" t="s">
        <v>92</v>
      </c>
      <c r="B944" s="64">
        <f>(B942*B934)/((4*B941*B939)+(0.8*B942))</f>
        <v>1.0879213864191564E-2</v>
      </c>
      <c r="C944" s="64">
        <f>(C942*C934)/((4*C941*C939)+(0.8*C942))</f>
        <v>1.0879213864191564E-2</v>
      </c>
      <c r="D944" s="64">
        <f>(D942*D934)/((4*D941*D939)+(0.8*D942))</f>
        <v>1.0879213864191564E-2</v>
      </c>
      <c r="E944" s="61" t="s">
        <v>91</v>
      </c>
      <c r="P944" s="4"/>
    </row>
    <row r="945" spans="1:16">
      <c r="A945" s="61" t="s">
        <v>703</v>
      </c>
      <c r="B945" s="1">
        <f t="shared" ref="B945" si="62">MAX(B943,B944)</f>
        <v>2.2005553532856794E-2</v>
      </c>
      <c r="C945" s="1">
        <f>MAX(C943,C944)</f>
        <v>2.2005553532856794E-2</v>
      </c>
      <c r="D945" s="1">
        <f>MAX(D943,D944)</f>
        <v>2.2005553532856794E-2</v>
      </c>
      <c r="E945" s="61" t="s">
        <v>36</v>
      </c>
      <c r="P945" s="4"/>
    </row>
    <row r="946" spans="1:16">
      <c r="A946" s="61" t="s">
        <v>704</v>
      </c>
      <c r="B946" s="4">
        <f>PI()*B935*(((B933+B945)^2)-(B933^2))</f>
        <v>2.7000583586459017</v>
      </c>
      <c r="C946" s="4">
        <f>PI()*C935*(((C933+C945)^2)-(C933^2))</f>
        <v>2.7000583586459017</v>
      </c>
      <c r="D946" s="4">
        <f>PI()*D935*(((D933+D945)^2)-(D933^2))</f>
        <v>2.7000583586459017</v>
      </c>
      <c r="E946" s="61" t="s">
        <v>28</v>
      </c>
      <c r="P946" s="4"/>
    </row>
    <row r="947" spans="1:16">
      <c r="A947" s="61" t="s">
        <v>705</v>
      </c>
      <c r="B947" s="3">
        <f>B946*$B$87</f>
        <v>21681.468619926593</v>
      </c>
      <c r="C947" s="3">
        <f>C946*$B$87</f>
        <v>21681.468619926593</v>
      </c>
      <c r="D947" s="3">
        <f>D946*$B$87</f>
        <v>21681.468619926593</v>
      </c>
      <c r="E947" s="61" t="s">
        <v>44</v>
      </c>
      <c r="P947" s="4"/>
    </row>
    <row r="948" spans="1:16">
      <c r="A948" s="61" t="s">
        <v>731</v>
      </c>
      <c r="B948" s="3">
        <f>(((4/3)*PI()*(((B933+B945)^3)-(B933^3)))+B946)*$B$87</f>
        <v>27092.402786309653</v>
      </c>
      <c r="C948" s="3">
        <f>(((4/3)*PI()*(((C933+C945)^3)-(C933^3)))+C946)*$B$87</f>
        <v>27092.402786309653</v>
      </c>
      <c r="D948" s="3">
        <f>(((4/3)*PI()*(((D933+D945)^3)-(D933^3)))+D946)*$B$87</f>
        <v>27092.402786309653</v>
      </c>
      <c r="E948" s="61" t="s">
        <v>44</v>
      </c>
      <c r="P948" s="4"/>
    </row>
    <row r="949" spans="1:16">
      <c r="A949" s="61" t="s">
        <v>708</v>
      </c>
      <c r="B949" s="4">
        <v>0.5</v>
      </c>
      <c r="C949" s="4">
        <v>0.5</v>
      </c>
      <c r="D949">
        <v>0.5</v>
      </c>
      <c r="E949" s="61" t="s">
        <v>66</v>
      </c>
      <c r="P949" s="4"/>
    </row>
    <row r="950" spans="1:16">
      <c r="B950" s="4">
        <f>B949*$A$52</f>
        <v>0.15240000000000001</v>
      </c>
      <c r="C950" s="4">
        <f>C949*$A$52</f>
        <v>0.15240000000000001</v>
      </c>
      <c r="D950" s="4">
        <f>D949*$A$52</f>
        <v>0.15240000000000001</v>
      </c>
      <c r="E950" s="61" t="s">
        <v>36</v>
      </c>
      <c r="P950" s="4"/>
    </row>
    <row r="951" spans="1:16">
      <c r="A951" s="61" t="s">
        <v>903</v>
      </c>
      <c r="B951" s="4">
        <f>(1+$B$108)*$B$44</f>
        <v>0.1114575</v>
      </c>
      <c r="C951" s="4">
        <f>(1+$B$108)*$B$44</f>
        <v>0.1114575</v>
      </c>
      <c r="D951" s="4">
        <f>(1+$B$108)*$B$44</f>
        <v>0.1114575</v>
      </c>
      <c r="E951" s="61" t="s">
        <v>74</v>
      </c>
      <c r="P951" s="4"/>
    </row>
    <row r="952" spans="1:16">
      <c r="A952" s="61" t="s">
        <v>88</v>
      </c>
      <c r="B952" s="64">
        <f>(B951*B955)/((2*B941*B939)-(1.2*B951))</f>
        <v>1.6197636425739001E-3</v>
      </c>
      <c r="C952" s="64">
        <f>(C951*C955)/((2*C941*C939)-(1.2*C951))</f>
        <v>1.6197636425739001E-3</v>
      </c>
      <c r="D952" s="64">
        <f>(D951*D955)/((2*D941*D939)-(1.2*D951))</f>
        <v>1.6197636425739001E-3</v>
      </c>
      <c r="E952" s="61" t="s">
        <v>91</v>
      </c>
      <c r="P952" s="4"/>
    </row>
    <row r="953" spans="1:16">
      <c r="A953" s="61" t="s">
        <v>92</v>
      </c>
      <c r="B953" s="64">
        <f>(B951*B955)/((4*B941*B939)+(0.8*B951))</f>
        <v>8.0926583473794368E-4</v>
      </c>
      <c r="C953" s="64">
        <f>(C951*C955)/((4*C941*C939)+(0.8*C951))</f>
        <v>8.0926583473794368E-4</v>
      </c>
      <c r="D953" s="64">
        <f>(D951*D955)/((4*D941*D939)+(0.8*D951))</f>
        <v>8.0926583473794368E-4</v>
      </c>
      <c r="E953" s="61" t="s">
        <v>91</v>
      </c>
      <c r="P953" s="4"/>
    </row>
    <row r="954" spans="1:16">
      <c r="A954" s="61" t="s">
        <v>710</v>
      </c>
      <c r="B954" s="4">
        <f>B933+B950</f>
        <v>1.7024000000000001</v>
      </c>
      <c r="C954" s="4">
        <f>C933+C950</f>
        <v>1.7024000000000001</v>
      </c>
      <c r="D954" s="4">
        <f>D933+D950</f>
        <v>1.7024000000000001</v>
      </c>
      <c r="E954" s="61" t="s">
        <v>36</v>
      </c>
      <c r="P954" s="4"/>
    </row>
    <row r="955" spans="1:16">
      <c r="A955" s="61" t="s">
        <v>906</v>
      </c>
      <c r="B955" s="4">
        <f>B954*2</f>
        <v>3.4048000000000003</v>
      </c>
      <c r="C955" s="4">
        <f>C954*2</f>
        <v>3.4048000000000003</v>
      </c>
      <c r="D955" s="4">
        <f>D954*2</f>
        <v>3.4048000000000003</v>
      </c>
      <c r="E955" s="61" t="s">
        <v>36</v>
      </c>
      <c r="P955" s="4"/>
    </row>
    <row r="956" spans="1:16">
      <c r="A956" s="61" t="s">
        <v>709</v>
      </c>
      <c r="B956" s="1">
        <f>MAX(B952,B953)</f>
        <v>1.6197636425739001E-3</v>
      </c>
      <c r="C956" s="1">
        <f>MAX(C952,C953)</f>
        <v>1.6197636425739001E-3</v>
      </c>
      <c r="D956" s="1">
        <f>MAX(D952,D953)</f>
        <v>1.6197636425739001E-3</v>
      </c>
      <c r="E956" s="61" t="s">
        <v>36</v>
      </c>
      <c r="P956" s="4"/>
    </row>
    <row r="957" spans="1:16">
      <c r="A957" s="61" t="s">
        <v>711</v>
      </c>
      <c r="B957" s="4">
        <f>PI()*B935*(((B954+B956)^2)-(B954^2))</f>
        <v>0.21684878478816116</v>
      </c>
      <c r="C957" s="4">
        <f>PI()*C935*(((C954+C956)^2)-(C954^2))</f>
        <v>0.21684878478816116</v>
      </c>
      <c r="D957" s="4">
        <f>PI()*D935*(((D954+D956)^2)-(D954^2))</f>
        <v>0.21684878478816116</v>
      </c>
      <c r="E957" s="61" t="s">
        <v>28</v>
      </c>
      <c r="P957" s="4"/>
    </row>
    <row r="958" spans="1:16">
      <c r="A958" s="61" t="s">
        <v>712</v>
      </c>
      <c r="B958" s="3">
        <f>B957*$B$85</f>
        <v>1680.578082108249</v>
      </c>
      <c r="C958" s="3">
        <f>C957*$B$85</f>
        <v>1680.578082108249</v>
      </c>
      <c r="D958" s="3">
        <f>D957*$B$85</f>
        <v>1680.578082108249</v>
      </c>
      <c r="E958" s="61" t="s">
        <v>44</v>
      </c>
      <c r="P958" s="4"/>
    </row>
    <row r="959" spans="1:16">
      <c r="A959" s="61" t="s">
        <v>730</v>
      </c>
      <c r="B959" s="3">
        <f>(((4/3)*PI()*(((B954+B956)^3)-(B954^3)))+B957)*$B$85</f>
        <v>2138.1923766486302</v>
      </c>
      <c r="C959" s="3">
        <f>(((4/3)*PI()*(((C954+C956)^3)-(C954^3)))+C957)*$B$85</f>
        <v>2138.1923766486302</v>
      </c>
      <c r="D959" s="3">
        <f>(((4/3)*PI()*(((D954+D956)^3)-(D954^3)))+D957)*$B$85</f>
        <v>2138.1923766486302</v>
      </c>
      <c r="E959" s="61" t="s">
        <v>44</v>
      </c>
      <c r="G959" s="3"/>
      <c r="H959" s="3"/>
      <c r="I959" s="3"/>
      <c r="P959" s="4"/>
    </row>
    <row r="960" spans="1:16">
      <c r="A960" s="61"/>
      <c r="B960" s="3"/>
      <c r="C960" s="3"/>
      <c r="D960" s="3"/>
      <c r="P960" s="4"/>
    </row>
    <row r="961" spans="1:16">
      <c r="A961" s="61" t="s">
        <v>714</v>
      </c>
      <c r="B961" s="3"/>
      <c r="P961" s="4"/>
    </row>
    <row r="962" spans="1:16">
      <c r="A962" t="s">
        <v>80</v>
      </c>
      <c r="B962" s="3"/>
      <c r="P962" s="4"/>
    </row>
    <row r="963" spans="1:16">
      <c r="A963" t="s">
        <v>81</v>
      </c>
      <c r="B963" s="5">
        <v>0.8</v>
      </c>
      <c r="C963" s="5">
        <v>0.8</v>
      </c>
      <c r="D963" s="5">
        <v>0.8</v>
      </c>
      <c r="P963" s="4"/>
    </row>
    <row r="964" spans="1:16">
      <c r="A964" t="s">
        <v>82</v>
      </c>
      <c r="B964" s="5">
        <v>0.3</v>
      </c>
      <c r="C964" s="5">
        <v>0.3</v>
      </c>
      <c r="D964" s="5">
        <v>0.3</v>
      </c>
      <c r="P964" s="4"/>
    </row>
    <row r="965" spans="1:16">
      <c r="A965" t="s">
        <v>83</v>
      </c>
      <c r="B965" s="5">
        <v>0.2</v>
      </c>
      <c r="C965" s="5">
        <v>0.2</v>
      </c>
      <c r="D965" s="5">
        <v>0.2</v>
      </c>
      <c r="P965" s="4"/>
    </row>
    <row r="966" spans="1:16">
      <c r="A966" t="s">
        <v>84</v>
      </c>
      <c r="B966" s="5">
        <v>0.3</v>
      </c>
      <c r="C966" s="5">
        <v>0.3</v>
      </c>
      <c r="D966" s="5">
        <v>0.3</v>
      </c>
      <c r="P966" s="4"/>
    </row>
    <row r="967" spans="1:16">
      <c r="A967" t="s">
        <v>85</v>
      </c>
      <c r="B967" s="5">
        <v>0.3</v>
      </c>
      <c r="C967" s="5">
        <v>0.3</v>
      </c>
      <c r="D967" s="5">
        <v>0.3</v>
      </c>
      <c r="P967" s="4"/>
    </row>
    <row r="968" spans="1:16">
      <c r="A968" t="s">
        <v>86</v>
      </c>
      <c r="B968" s="5">
        <v>0.2</v>
      </c>
      <c r="C968" s="5">
        <v>0.2</v>
      </c>
      <c r="D968" s="5">
        <v>0.2</v>
      </c>
      <c r="P968" s="4"/>
    </row>
    <row r="969" spans="1:16">
      <c r="A969" t="s">
        <v>87</v>
      </c>
      <c r="B969" s="5">
        <v>0.1</v>
      </c>
      <c r="C969" s="5">
        <v>0.1</v>
      </c>
      <c r="D969" s="5">
        <v>0.1</v>
      </c>
      <c r="P969" s="4"/>
    </row>
    <row r="970" spans="1:16">
      <c r="A970" t="s">
        <v>716</v>
      </c>
      <c r="B970" s="3"/>
      <c r="P970" s="4"/>
    </row>
    <row r="971" spans="1:16">
      <c r="A971" t="s">
        <v>76</v>
      </c>
      <c r="B971" s="3">
        <v>17400</v>
      </c>
      <c r="C971" s="3">
        <v>17400</v>
      </c>
      <c r="D971" s="3">
        <v>17400</v>
      </c>
      <c r="E971" s="18" t="s">
        <v>568</v>
      </c>
      <c r="P971" s="4"/>
    </row>
    <row r="972" spans="1:16">
      <c r="A972" t="s">
        <v>77</v>
      </c>
      <c r="B972" s="3">
        <v>79</v>
      </c>
      <c r="C972" s="3">
        <v>79</v>
      </c>
      <c r="D972" s="3">
        <v>79</v>
      </c>
      <c r="E972" s="18" t="s">
        <v>568</v>
      </c>
      <c r="P972" s="4"/>
    </row>
    <row r="973" spans="1:16">
      <c r="A973" t="s">
        <v>78</v>
      </c>
      <c r="B973" s="3">
        <f>B947</f>
        <v>21681.468619926593</v>
      </c>
      <c r="C973" s="3">
        <f>C947</f>
        <v>21681.468619926593</v>
      </c>
      <c r="D973" s="3">
        <f>D947</f>
        <v>21681.468619926593</v>
      </c>
      <c r="E973" t="s">
        <v>44</v>
      </c>
      <c r="P973" s="4"/>
    </row>
    <row r="974" spans="1:16">
      <c r="A974" t="s">
        <v>79</v>
      </c>
      <c r="B974" s="5">
        <v>0.85</v>
      </c>
      <c r="C974" s="5">
        <v>0.85</v>
      </c>
      <c r="D974" s="5">
        <v>0.85</v>
      </c>
      <c r="E974" s="18" t="s">
        <v>568</v>
      </c>
      <c r="P974" s="4"/>
    </row>
    <row r="975" spans="1:16">
      <c r="A975" t="s">
        <v>64</v>
      </c>
      <c r="B975" s="15">
        <f>B$971+(B$972*(B973^B$974))</f>
        <v>400491.47102642199</v>
      </c>
      <c r="C975" s="15">
        <f>C$971+(C$972*(C973^C$974))</f>
        <v>400491.47102642199</v>
      </c>
      <c r="D975" s="15">
        <f>D$971+(D$972*(D973^D$974))</f>
        <v>400491.47102642199</v>
      </c>
      <c r="E975" t="s">
        <v>722</v>
      </c>
      <c r="P975" s="4"/>
    </row>
    <row r="976" spans="1:16">
      <c r="A976" t="s">
        <v>723</v>
      </c>
      <c r="B976" s="15">
        <f>B975*(1+SUM(B$963:B$969))</f>
        <v>1281572.7072845504</v>
      </c>
      <c r="C976" s="15">
        <f>C975*(1+SUM(C$963:C$969))</f>
        <v>1281572.7072845504</v>
      </c>
      <c r="D976" s="15">
        <f>D975*(1+SUM(D$963:D$969))</f>
        <v>1281572.7072845504</v>
      </c>
      <c r="E976" t="s">
        <v>715</v>
      </c>
      <c r="P976" s="4"/>
    </row>
    <row r="977" spans="1:16">
      <c r="B977" s="15">
        <f>B976*$B$141</f>
        <v>1761984.6554253115</v>
      </c>
      <c r="C977" s="15">
        <f t="shared" ref="C977:D977" si="63">C976*$B$141</f>
        <v>1761984.6554253115</v>
      </c>
      <c r="D977" s="15">
        <f t="shared" si="63"/>
        <v>1761984.6554253115</v>
      </c>
      <c r="E977" t="str">
        <f>$B$128&amp;" USD, Gulf Coast"</f>
        <v>2024 USD, Gulf Coast</v>
      </c>
      <c r="P977" s="4"/>
    </row>
    <row r="978" spans="1:16">
      <c r="B978" s="15">
        <f>B977*$C$242</f>
        <v>2122510.8820343143</v>
      </c>
      <c r="C978" s="15">
        <f t="shared" ref="C978:D978" si="64">C977*$C$242</f>
        <v>2122510.8820343143</v>
      </c>
      <c r="D978" s="15">
        <f t="shared" si="64"/>
        <v>2122510.8820343143</v>
      </c>
      <c r="E978" t="str">
        <f>$B$128&amp;" USD, "&amp;$A$242</f>
        <v>2024 USD, California</v>
      </c>
      <c r="P978" s="4"/>
    </row>
    <row r="979" spans="1:16">
      <c r="A979" t="s">
        <v>717</v>
      </c>
      <c r="B979" s="3"/>
      <c r="P979" s="4"/>
    </row>
    <row r="980" spans="1:16">
      <c r="A980" t="s">
        <v>76</v>
      </c>
      <c r="B980" s="3">
        <v>11600</v>
      </c>
      <c r="C980" s="3">
        <v>11600</v>
      </c>
      <c r="D980" s="3">
        <v>11600</v>
      </c>
      <c r="E980" s="18" t="s">
        <v>568</v>
      </c>
      <c r="P980" s="4"/>
    </row>
    <row r="981" spans="1:16">
      <c r="A981" t="s">
        <v>77</v>
      </c>
      <c r="B981" s="3">
        <v>34</v>
      </c>
      <c r="C981" s="3">
        <v>34</v>
      </c>
      <c r="D981" s="3">
        <v>34</v>
      </c>
      <c r="E981" s="18" t="s">
        <v>568</v>
      </c>
      <c r="P981" s="4"/>
    </row>
    <row r="982" spans="1:16">
      <c r="A982" t="s">
        <v>78</v>
      </c>
      <c r="B982" s="3">
        <f>B958</f>
        <v>1680.578082108249</v>
      </c>
      <c r="C982" s="3">
        <f>C958</f>
        <v>1680.578082108249</v>
      </c>
      <c r="D982" s="3">
        <f>D958</f>
        <v>1680.578082108249</v>
      </c>
      <c r="E982" t="s">
        <v>44</v>
      </c>
      <c r="P982" s="4"/>
    </row>
    <row r="983" spans="1:16">
      <c r="A983" t="s">
        <v>79</v>
      </c>
      <c r="B983" s="5">
        <v>0.85</v>
      </c>
      <c r="C983" s="5">
        <v>0.85</v>
      </c>
      <c r="D983" s="5">
        <v>0.85</v>
      </c>
      <c r="E983" s="18" t="s">
        <v>568</v>
      </c>
      <c r="P983" s="4"/>
    </row>
    <row r="984" spans="1:16">
      <c r="A984" t="s">
        <v>64</v>
      </c>
      <c r="B984" s="15">
        <f>B$980+(B$981*(B982^B$983))</f>
        <v>30355.075120442023</v>
      </c>
      <c r="C984" s="15">
        <f>C$980+(C$981*(C982^C$983))</f>
        <v>30355.075120442023</v>
      </c>
      <c r="D984" s="15">
        <f>D$980+(D$981*(D982^D$983))</f>
        <v>30355.075120442023</v>
      </c>
      <c r="E984" t="s">
        <v>722</v>
      </c>
      <c r="P984" s="4"/>
    </row>
    <row r="985" spans="1:16">
      <c r="A985" t="s">
        <v>723</v>
      </c>
      <c r="B985" s="15">
        <f>B984*(1+SUM(B$963:B$969))</f>
        <v>97136.24038541448</v>
      </c>
      <c r="C985" s="15">
        <f>C984*(1+SUM(C$963:C$969))</f>
        <v>97136.24038541448</v>
      </c>
      <c r="D985" s="15">
        <f>D984*(1+SUM(D$963:D$969))</f>
        <v>97136.24038541448</v>
      </c>
      <c r="E985" t="s">
        <v>715</v>
      </c>
      <c r="P985" s="4"/>
    </row>
    <row r="986" spans="1:16">
      <c r="B986" s="15">
        <f>B985*$B$141</f>
        <v>133548.85296164738</v>
      </c>
      <c r="C986" s="15">
        <f t="shared" ref="C986:D986" si="65">C985*$B$141</f>
        <v>133548.85296164738</v>
      </c>
      <c r="D986" s="15">
        <f t="shared" si="65"/>
        <v>133548.85296164738</v>
      </c>
      <c r="E986" t="str">
        <f>$B$128&amp;" USD, Gulf Coast"</f>
        <v>2024 USD, Gulf Coast</v>
      </c>
      <c r="P986" s="4"/>
    </row>
    <row r="987" spans="1:16">
      <c r="B987" s="15">
        <f>B986*$C$242</f>
        <v>160874.77993721529</v>
      </c>
      <c r="C987" s="15">
        <f t="shared" ref="C987:D987" si="66">C986*$C$242</f>
        <v>160874.77993721529</v>
      </c>
      <c r="D987" s="15">
        <f t="shared" si="66"/>
        <v>160874.77993721529</v>
      </c>
      <c r="E987" t="str">
        <f>$B$128&amp;" USD, "&amp;$A$242</f>
        <v>2024 USD, California</v>
      </c>
      <c r="P987" s="4"/>
    </row>
    <row r="988" spans="1:16">
      <c r="A988" t="s">
        <v>721</v>
      </c>
      <c r="B988" s="3"/>
      <c r="P988" s="4"/>
    </row>
    <row r="989" spans="1:16">
      <c r="A989" t="s">
        <v>99</v>
      </c>
      <c r="B989" s="15">
        <f>$B$583</f>
        <v>31516.840213903364</v>
      </c>
      <c r="C989" s="15">
        <f>$B$583</f>
        <v>31516.840213903364</v>
      </c>
      <c r="D989" s="15">
        <f>$B$583</f>
        <v>31516.840213903364</v>
      </c>
      <c r="E989" t="str">
        <f>$B$128&amp;" USD"</f>
        <v>2024 USD</v>
      </c>
      <c r="P989" s="4"/>
    </row>
    <row r="990" spans="1:16">
      <c r="A990" s="15" t="s">
        <v>718</v>
      </c>
      <c r="B990" s="15">
        <f>$B$587</f>
        <v>78792.100534758414</v>
      </c>
      <c r="C990" s="15">
        <f>$B$587</f>
        <v>78792.100534758414</v>
      </c>
      <c r="D990" s="15">
        <f>$B$587</f>
        <v>78792.100534758414</v>
      </c>
      <c r="E990" t="str">
        <f t="shared" ref="E990:E991" si="67">$B$128&amp;" USD"</f>
        <v>2024 USD</v>
      </c>
      <c r="P990" s="4"/>
    </row>
    <row r="991" spans="1:16">
      <c r="A991" s="15" t="s">
        <v>719</v>
      </c>
      <c r="B991" s="15">
        <f>$B$585</f>
        <v>39396.050267379207</v>
      </c>
      <c r="C991" s="15">
        <f>$B$585</f>
        <v>39396.050267379207</v>
      </c>
      <c r="D991" s="15">
        <f>$B$585</f>
        <v>39396.050267379207</v>
      </c>
      <c r="E991" t="str">
        <f t="shared" si="67"/>
        <v>2024 USD</v>
      </c>
      <c r="P991" s="4"/>
    </row>
    <row r="992" spans="1:16">
      <c r="A992" t="s">
        <v>724</v>
      </c>
      <c r="B992" s="15">
        <f>(B$989+B990)*(1+SUM(B$963:B$969))</f>
        <v>352988.61039571773</v>
      </c>
      <c r="C992" s="15">
        <f t="shared" ref="C992:D993" si="68">(C$989+C990)*(1+SUM(C$963:C$969))</f>
        <v>352988.61039571773</v>
      </c>
      <c r="D992" s="15">
        <f>(D$989+D990)*(1+SUM(D$963:D$969))</f>
        <v>352988.61039571773</v>
      </c>
      <c r="E992" t="str">
        <f>$B$128&amp;" USD, "&amp;$A$242</f>
        <v>2024 USD, California</v>
      </c>
      <c r="P992" s="4"/>
    </row>
    <row r="993" spans="1:16">
      <c r="A993" t="s">
        <v>725</v>
      </c>
      <c r="B993" s="15">
        <f>(B$989+B991)*(1+SUM(B$963:B$969))</f>
        <v>226921.24954010427</v>
      </c>
      <c r="C993" s="15">
        <f t="shared" si="68"/>
        <v>226921.24954010427</v>
      </c>
      <c r="D993" s="15">
        <f t="shared" si="68"/>
        <v>226921.24954010427</v>
      </c>
      <c r="E993" t="str">
        <f>$B$128&amp;" USD, "&amp;$A$242</f>
        <v>2024 USD, California</v>
      </c>
      <c r="P993" s="4"/>
    </row>
    <row r="994" spans="1:16">
      <c r="A994" t="s">
        <v>1181</v>
      </c>
      <c r="B994" s="3">
        <f>B$938</f>
        <v>4</v>
      </c>
      <c r="C994" s="3">
        <f t="shared" ref="B994:C995" si="69">C$938</f>
        <v>4</v>
      </c>
      <c r="D994" s="3">
        <f>MIN($B$696,$D$938)</f>
        <v>21</v>
      </c>
      <c r="E994" t="s">
        <v>38</v>
      </c>
      <c r="P994" s="4"/>
    </row>
    <row r="995" spans="1:16">
      <c r="A995" t="s">
        <v>1182</v>
      </c>
      <c r="B995" s="3">
        <f t="shared" si="69"/>
        <v>4</v>
      </c>
      <c r="C995" s="3">
        <f t="shared" si="69"/>
        <v>4</v>
      </c>
      <c r="D995" s="3">
        <f>MIN($B$696,$D$938)</f>
        <v>21</v>
      </c>
      <c r="E995" t="s">
        <v>38</v>
      </c>
      <c r="P995" s="4"/>
    </row>
    <row r="996" spans="1:16">
      <c r="A996" t="s">
        <v>726</v>
      </c>
      <c r="B996" s="15">
        <f t="shared" ref="B996:C996" si="70">((B$978+B$987)*B$938)+(B$992*B$994)</f>
        <v>10545497.08946899</v>
      </c>
      <c r="C996" s="15">
        <f t="shared" si="70"/>
        <v>10545497.08946899</v>
      </c>
      <c r="D996" s="15">
        <f>((D$978+D$987)*D$938)+(D$992*D$994)</f>
        <v>55363859.71971219</v>
      </c>
      <c r="E996" t="str">
        <f t="shared" ref="E996:E997" si="71">$B$128&amp;" USD, "&amp;$A$242</f>
        <v>2024 USD, California</v>
      </c>
      <c r="P996" s="4"/>
    </row>
    <row r="997" spans="1:16">
      <c r="A997" t="s">
        <v>727</v>
      </c>
      <c r="B997" s="15">
        <f t="shared" ref="B997:C997" si="72">((B$978+B$987)*B$938)+(B$993*B$995)</f>
        <v>10041227.646046534</v>
      </c>
      <c r="C997" s="15">
        <f t="shared" si="72"/>
        <v>10041227.646046534</v>
      </c>
      <c r="D997" s="15">
        <f>((D$978+D$987)*D$938)+(D$993*D$995)</f>
        <v>52716445.141744308</v>
      </c>
      <c r="E997" t="str">
        <f t="shared" si="71"/>
        <v>2024 USD, California</v>
      </c>
      <c r="P997" s="4"/>
    </row>
    <row r="998" spans="1:16">
      <c r="B998" s="15"/>
      <c r="C998" s="15"/>
      <c r="D998" s="15"/>
      <c r="P998" s="4"/>
    </row>
    <row r="999" spans="1:16">
      <c r="A999" t="s">
        <v>378</v>
      </c>
      <c r="P999" s="4"/>
    </row>
    <row r="1000" spans="1:16">
      <c r="A1000" t="s">
        <v>542</v>
      </c>
      <c r="B1000" s="3">
        <f>IF('User Interface'!$B$8=Options!$E$4,D930,IF('User Interface'!$B$12=Options!$G$4,C930,B930))</f>
        <v>353.63943988870437</v>
      </c>
      <c r="C1000" t="s">
        <v>2</v>
      </c>
      <c r="P1000" s="4"/>
    </row>
    <row r="1001" spans="1:16">
      <c r="A1001" t="s">
        <v>728</v>
      </c>
      <c r="B1001" s="15">
        <f>IF('User Interface'!$B$8=Options!$E$4,D996,IF('User Interface'!$B$12=Options!$G$4,C996,B996))</f>
        <v>10545497.08946899</v>
      </c>
      <c r="C1001" t="str">
        <f>$B$128&amp;" USD"</f>
        <v>2024 USD</v>
      </c>
      <c r="D1001" s="6"/>
      <c r="P1001" s="4"/>
    </row>
    <row r="1002" spans="1:16">
      <c r="A1002" t="s">
        <v>729</v>
      </c>
      <c r="B1002" s="15">
        <f>IF('User Interface'!$B$8=Options!$E$4,D997,IF('User Interface'!$B$12=Options!$G$4,C997,B997))</f>
        <v>10041227.646046534</v>
      </c>
      <c r="C1002" t="str">
        <f>$B$128&amp;" USD"</f>
        <v>2024 USD</v>
      </c>
      <c r="P1002" s="4"/>
    </row>
    <row r="1003" spans="1:16">
      <c r="A1003" t="s">
        <v>787</v>
      </c>
      <c r="B1003" s="3">
        <f>IF('User Interface'!$B$8=Options!$E$4,(D948+D959)*D938,IF('User Interface'!$B$12=Options!$G$4,(C948+C959)*C938,(B948+B959)*B938))</f>
        <v>116922.38065183313</v>
      </c>
      <c r="C1003" t="s">
        <v>44</v>
      </c>
      <c r="P1003" s="4"/>
    </row>
    <row r="1004" spans="1:16">
      <c r="A1004" t="s">
        <v>788</v>
      </c>
      <c r="B1004" s="3">
        <f>IF('User Interface'!$B$8=Options!$E$4,(D948+D959)*D938,IF('User Interface'!$B$12=Options!$G$4,(C948+C959)*C938,(B948+B959)*B938))</f>
        <v>116922.38065183313</v>
      </c>
      <c r="C1004" t="s">
        <v>44</v>
      </c>
      <c r="P1004" s="4"/>
    </row>
    <row r="1005" spans="1:16">
      <c r="A1005" t="s">
        <v>815</v>
      </c>
      <c r="B1005" s="3">
        <f>(B1003/1000)*$B$83</f>
        <v>286.59551517128011</v>
      </c>
      <c r="C1005" t="s">
        <v>786</v>
      </c>
      <c r="D1005" s="1"/>
      <c r="P1005" s="4"/>
    </row>
    <row r="1006" spans="1:16">
      <c r="A1006" t="s">
        <v>816</v>
      </c>
      <c r="B1006" s="3">
        <f>(B1004/1000)*$B$83</f>
        <v>286.59551517128011</v>
      </c>
      <c r="C1006" t="s">
        <v>786</v>
      </c>
      <c r="P1006" s="4"/>
    </row>
    <row r="1007" spans="1:16">
      <c r="B1007" s="3"/>
      <c r="P1007" s="4"/>
    </row>
    <row r="1008" spans="1:16" s="37" customFormat="1">
      <c r="A1008" s="37" t="s">
        <v>745</v>
      </c>
      <c r="B1008" s="47"/>
      <c r="P1008" s="48"/>
    </row>
    <row r="1009" spans="1:16">
      <c r="B1009" t="s">
        <v>240</v>
      </c>
      <c r="C1009" t="s">
        <v>748</v>
      </c>
      <c r="P1009" s="4"/>
    </row>
    <row r="1010" spans="1:16">
      <c r="A1010" t="s">
        <v>51</v>
      </c>
      <c r="B1010" s="3">
        <f>B535</f>
        <v>22.725892457964925</v>
      </c>
      <c r="C1010" s="3">
        <f>D535</f>
        <v>19.602147440683037</v>
      </c>
      <c r="D1010" t="s">
        <v>21</v>
      </c>
      <c r="P1010" s="4"/>
    </row>
    <row r="1011" spans="1:16">
      <c r="A1011" t="s">
        <v>241</v>
      </c>
      <c r="B1011" s="4">
        <f>(B1010/Calculations!$B$6)*60</f>
        <v>39.843034657304109</v>
      </c>
      <c r="C1011" s="4">
        <f>(C1010/Calculations!$B$6)*60</f>
        <v>34.366484893005499</v>
      </c>
      <c r="D1011" t="s">
        <v>242</v>
      </c>
      <c r="P1011" s="4"/>
    </row>
    <row r="1012" spans="1:16">
      <c r="A1012" t="s">
        <v>243</v>
      </c>
      <c r="B1012" s="4">
        <v>15</v>
      </c>
      <c r="C1012" s="4">
        <v>15</v>
      </c>
      <c r="D1012" t="s">
        <v>32</v>
      </c>
      <c r="P1012" s="4"/>
    </row>
    <row r="1013" spans="1:16">
      <c r="A1013" t="s">
        <v>750</v>
      </c>
      <c r="B1013" s="3">
        <f>ROUND($B$1000/B1010,0)</f>
        <v>16</v>
      </c>
      <c r="C1013" s="3">
        <f>ROUND($B$1000/C1010,0)</f>
        <v>18</v>
      </c>
      <c r="D1013" t="s">
        <v>38</v>
      </c>
      <c r="P1013" s="4"/>
    </row>
    <row r="1014" spans="1:16">
      <c r="A1014" t="s">
        <v>244</v>
      </c>
      <c r="B1014" s="4">
        <f>2*(ROUNDUP(B1012/B1011,0))</f>
        <v>2</v>
      </c>
      <c r="C1014" s="4">
        <f>2*(ROUNDUP(C1012/C1011,0))</f>
        <v>2</v>
      </c>
      <c r="D1014" t="s">
        <v>38</v>
      </c>
      <c r="P1014" s="4"/>
    </row>
    <row r="1015" spans="1:16">
      <c r="A1015" t="s">
        <v>751</v>
      </c>
      <c r="B1015">
        <v>11.5</v>
      </c>
      <c r="C1015">
        <v>11.5</v>
      </c>
      <c r="D1015" t="s">
        <v>36</v>
      </c>
      <c r="P1015" s="4"/>
    </row>
    <row r="1016" spans="1:16">
      <c r="A1016" t="s">
        <v>752</v>
      </c>
      <c r="B1016">
        <v>2.5</v>
      </c>
      <c r="C1016">
        <v>2.5</v>
      </c>
      <c r="D1016" t="s">
        <v>36</v>
      </c>
      <c r="P1016" s="4"/>
    </row>
    <row r="1017" spans="1:16">
      <c r="A1017" t="s">
        <v>753</v>
      </c>
      <c r="B1017" s="4">
        <f>B1015*B1016</f>
        <v>28.75</v>
      </c>
      <c r="C1017" s="4">
        <f>C1015*C1016</f>
        <v>28.75</v>
      </c>
      <c r="D1017" t="s">
        <v>27</v>
      </c>
      <c r="P1017" s="4"/>
    </row>
    <row r="1018" spans="1:16">
      <c r="A1018" t="s">
        <v>749</v>
      </c>
      <c r="B1018" s="3">
        <f>(B1017*B1013)</f>
        <v>460</v>
      </c>
      <c r="C1018" s="3">
        <f>(C1017*C1013)</f>
        <v>517.5</v>
      </c>
      <c r="D1018" t="s">
        <v>27</v>
      </c>
      <c r="P1018" s="4"/>
    </row>
    <row r="1019" spans="1:16">
      <c r="A1019" t="s">
        <v>754</v>
      </c>
      <c r="B1019" s="16">
        <v>0.54</v>
      </c>
      <c r="C1019" s="16">
        <v>0.54</v>
      </c>
      <c r="P1019" s="4"/>
    </row>
    <row r="1020" spans="1:16">
      <c r="A1020" t="s">
        <v>232</v>
      </c>
      <c r="B1020" s="3">
        <f>B1018/B1019</f>
        <v>851.85185185185185</v>
      </c>
      <c r="C1020" s="3">
        <f>C1018/C1019</f>
        <v>958.33333333333326</v>
      </c>
      <c r="D1020" t="s">
        <v>27</v>
      </c>
      <c r="P1020" s="4"/>
    </row>
    <row r="1021" spans="1:16">
      <c r="A1021" t="s">
        <v>756</v>
      </c>
      <c r="B1021" s="16">
        <v>0.4</v>
      </c>
      <c r="C1021" s="16">
        <v>0.4</v>
      </c>
      <c r="P1021" s="4"/>
    </row>
    <row r="1022" spans="1:16">
      <c r="A1022" t="s">
        <v>56</v>
      </c>
      <c r="B1022" s="3">
        <f>B1020/B1021</f>
        <v>2129.6296296296296</v>
      </c>
      <c r="C1022" s="3">
        <f>C1020/C1021</f>
        <v>2395.833333333333</v>
      </c>
      <c r="D1022" t="s">
        <v>27</v>
      </c>
      <c r="P1022" s="4"/>
    </row>
    <row r="1023" spans="1:16">
      <c r="A1023" t="s">
        <v>755</v>
      </c>
      <c r="B1023" s="16">
        <v>0.82</v>
      </c>
      <c r="C1023" s="16">
        <v>0.82</v>
      </c>
      <c r="P1023" s="4"/>
    </row>
    <row r="1024" spans="1:16">
      <c r="A1024" t="s">
        <v>233</v>
      </c>
      <c r="B1024" s="3">
        <f>B1022/B1023</f>
        <v>2597.1093044263775</v>
      </c>
      <c r="C1024" s="3">
        <f>C1022/C1023</f>
        <v>2921.7479674796746</v>
      </c>
      <c r="D1024" t="s">
        <v>27</v>
      </c>
      <c r="P1024" s="4"/>
    </row>
    <row r="1025" spans="1:16">
      <c r="A1025" t="s">
        <v>234</v>
      </c>
      <c r="B1025" s="16">
        <f>B1018/B1024</f>
        <v>0.17712</v>
      </c>
      <c r="C1025" s="16">
        <f>C1018/C1024</f>
        <v>0.17712000000000003</v>
      </c>
      <c r="P1025" s="4"/>
    </row>
    <row r="1026" spans="1:16">
      <c r="B1026" s="16"/>
      <c r="C1026" s="16"/>
      <c r="P1026" s="4"/>
    </row>
    <row r="1027" spans="1:16">
      <c r="A1027" t="s">
        <v>218</v>
      </c>
      <c r="B1027" t="s">
        <v>219</v>
      </c>
      <c r="C1027" t="s">
        <v>219</v>
      </c>
      <c r="D1027" t="s">
        <v>220</v>
      </c>
      <c r="E1027" t="s">
        <v>221</v>
      </c>
      <c r="P1027" s="4"/>
    </row>
    <row r="1028" spans="1:16">
      <c r="A1028" t="s">
        <v>245</v>
      </c>
      <c r="B1028" s="3">
        <f>B1024</f>
        <v>2597.1093044263775</v>
      </c>
      <c r="C1028" s="3">
        <f>C1024</f>
        <v>2921.7479674796746</v>
      </c>
      <c r="D1028" t="s">
        <v>27</v>
      </c>
      <c r="E1028" s="6">
        <f>$B$39</f>
        <v>0.90193384500575757</v>
      </c>
      <c r="P1028" s="4"/>
    </row>
    <row r="1029" spans="1:16">
      <c r="A1029" t="s">
        <v>222</v>
      </c>
      <c r="B1029" s="3">
        <f>B1024</f>
        <v>2597.1093044263775</v>
      </c>
      <c r="C1029" s="3">
        <f>C1024</f>
        <v>2921.7479674796746</v>
      </c>
      <c r="D1029" t="s">
        <v>27</v>
      </c>
      <c r="E1029" s="6">
        <v>1.7519756057783071</v>
      </c>
      <c r="F1029" s="6"/>
      <c r="P1029" s="4"/>
    </row>
    <row r="1030" spans="1:16">
      <c r="A1030" t="s">
        <v>757</v>
      </c>
      <c r="B1030" s="4">
        <v>0.9</v>
      </c>
      <c r="C1030" s="4">
        <v>0.9</v>
      </c>
      <c r="D1030" t="s">
        <v>36</v>
      </c>
      <c r="E1030" s="6" t="s">
        <v>37</v>
      </c>
      <c r="F1030" s="6"/>
      <c r="P1030" s="4"/>
    </row>
    <row r="1031" spans="1:16">
      <c r="A1031" t="s">
        <v>223</v>
      </c>
      <c r="B1031" s="3">
        <f>(B1024*B1030)</f>
        <v>2337.3983739837399</v>
      </c>
      <c r="C1031" s="3">
        <f>(C1024*C1030)</f>
        <v>2629.5731707317073</v>
      </c>
      <c r="D1031" t="s">
        <v>28</v>
      </c>
      <c r="E1031" s="6">
        <v>12.569464788321193</v>
      </c>
      <c r="F1031" s="6"/>
      <c r="P1031" s="4"/>
    </row>
    <row r="1032" spans="1:16">
      <c r="A1032" t="s">
        <v>224</v>
      </c>
      <c r="B1032" s="3">
        <f>B1022</f>
        <v>2129.6296296296296</v>
      </c>
      <c r="C1032" s="3">
        <f>C1022</f>
        <v>2395.833333333333</v>
      </c>
      <c r="D1032" t="s">
        <v>27</v>
      </c>
      <c r="E1032" s="6">
        <v>1216.3057289156916</v>
      </c>
      <c r="F1032" s="6"/>
      <c r="P1032" s="4"/>
    </row>
    <row r="1033" spans="1:16">
      <c r="A1033" t="s">
        <v>758</v>
      </c>
      <c r="B1033" s="12">
        <v>8.0000000000000002E-3</v>
      </c>
      <c r="C1033" s="12">
        <v>8.0000000000000002E-3</v>
      </c>
      <c r="D1033" s="18" t="s">
        <v>568</v>
      </c>
      <c r="E1033" s="6" t="s">
        <v>37</v>
      </c>
      <c r="F1033" s="6"/>
      <c r="P1033" s="4"/>
    </row>
    <row r="1034" spans="1:16">
      <c r="A1034" t="s">
        <v>225</v>
      </c>
      <c r="B1034" s="3">
        <f>B1022*B1033</f>
        <v>17.037037037037038</v>
      </c>
      <c r="C1034" s="3">
        <f>C1022*C1033</f>
        <v>19.166666666666664</v>
      </c>
      <c r="D1034" t="s">
        <v>27</v>
      </c>
      <c r="E1034" s="6">
        <v>33.581158018797517</v>
      </c>
      <c r="F1034" s="6"/>
      <c r="P1034" s="4"/>
    </row>
    <row r="1035" spans="1:16">
      <c r="A1035" t="s">
        <v>759</v>
      </c>
      <c r="B1035" s="12">
        <v>4.0000000000000001E-3</v>
      </c>
      <c r="C1035" s="12">
        <v>4.0000000000000001E-3</v>
      </c>
      <c r="D1035" s="18" t="s">
        <v>568</v>
      </c>
      <c r="E1035" s="6" t="s">
        <v>37</v>
      </c>
      <c r="F1035" s="6"/>
      <c r="P1035" s="4"/>
    </row>
    <row r="1036" spans="1:16">
      <c r="A1036" t="s">
        <v>226</v>
      </c>
      <c r="B1036" s="3">
        <f>B1022*B1035</f>
        <v>8.518518518518519</v>
      </c>
      <c r="C1036" s="3">
        <f>C1022*C1035</f>
        <v>9.5833333333333321</v>
      </c>
      <c r="D1036" t="s">
        <v>27</v>
      </c>
      <c r="E1036" s="6">
        <v>1894.448233340911</v>
      </c>
      <c r="F1036" s="6"/>
      <c r="P1036" s="4"/>
    </row>
    <row r="1037" spans="1:16">
      <c r="A1037" t="s">
        <v>227</v>
      </c>
      <c r="B1037" s="3">
        <f>B1014</f>
        <v>2</v>
      </c>
      <c r="C1037" s="3">
        <f>C1014</f>
        <v>2</v>
      </c>
      <c r="D1037" t="s">
        <v>71</v>
      </c>
      <c r="E1037" s="6">
        <v>12650</v>
      </c>
      <c r="F1037" s="6"/>
      <c r="P1037" s="4"/>
    </row>
    <row r="1038" spans="1:16">
      <c r="A1038" t="s">
        <v>228</v>
      </c>
      <c r="B1038" s="3">
        <f>B1032</f>
        <v>2129.6296296296296</v>
      </c>
      <c r="C1038" s="3">
        <f>C1032</f>
        <v>2395.833333333333</v>
      </c>
      <c r="D1038" t="s">
        <v>27</v>
      </c>
      <c r="E1038" s="6">
        <v>38.427193202408077</v>
      </c>
      <c r="F1038" s="6"/>
      <c r="P1038" s="4"/>
    </row>
    <row r="1039" spans="1:16">
      <c r="A1039" t="s">
        <v>229</v>
      </c>
      <c r="B1039">
        <v>2</v>
      </c>
      <c r="C1039">
        <v>2</v>
      </c>
      <c r="D1039" t="s">
        <v>71</v>
      </c>
      <c r="E1039" s="6">
        <v>71700</v>
      </c>
      <c r="F1039" s="6"/>
      <c r="P1039" s="4"/>
    </row>
    <row r="1040" spans="1:16">
      <c r="A1040" t="s">
        <v>230</v>
      </c>
      <c r="B1040">
        <v>3</v>
      </c>
      <c r="C1040">
        <v>3</v>
      </c>
      <c r="D1040" t="s">
        <v>71</v>
      </c>
      <c r="E1040" s="6">
        <v>77500</v>
      </c>
      <c r="F1040" s="6"/>
      <c r="P1040" s="4"/>
    </row>
    <row r="1041" spans="1:16">
      <c r="A1041" t="s">
        <v>231</v>
      </c>
      <c r="B1041">
        <v>2</v>
      </c>
      <c r="C1041">
        <v>2</v>
      </c>
      <c r="D1041" t="s">
        <v>71</v>
      </c>
      <c r="E1041" s="6">
        <v>45000</v>
      </c>
      <c r="F1041" s="6"/>
      <c r="P1041" s="4"/>
    </row>
    <row r="1042" spans="1:16">
      <c r="E1042" s="6"/>
      <c r="F1042" s="6"/>
      <c r="P1042" s="4"/>
    </row>
    <row r="1043" spans="1:16">
      <c r="A1043" t="s">
        <v>218</v>
      </c>
      <c r="B1043" t="s">
        <v>45</v>
      </c>
      <c r="C1043" t="s">
        <v>45</v>
      </c>
      <c r="E1043" s="6"/>
      <c r="F1043" s="6"/>
      <c r="P1043" s="4"/>
    </row>
    <row r="1044" spans="1:16">
      <c r="A1044" t="s">
        <v>245</v>
      </c>
      <c r="B1044" s="15">
        <f>B1028*$E1028</f>
        <v>2342.4207808415113</v>
      </c>
      <c r="C1044" s="15">
        <f>C1028*$E1028</f>
        <v>2635.2233784466998</v>
      </c>
      <c r="E1044" s="6"/>
      <c r="F1044" s="6"/>
      <c r="P1044" s="4"/>
    </row>
    <row r="1045" spans="1:16">
      <c r="A1045" t="s">
        <v>222</v>
      </c>
      <c r="B1045" s="15">
        <f>B1029*$E1029</f>
        <v>4550.0721468948805</v>
      </c>
      <c r="C1045" s="15">
        <f>C1029*$E1029</f>
        <v>5118.8311652567409</v>
      </c>
      <c r="E1045" s="6"/>
      <c r="F1045" s="6"/>
      <c r="P1045" s="4"/>
    </row>
    <row r="1046" spans="1:16">
      <c r="A1046" t="s">
        <v>223</v>
      </c>
      <c r="B1046" s="15">
        <f>B1031*$E1031</f>
        <v>29379.846558067831</v>
      </c>
      <c r="C1046" s="15">
        <f>C1031*$E1031</f>
        <v>33052.32737782631</v>
      </c>
      <c r="E1046" s="6"/>
      <c r="F1046" s="6"/>
      <c r="P1046" s="4"/>
    </row>
    <row r="1047" spans="1:16">
      <c r="A1047" t="s">
        <v>224</v>
      </c>
      <c r="B1047" s="15">
        <f>B1032*$E1032</f>
        <v>2590280.7189871208</v>
      </c>
      <c r="C1047" s="15">
        <f>C1032*$E1032</f>
        <v>2914065.8088605106</v>
      </c>
      <c r="E1047" s="6"/>
      <c r="F1047" s="6"/>
      <c r="P1047" s="4"/>
    </row>
    <row r="1048" spans="1:16">
      <c r="A1048" t="s">
        <v>225</v>
      </c>
      <c r="B1048" s="15">
        <f>B1034*$E1034</f>
        <v>572.12343291284662</v>
      </c>
      <c r="C1048" s="15">
        <f>C1034*$E1034</f>
        <v>643.63886202695232</v>
      </c>
      <c r="E1048" s="6"/>
      <c r="F1048" s="6"/>
      <c r="P1048" s="4"/>
    </row>
    <row r="1049" spans="1:16">
      <c r="A1049" t="s">
        <v>226</v>
      </c>
      <c r="B1049" s="15">
        <f t="shared" ref="B1049:C1054" si="73">B1036*$E1036</f>
        <v>16137.892358089242</v>
      </c>
      <c r="C1049" s="15">
        <f t="shared" si="73"/>
        <v>18155.128902850396</v>
      </c>
      <c r="E1049" s="6"/>
      <c r="F1049" s="6"/>
      <c r="P1049" s="4"/>
    </row>
    <row r="1050" spans="1:16">
      <c r="A1050" t="s">
        <v>227</v>
      </c>
      <c r="B1050" s="15">
        <f t="shared" si="73"/>
        <v>25300</v>
      </c>
      <c r="C1050" s="15">
        <f t="shared" si="73"/>
        <v>25300</v>
      </c>
      <c r="E1050" s="6"/>
      <c r="F1050" s="6"/>
      <c r="P1050" s="4"/>
    </row>
    <row r="1051" spans="1:16">
      <c r="A1051" t="s">
        <v>228</v>
      </c>
      <c r="B1051" s="15">
        <f t="shared" si="73"/>
        <v>81835.689227350536</v>
      </c>
      <c r="C1051" s="15">
        <f t="shared" si="73"/>
        <v>92065.150380769337</v>
      </c>
      <c r="E1051" s="6"/>
      <c r="F1051" s="6"/>
      <c r="P1051" s="4"/>
    </row>
    <row r="1052" spans="1:16">
      <c r="A1052" t="s">
        <v>229</v>
      </c>
      <c r="B1052" s="15">
        <f t="shared" si="73"/>
        <v>143400</v>
      </c>
      <c r="C1052" s="15">
        <f t="shared" si="73"/>
        <v>143400</v>
      </c>
      <c r="E1052" s="6"/>
      <c r="F1052" s="6"/>
      <c r="P1052" s="4"/>
    </row>
    <row r="1053" spans="1:16">
      <c r="A1053" t="s">
        <v>230</v>
      </c>
      <c r="B1053" s="15">
        <f t="shared" si="73"/>
        <v>232500</v>
      </c>
      <c r="C1053" s="15">
        <f t="shared" si="73"/>
        <v>232500</v>
      </c>
      <c r="E1053" s="6"/>
      <c r="F1053" s="6"/>
      <c r="P1053" s="4"/>
    </row>
    <row r="1054" spans="1:16">
      <c r="A1054" t="s">
        <v>231</v>
      </c>
      <c r="B1054" s="15">
        <f t="shared" si="73"/>
        <v>90000</v>
      </c>
      <c r="C1054" s="15">
        <f t="shared" si="73"/>
        <v>90000</v>
      </c>
      <c r="E1054" s="6"/>
      <c r="F1054" s="6"/>
      <c r="P1054" s="4"/>
    </row>
    <row r="1055" spans="1:16">
      <c r="A1055" t="s">
        <v>45</v>
      </c>
      <c r="B1055" s="15">
        <f>SUM(B1044:B1054)</f>
        <v>3216298.7634912776</v>
      </c>
      <c r="C1055" s="15">
        <f>SUM(C1044:C1054)</f>
        <v>3556936.1089276867</v>
      </c>
      <c r="P1055" s="4"/>
    </row>
    <row r="1056" spans="1:16">
      <c r="A1056" t="s">
        <v>247</v>
      </c>
      <c r="B1056" s="3">
        <v>2014</v>
      </c>
      <c r="C1056" s="3">
        <v>2014</v>
      </c>
      <c r="P1056" s="4"/>
    </row>
    <row r="1057" spans="1:16">
      <c r="A1057" t="str">
        <f>Calculations!$B$128&amp;" USD"</f>
        <v>2024 USD</v>
      </c>
      <c r="B1057" s="15">
        <f>B1055*Calculations!$B$145</f>
        <v>4037501.7249961253</v>
      </c>
      <c r="C1057" s="15">
        <f>C1055*Calculations!$B$145</f>
        <v>4465112.4573724596</v>
      </c>
      <c r="P1057" s="4"/>
    </row>
    <row r="1058" spans="1:16">
      <c r="B1058" s="15"/>
      <c r="C1058" s="15"/>
      <c r="P1058" s="4"/>
    </row>
    <row r="1059" spans="1:16">
      <c r="A1059" t="s">
        <v>56</v>
      </c>
      <c r="B1059" s="3">
        <f>B1032</f>
        <v>2129.6296296296296</v>
      </c>
      <c r="C1059" s="3">
        <f>C1032</f>
        <v>2395.833333333333</v>
      </c>
      <c r="D1059" t="s">
        <v>27</v>
      </c>
      <c r="P1059" s="4"/>
    </row>
    <row r="1060" spans="1:16">
      <c r="A1060" t="s">
        <v>791</v>
      </c>
      <c r="B1060" s="3">
        <f>SQRT(B1059)</f>
        <v>46.147910349544858</v>
      </c>
      <c r="C1060" s="3">
        <f>SQRT(C1059)</f>
        <v>48.947250518628039</v>
      </c>
      <c r="D1060" t="s">
        <v>36</v>
      </c>
      <c r="P1060" s="4"/>
    </row>
    <row r="1061" spans="1:16">
      <c r="A1061" t="s">
        <v>794</v>
      </c>
      <c r="B1061" s="3">
        <f>4*B1060</f>
        <v>184.59164139817943</v>
      </c>
      <c r="C1061" s="3">
        <f>4*C1060</f>
        <v>195.78900207451215</v>
      </c>
      <c r="D1061" t="s">
        <v>36</v>
      </c>
      <c r="P1061" s="4"/>
    </row>
    <row r="1062" spans="1:16">
      <c r="A1062" t="s">
        <v>57</v>
      </c>
      <c r="B1062">
        <v>8.6</v>
      </c>
      <c r="C1062">
        <v>8.6</v>
      </c>
      <c r="D1062" t="s">
        <v>36</v>
      </c>
      <c r="P1062" s="4"/>
    </row>
    <row r="1063" spans="1:16">
      <c r="A1063" t="s">
        <v>793</v>
      </c>
      <c r="B1063" s="5">
        <f>(4/12)*$A$52</f>
        <v>0.1016</v>
      </c>
      <c r="C1063" s="5">
        <f>(4/12)*$A$52</f>
        <v>0.1016</v>
      </c>
      <c r="D1063" t="s">
        <v>36</v>
      </c>
      <c r="P1063" s="4"/>
    </row>
    <row r="1064" spans="1:16">
      <c r="A1064" t="s">
        <v>795</v>
      </c>
      <c r="B1064" s="3">
        <f>B1061*B1062*B1063</f>
        <v>161.28879258807325</v>
      </c>
      <c r="C1064" s="3">
        <f>C1061*C1062*C1063</f>
        <v>171.07259845262573</v>
      </c>
      <c r="D1064" t="s">
        <v>28</v>
      </c>
      <c r="P1064" s="4"/>
    </row>
    <row r="1065" spans="1:16">
      <c r="A1065" t="s">
        <v>65</v>
      </c>
      <c r="B1065" s="70">
        <f>1*$A$52</f>
        <v>0.30480000000000002</v>
      </c>
      <c r="C1065" s="70">
        <f>1*$A$52</f>
        <v>0.30480000000000002</v>
      </c>
      <c r="D1065" t="s">
        <v>36</v>
      </c>
      <c r="P1065" s="4"/>
    </row>
    <row r="1066" spans="1:16">
      <c r="A1066" t="s">
        <v>796</v>
      </c>
      <c r="B1066" s="71">
        <f>B1065*B1059</f>
        <v>649.11111111111109</v>
      </c>
      <c r="C1066" s="71">
        <f>C1065*C1059</f>
        <v>730.25</v>
      </c>
      <c r="D1066" t="s">
        <v>28</v>
      </c>
      <c r="P1066" s="4"/>
    </row>
    <row r="1067" spans="1:16">
      <c r="A1067" t="s">
        <v>68</v>
      </c>
      <c r="B1067" s="2">
        <f>B1066+B1064</f>
        <v>810.39990369918428</v>
      </c>
      <c r="C1067" s="2">
        <f>C1066+C1064</f>
        <v>901.3225984526257</v>
      </c>
      <c r="D1067" t="s">
        <v>28</v>
      </c>
      <c r="P1067" s="4"/>
    </row>
    <row r="1068" spans="1:16">
      <c r="B1068" s="2">
        <f>(B1067*$B$79)/1000</f>
        <v>1914.9749724411724</v>
      </c>
      <c r="C1068" s="2">
        <f>(C1067*$B$79)/1000</f>
        <v>2129.8253001435542</v>
      </c>
      <c r="D1068" t="s">
        <v>2</v>
      </c>
      <c r="P1068" s="4"/>
    </row>
    <row r="1069" spans="1:16">
      <c r="A1069" t="s">
        <v>778</v>
      </c>
      <c r="B1069" s="2">
        <f>B1068*$B$81</f>
        <v>185.467549788165</v>
      </c>
      <c r="C1069" s="2">
        <f>C1068*$B$81</f>
        <v>206.27605351463822</v>
      </c>
      <c r="D1069" t="s">
        <v>2</v>
      </c>
      <c r="P1069" s="4"/>
    </row>
    <row r="1070" spans="1:16">
      <c r="A1070" t="s">
        <v>798</v>
      </c>
      <c r="B1070" s="16">
        <v>0.01</v>
      </c>
      <c r="C1070" s="16">
        <v>0.01</v>
      </c>
      <c r="P1070" s="4"/>
    </row>
    <row r="1071" spans="1:16">
      <c r="A1071" t="s">
        <v>799</v>
      </c>
      <c r="B1071" s="4">
        <f>B1070*B1067</f>
        <v>8.1039990369918424</v>
      </c>
      <c r="C1071" s="4">
        <f>C1070*C1067</f>
        <v>9.0132259845262563</v>
      </c>
      <c r="D1071" t="s">
        <v>28</v>
      </c>
      <c r="P1071" s="4"/>
    </row>
    <row r="1072" spans="1:16">
      <c r="B1072" s="3">
        <f>B1071*($B$85/1000)</f>
        <v>62.80599253668678</v>
      </c>
      <c r="C1072" s="3">
        <f>C1071*($B$85/1000)</f>
        <v>69.852501380078493</v>
      </c>
      <c r="D1072" t="s">
        <v>2</v>
      </c>
    </row>
    <row r="1073" spans="1:16">
      <c r="A1073" t="s">
        <v>792</v>
      </c>
      <c r="B1073" s="5">
        <v>0.9</v>
      </c>
      <c r="C1073" s="5">
        <v>0.9</v>
      </c>
      <c r="D1073" t="s">
        <v>58</v>
      </c>
      <c r="P1073" s="4"/>
    </row>
    <row r="1074" spans="1:16">
      <c r="A1074" t="s">
        <v>801</v>
      </c>
      <c r="B1074" s="4">
        <f>(B1073/1000)*B1059</f>
        <v>1.9166666666666665</v>
      </c>
      <c r="C1074" s="4">
        <f>(C1073/1000)*C1059</f>
        <v>2.1562499999999996</v>
      </c>
      <c r="D1074" t="s">
        <v>28</v>
      </c>
      <c r="P1074" s="4"/>
    </row>
    <row r="1075" spans="1:16">
      <c r="B1075" s="4">
        <f>B1074*($B$85/1000)</f>
        <v>14.854166666666666</v>
      </c>
      <c r="C1075" s="4">
        <f>C1074*($B$85/1000)</f>
        <v>16.710937499999996</v>
      </c>
      <c r="D1075" t="s">
        <v>2</v>
      </c>
      <c r="P1075" s="4"/>
    </row>
    <row r="1076" spans="1:16">
      <c r="A1076" t="s">
        <v>800</v>
      </c>
      <c r="B1076" s="4">
        <v>15</v>
      </c>
      <c r="C1076" s="4">
        <v>15</v>
      </c>
      <c r="D1076" t="s">
        <v>66</v>
      </c>
      <c r="P1076" s="4"/>
    </row>
    <row r="1077" spans="1:16">
      <c r="B1077" s="4">
        <f>B1076*Calculations!$A$52</f>
        <v>4.5720000000000001</v>
      </c>
      <c r="C1077" s="4">
        <f>C1076*Calculations!$A$52</f>
        <v>4.5720000000000001</v>
      </c>
      <c r="D1077" t="s">
        <v>36</v>
      </c>
      <c r="P1077" s="4"/>
    </row>
    <row r="1078" spans="1:16">
      <c r="A1078" t="s">
        <v>802</v>
      </c>
      <c r="B1078">
        <f>ROUND(B1060/B1077,0)^2</f>
        <v>100</v>
      </c>
      <c r="C1078">
        <f>ROUND(C1060/C1077,0)^2</f>
        <v>121</v>
      </c>
      <c r="D1078" t="s">
        <v>38</v>
      </c>
      <c r="P1078" s="4"/>
    </row>
    <row r="1079" spans="1:16">
      <c r="A1079" t="s">
        <v>803</v>
      </c>
      <c r="B1079">
        <f>B1062</f>
        <v>8.6</v>
      </c>
      <c r="C1079">
        <f>C1062</f>
        <v>8.6</v>
      </c>
      <c r="D1079" t="s">
        <v>36</v>
      </c>
      <c r="P1079" s="4"/>
    </row>
    <row r="1080" spans="1:16">
      <c r="A1080" t="s">
        <v>804</v>
      </c>
      <c r="B1080">
        <f>B1078*B1079</f>
        <v>860</v>
      </c>
      <c r="C1080" s="3">
        <f>C1078*C1079</f>
        <v>1040.5999999999999</v>
      </c>
      <c r="D1080" t="s">
        <v>36</v>
      </c>
      <c r="P1080" s="4"/>
    </row>
    <row r="1081" spans="1:16">
      <c r="A1081" t="s">
        <v>805</v>
      </c>
      <c r="B1081" s="3">
        <f>178*(1/$A$48)*(1/$A$52)</f>
        <v>264.89349698013081</v>
      </c>
      <c r="C1081" s="3">
        <f>178*(1/$A$48)*(1/$A$52)</f>
        <v>264.89349698013081</v>
      </c>
      <c r="D1081" t="s">
        <v>806</v>
      </c>
      <c r="P1081" s="4"/>
    </row>
    <row r="1082" spans="1:16">
      <c r="A1082" t="s">
        <v>807</v>
      </c>
      <c r="B1082" s="3">
        <f>B1080*(B1081/1000)</f>
        <v>227.80840740291251</v>
      </c>
      <c r="C1082" s="3">
        <f>C1080*(C1081/1000)</f>
        <v>275.64817295752408</v>
      </c>
      <c r="D1082" t="s">
        <v>2</v>
      </c>
      <c r="P1082" s="4"/>
    </row>
    <row r="1083" spans="1:16">
      <c r="A1083" t="s">
        <v>797</v>
      </c>
      <c r="B1083" s="3">
        <f>B1075+B1082+B1072</f>
        <v>305.46856660626594</v>
      </c>
      <c r="C1083" s="3">
        <f>C1075+C1082+C1072</f>
        <v>362.21161183760256</v>
      </c>
      <c r="D1083" t="s">
        <v>2</v>
      </c>
      <c r="P1083" s="4"/>
    </row>
    <row r="1084" spans="1:16">
      <c r="A1084" t="s">
        <v>246</v>
      </c>
      <c r="B1084" s="3">
        <f>B1083*Calculations!$B$83</f>
        <v>748.75246917736035</v>
      </c>
      <c r="C1084" s="3">
        <f>C1083*Calculations!$B$83</f>
        <v>887.83877745983887</v>
      </c>
      <c r="D1084" t="s">
        <v>2</v>
      </c>
      <c r="P1084" s="4"/>
    </row>
    <row r="1085" spans="1:16">
      <c r="A1085" t="s">
        <v>760</v>
      </c>
      <c r="B1085" s="3">
        <f>B1084+B1069</f>
        <v>934.22001896552536</v>
      </c>
      <c r="C1085" s="3">
        <f>C1084+C1069</f>
        <v>1094.1148309744772</v>
      </c>
      <c r="D1085" t="s">
        <v>21</v>
      </c>
      <c r="P1085" s="4"/>
    </row>
    <row r="1086" spans="1:16">
      <c r="B1086" s="3"/>
      <c r="C1086" s="3"/>
      <c r="P1086" s="4"/>
    </row>
    <row r="1087" spans="1:16">
      <c r="A1087" t="s">
        <v>1023</v>
      </c>
      <c r="B1087" s="6">
        <v>0.71</v>
      </c>
      <c r="C1087" s="6">
        <v>0.71</v>
      </c>
      <c r="D1087" t="s">
        <v>1024</v>
      </c>
      <c r="P1087" s="4"/>
    </row>
    <row r="1088" spans="1:16">
      <c r="A1088" t="s">
        <v>1025</v>
      </c>
      <c r="B1088" s="3">
        <f>(B1059*B1062)/$A$58</f>
        <v>646781.58125096688</v>
      </c>
      <c r="C1088" s="3">
        <f>(C1059*C1062)/$A$58</f>
        <v>727629.27890733758</v>
      </c>
      <c r="D1088" t="s">
        <v>1026</v>
      </c>
      <c r="P1088" s="4"/>
    </row>
    <row r="1089" spans="1:16">
      <c r="A1089" t="s">
        <v>1027</v>
      </c>
      <c r="B1089" s="15">
        <f>B1087*B1088</f>
        <v>459214.92268818646</v>
      </c>
      <c r="C1089" s="15">
        <f>C1087*C1088</f>
        <v>516616.78802420967</v>
      </c>
      <c r="D1089" t="s">
        <v>1028</v>
      </c>
      <c r="P1089" s="4"/>
    </row>
    <row r="1090" spans="1:16">
      <c r="P1090" s="4"/>
    </row>
    <row r="1091" spans="1:16">
      <c r="A1091" s="92" t="s">
        <v>378</v>
      </c>
      <c r="P1091" s="4"/>
    </row>
    <row r="1092" spans="1:16">
      <c r="A1092" t="s">
        <v>762</v>
      </c>
      <c r="B1092" s="15">
        <f>IF('User Interface'!$B$8=Options!$E$4,0,IF('User Interface'!$B$12=Options!$G$5,0,IF('User Interface'!$B$9=Options!$F$4,C1057,B1057)))</f>
        <v>4037501.7249961253</v>
      </c>
      <c r="C1092" t="str">
        <f>$B$128&amp;" USD"</f>
        <v>2024 USD</v>
      </c>
      <c r="P1092" s="4"/>
    </row>
    <row r="1093" spans="1:16">
      <c r="A1093" t="s">
        <v>658</v>
      </c>
      <c r="B1093" s="3">
        <f>B754</f>
        <v>1</v>
      </c>
      <c r="C1093" t="s">
        <v>38</v>
      </c>
      <c r="P1093" s="4"/>
    </row>
    <row r="1094" spans="1:16">
      <c r="A1094" t="s">
        <v>761</v>
      </c>
      <c r="B1094" s="15">
        <f>B1092*B1093</f>
        <v>4037501.7249961253</v>
      </c>
      <c r="C1094" t="str">
        <f>$B$128&amp;" USD"</f>
        <v>2024 USD</v>
      </c>
      <c r="P1094" s="4"/>
    </row>
    <row r="1095" spans="1:16">
      <c r="A1095" t="s">
        <v>763</v>
      </c>
      <c r="B1095" s="3">
        <f>IF('User Interface'!$B$8=Options!$E$4,0,IF('User Interface'!$B$12=Options!$G$5,0,IF('User Interface'!$B$9=Options!$F$4,C1085,B1085)))*B1093</f>
        <v>934.22001896552536</v>
      </c>
      <c r="C1095" t="s">
        <v>786</v>
      </c>
      <c r="P1095" s="4"/>
    </row>
    <row r="1096" spans="1:16">
      <c r="A1096" t="s">
        <v>1027</v>
      </c>
      <c r="B1096" s="15">
        <f>IF('User Interface'!$B$8=Options!$E$4,0,IF('User Interface'!$B$12=Options!$G$5,0,IF('User Interface'!$B$9=Options!$F$4,C1089,B1089)))*B1093</f>
        <v>459214.92268818646</v>
      </c>
      <c r="C1096" t="str">
        <f>$B$128&amp;" USD"</f>
        <v>2024 USD</v>
      </c>
      <c r="P1096" s="4"/>
    </row>
    <row r="1097" spans="1:16">
      <c r="B1097" s="3"/>
      <c r="P1097" s="4"/>
    </row>
    <row r="1098" spans="1:16" s="37" customFormat="1">
      <c r="A1098" s="37" t="s">
        <v>62</v>
      </c>
      <c r="B1098" s="47"/>
      <c r="P1098" s="48"/>
    </row>
    <row r="1099" spans="1:16">
      <c r="B1099" s="60" t="s">
        <v>519</v>
      </c>
      <c r="C1099" s="20" t="s">
        <v>651</v>
      </c>
      <c r="D1099" s="20" t="s">
        <v>476</v>
      </c>
      <c r="E1099" s="20" t="s">
        <v>653</v>
      </c>
      <c r="P1099" s="4"/>
    </row>
    <row r="1100" spans="1:16">
      <c r="A1100" t="s">
        <v>674</v>
      </c>
      <c r="B1100" s="3">
        <f>B604+B606</f>
        <v>2</v>
      </c>
      <c r="C1100" s="3">
        <f>B637+B641</f>
        <v>2</v>
      </c>
      <c r="D1100" s="3">
        <f>B698+B699</f>
        <v>2</v>
      </c>
      <c r="E1100" s="3">
        <f>B733+B734</f>
        <v>6</v>
      </c>
      <c r="F1100" t="s">
        <v>38</v>
      </c>
      <c r="P1100" s="4"/>
    </row>
    <row r="1101" spans="1:16">
      <c r="B1101" s="3">
        <f>$A$65*$A$64*B1100</f>
        <v>17532</v>
      </c>
      <c r="C1101" s="3">
        <f>$A$65*$A$64*C1100</f>
        <v>17532</v>
      </c>
      <c r="D1101" s="3">
        <f>$A$65*$A$64*D1100</f>
        <v>17532</v>
      </c>
      <c r="E1101" s="3">
        <f>$A$65*$A$64*E1100</f>
        <v>52596</v>
      </c>
      <c r="F1101" t="s">
        <v>4</v>
      </c>
      <c r="P1101" s="4"/>
    </row>
    <row r="1102" spans="1:16">
      <c r="A1102" t="s">
        <v>988</v>
      </c>
      <c r="B1102" s="3">
        <f>B607+B608</f>
        <v>0</v>
      </c>
      <c r="C1102" s="3">
        <f>B648+B652</f>
        <v>2</v>
      </c>
      <c r="D1102" s="3">
        <f>B700+B701</f>
        <v>0</v>
      </c>
      <c r="E1102" s="3">
        <f>B735+B736</f>
        <v>0</v>
      </c>
      <c r="F1102" t="s">
        <v>38</v>
      </c>
      <c r="P1102" s="4"/>
    </row>
    <row r="1103" spans="1:16">
      <c r="B1103" s="3">
        <f>$A$65*$A$64*B1102</f>
        <v>0</v>
      </c>
      <c r="C1103" s="3">
        <f>$A$65*$A$64*C1102</f>
        <v>17532</v>
      </c>
      <c r="D1103" s="3">
        <f t="shared" ref="D1103" si="74">$A$65*$A$64*D1102</f>
        <v>0</v>
      </c>
      <c r="E1103" s="3">
        <f>$A$65*$A$64*E1102</f>
        <v>0</v>
      </c>
      <c r="F1103" t="s">
        <v>4</v>
      </c>
      <c r="P1103" s="4"/>
    </row>
    <row r="1104" spans="1:16">
      <c r="A1104" t="s">
        <v>987</v>
      </c>
      <c r="B1104" s="3">
        <v>0</v>
      </c>
      <c r="C1104" s="3">
        <f>B649+B653</f>
        <v>2</v>
      </c>
      <c r="D1104" s="3">
        <f>B702</f>
        <v>0</v>
      </c>
      <c r="E1104" s="3">
        <f>B737</f>
        <v>0</v>
      </c>
      <c r="F1104" t="s">
        <v>38</v>
      </c>
      <c r="P1104" s="4"/>
    </row>
    <row r="1105" spans="1:16">
      <c r="B1105" s="3">
        <f>$A$65*$A$64*B1104</f>
        <v>0</v>
      </c>
      <c r="C1105" s="3">
        <f>$A$65*$A$64*C1104</f>
        <v>17532</v>
      </c>
      <c r="D1105" s="3">
        <f>$A$65*$A$64*D1104</f>
        <v>0</v>
      </c>
      <c r="E1105" s="3">
        <f>$A$65*$A$64*E1104</f>
        <v>0</v>
      </c>
      <c r="F1105" t="s">
        <v>4</v>
      </c>
      <c r="P1105" s="4"/>
    </row>
    <row r="1106" spans="1:16">
      <c r="A1106" t="s">
        <v>673</v>
      </c>
      <c r="B1106" s="3">
        <f>B625</f>
        <v>24</v>
      </c>
      <c r="C1106" s="3">
        <f>B670</f>
        <v>23</v>
      </c>
      <c r="D1106">
        <v>0</v>
      </c>
      <c r="E1106">
        <v>0</v>
      </c>
      <c r="F1106" t="s">
        <v>38</v>
      </c>
      <c r="P1106" s="4"/>
    </row>
    <row r="1107" spans="1:16">
      <c r="B1107" s="3">
        <f>B1106*B626*((SUM(B621:B622)-B601)/$A$63)</f>
        <v>182662.90050137648</v>
      </c>
      <c r="C1107" s="3">
        <f>C1106*B671*((SUM(B666:B667)-B647)/$A$63)</f>
        <v>191314.02341050166</v>
      </c>
      <c r="D1107" s="3">
        <f t="shared" ref="D1107:E1107" si="75">$A$65*$A$64*D1106</f>
        <v>0</v>
      </c>
      <c r="E1107" s="3">
        <f t="shared" si="75"/>
        <v>0</v>
      </c>
      <c r="F1107" t="s">
        <v>4</v>
      </c>
      <c r="P1107" s="4"/>
    </row>
    <row r="1108" spans="1:16">
      <c r="A1108" t="s">
        <v>676</v>
      </c>
      <c r="B1108" s="3">
        <f>B620</f>
        <v>1</v>
      </c>
      <c r="C1108" s="3">
        <f>B665</f>
        <v>1</v>
      </c>
      <c r="D1108">
        <v>0</v>
      </c>
      <c r="E1108">
        <v>0</v>
      </c>
      <c r="F1108" t="s">
        <v>38</v>
      </c>
      <c r="P1108" s="4"/>
    </row>
    <row r="1109" spans="1:16">
      <c r="B1109" s="3">
        <f>$A$65*$A$64*B1108</f>
        <v>8766</v>
      </c>
      <c r="C1109" s="3">
        <f>$A$65*$A$64*C1108</f>
        <v>8766</v>
      </c>
      <c r="D1109" s="3">
        <f t="shared" ref="D1109:E1109" si="76">$A$65*$A$64*D1108</f>
        <v>0</v>
      </c>
      <c r="E1109" s="3">
        <f t="shared" si="76"/>
        <v>0</v>
      </c>
      <c r="F1109" t="s">
        <v>4</v>
      </c>
      <c r="P1109" s="4"/>
    </row>
    <row r="1110" spans="1:16">
      <c r="B1110" s="3"/>
      <c r="C1110" s="3"/>
      <c r="D1110" s="3"/>
      <c r="E1110" s="3"/>
      <c r="P1110" s="4"/>
    </row>
    <row r="1111" spans="1:16">
      <c r="A1111" t="s">
        <v>991</v>
      </c>
      <c r="B1111" s="3"/>
      <c r="C1111" s="3"/>
      <c r="D1111" s="3"/>
      <c r="E1111" s="3"/>
      <c r="P1111" s="4"/>
    </row>
    <row r="1112" spans="1:16">
      <c r="A1112" t="s">
        <v>992</v>
      </c>
      <c r="B1112" s="15">
        <f>$B$30</f>
        <v>99651.929358778609</v>
      </c>
      <c r="C1112" s="3" t="s">
        <v>3</v>
      </c>
      <c r="D1112" s="3"/>
      <c r="E1112" s="3"/>
      <c r="P1112" s="4"/>
    </row>
    <row r="1113" spans="1:16">
      <c r="A1113" t="s">
        <v>993</v>
      </c>
      <c r="B1113" s="12">
        <v>5.0000000000000001E-3</v>
      </c>
      <c r="C1113" s="3" t="s">
        <v>994</v>
      </c>
      <c r="D1113" s="3"/>
      <c r="E1113" s="3"/>
      <c r="P1113" s="4"/>
    </row>
    <row r="1114" spans="1:16">
      <c r="B1114" s="15">
        <f>B1113*B362</f>
        <v>82648.525234975532</v>
      </c>
      <c r="C1114" s="3" t="s">
        <v>3</v>
      </c>
      <c r="D1114" s="3"/>
      <c r="E1114" s="3"/>
      <c r="P1114" s="4"/>
    </row>
    <row r="1115" spans="1:16">
      <c r="A1115" t="s">
        <v>996</v>
      </c>
      <c r="B1115" s="15">
        <f>MAX(B1114,B1112)</f>
        <v>99651.929358778609</v>
      </c>
      <c r="C1115" s="3" t="s">
        <v>3</v>
      </c>
      <c r="D1115" s="3"/>
      <c r="E1115" s="3"/>
      <c r="P1115" s="4"/>
    </row>
    <row r="1116" spans="1:16">
      <c r="B1116" s="15"/>
      <c r="C1116" s="3"/>
      <c r="D1116" s="3"/>
      <c r="E1116" s="3"/>
      <c r="P1116" s="4"/>
    </row>
    <row r="1117" spans="1:16">
      <c r="A1117" t="s">
        <v>995</v>
      </c>
      <c r="B1117" s="3"/>
      <c r="C1117" s="3"/>
      <c r="D1117" s="3"/>
      <c r="E1117" s="3"/>
      <c r="P1117" s="4"/>
    </row>
    <row r="1118" spans="1:16">
      <c r="A1118" t="s">
        <v>992</v>
      </c>
      <c r="B1118" s="15">
        <f>$B$30</f>
        <v>99651.929358778609</v>
      </c>
      <c r="C1118" s="3" t="s">
        <v>3</v>
      </c>
      <c r="D1118" s="3"/>
      <c r="E1118" s="3"/>
      <c r="P1118" s="4"/>
    </row>
    <row r="1119" spans="1:16">
      <c r="A1119" t="s">
        <v>993</v>
      </c>
      <c r="B1119" s="12">
        <v>5.0000000000000001E-3</v>
      </c>
      <c r="C1119" s="3" t="s">
        <v>994</v>
      </c>
      <c r="D1119" s="3"/>
      <c r="E1119" s="3"/>
      <c r="P1119" s="4"/>
    </row>
    <row r="1120" spans="1:16">
      <c r="B1120" s="15">
        <f>B1119*B377</f>
        <v>23299.643392896633</v>
      </c>
      <c r="C1120" s="3" t="s">
        <v>3</v>
      </c>
      <c r="P1120" s="4"/>
    </row>
    <row r="1121" spans="1:16">
      <c r="A1121" t="s">
        <v>996</v>
      </c>
      <c r="B1121" s="15">
        <f>MAX(B1120,B1118)</f>
        <v>99651.929358778609</v>
      </c>
      <c r="C1121" s="3" t="s">
        <v>3</v>
      </c>
      <c r="P1121" s="4"/>
    </row>
    <row r="1122" spans="1:16">
      <c r="B1122" s="15"/>
      <c r="C1122" s="3"/>
      <c r="P1122" s="4"/>
    </row>
    <row r="1123" spans="1:16">
      <c r="A1123" s="92" t="s">
        <v>378</v>
      </c>
      <c r="B1123" s="3"/>
      <c r="P1123" s="4"/>
    </row>
    <row r="1124" spans="1:16">
      <c r="A1124" t="s">
        <v>683</v>
      </c>
      <c r="B1124" s="3">
        <f>IF('User Interface'!$B$8=Options!$E$4,IF('User Interface'!$B$9=Options!$F$4,Calculations!E1101,Calculations!D1101),IF('User Interface'!$B$9=Options!$F$4,Calculations!$C1101,Calculations!$B1101))</f>
        <v>17532</v>
      </c>
      <c r="C1124" t="s">
        <v>4</v>
      </c>
      <c r="D1124" s="3"/>
      <c r="P1124" s="4"/>
    </row>
    <row r="1125" spans="1:16">
      <c r="B1125" s="15">
        <f>B1124*$B$33</f>
        <v>777748.36576094641</v>
      </c>
      <c r="C1125" t="s">
        <v>3</v>
      </c>
      <c r="D1125" s="15"/>
      <c r="P1125" s="4"/>
    </row>
    <row r="1126" spans="1:16">
      <c r="A1126" t="s">
        <v>984</v>
      </c>
      <c r="B1126" s="3">
        <f>IF('User Interface'!$B$8=Options!$E$4,IF('User Interface'!$B$9=Options!$F$4,Calculations!E1103,Calculations!D1103),IF('User Interface'!$B$9=Options!$F$4,Calculations!$C1103,Calculations!$B1103))</f>
        <v>0</v>
      </c>
      <c r="C1126" t="s">
        <v>4</v>
      </c>
      <c r="D1126" s="3"/>
      <c r="P1126" s="4"/>
    </row>
    <row r="1127" spans="1:16">
      <c r="B1127" s="15">
        <f>B1126*$B$35</f>
        <v>0</v>
      </c>
      <c r="C1127" t="s">
        <v>3</v>
      </c>
      <c r="D1127" s="15"/>
      <c r="P1127" s="4"/>
    </row>
    <row r="1128" spans="1:16">
      <c r="A1128" t="s">
        <v>684</v>
      </c>
      <c r="B1128" s="3">
        <f>IF('User Interface'!$B$8=Options!$E$4,IF('User Interface'!$B$9=Options!$F$4,Calculations!E1105,Calculations!D1105),IF('User Interface'!$B$9=Options!$F$4,Calculations!$C1105,Calculations!$B1105))</f>
        <v>0</v>
      </c>
      <c r="C1128" t="s">
        <v>4</v>
      </c>
      <c r="D1128" s="3"/>
      <c r="P1128" s="4"/>
    </row>
    <row r="1129" spans="1:16">
      <c r="B1129" s="15">
        <f>B1128*$B$29</f>
        <v>0</v>
      </c>
      <c r="C1129" t="s">
        <v>3</v>
      </c>
      <c r="D1129" s="15"/>
      <c r="P1129" s="4"/>
    </row>
    <row r="1130" spans="1:16">
      <c r="A1130" t="s">
        <v>39</v>
      </c>
      <c r="B1130" s="3">
        <f>IF('User Interface'!$B$8=Options!$E$4,IF('User Interface'!$B$9=Options!$F$4,Calculations!E1107,Calculations!D1107),IF('User Interface'!$B$9=Options!$F$4,Calculations!$C1107,Calculations!$B1107))</f>
        <v>182662.90050137648</v>
      </c>
      <c r="C1130" t="s">
        <v>4</v>
      </c>
      <c r="D1130" s="3"/>
      <c r="P1130" s="4"/>
    </row>
    <row r="1131" spans="1:16">
      <c r="B1131" s="15">
        <f>B1130*$B$27</f>
        <v>6687642.7202640688</v>
      </c>
      <c r="C1131" t="s">
        <v>3</v>
      </c>
      <c r="D1131" s="15"/>
      <c r="P1131" s="4"/>
    </row>
    <row r="1132" spans="1:16">
      <c r="A1132" t="s">
        <v>685</v>
      </c>
      <c r="B1132" s="3">
        <f>IF('User Interface'!$B$8=Options!$E$4,IF('User Interface'!$B$9=Options!$F$4,Calculations!E1109,Calculations!D1109),IF('User Interface'!$B$9=Options!$F$4,Calculations!$C1109,Calculations!$B1109))</f>
        <v>8766</v>
      </c>
      <c r="C1132" t="s">
        <v>4</v>
      </c>
      <c r="D1132" s="3"/>
      <c r="P1132" s="4"/>
    </row>
    <row r="1133" spans="1:16">
      <c r="B1133" s="15">
        <f>B1132*$B$35</f>
        <v>313394.89033455082</v>
      </c>
      <c r="C1133" t="s">
        <v>3</v>
      </c>
      <c r="D1133" s="15"/>
      <c r="P1133" s="4"/>
    </row>
    <row r="1134" spans="1:16">
      <c r="A1134" t="s">
        <v>997</v>
      </c>
      <c r="B1134" s="15">
        <f>B1115</f>
        <v>99651.929358778609</v>
      </c>
      <c r="C1134" t="s">
        <v>3</v>
      </c>
      <c r="D1134" s="15"/>
      <c r="P1134" s="4"/>
    </row>
    <row r="1135" spans="1:16">
      <c r="A1135" t="s">
        <v>998</v>
      </c>
      <c r="B1135" s="15">
        <f>B1121</f>
        <v>99651.929358778609</v>
      </c>
      <c r="C1135" t="s">
        <v>3</v>
      </c>
      <c r="D1135" s="15"/>
      <c r="P1135" s="4"/>
    </row>
    <row r="1136" spans="1:16">
      <c r="A1136" t="s">
        <v>832</v>
      </c>
      <c r="B1136" s="15">
        <f>SUM(B1125,B1127,B1129,B1131,B1133:B1135)</f>
        <v>7978089.8350771237</v>
      </c>
      <c r="C1136" t="s">
        <v>3</v>
      </c>
      <c r="D1136" s="15"/>
      <c r="P1136" s="4"/>
    </row>
    <row r="1137" spans="1:16">
      <c r="B1137" s="6"/>
      <c r="P1137" s="4"/>
    </row>
    <row r="1138" spans="1:16" s="37" customFormat="1">
      <c r="A1138" s="37" t="s">
        <v>808</v>
      </c>
      <c r="B1138" s="47"/>
      <c r="P1138" s="48"/>
    </row>
    <row r="1139" spans="1:16">
      <c r="A1139" t="s">
        <v>378</v>
      </c>
      <c r="B1139" s="3"/>
      <c r="P1139" s="4"/>
    </row>
    <row r="1140" spans="1:16">
      <c r="A1140" t="s">
        <v>212</v>
      </c>
      <c r="B1140" s="3">
        <f>(B356*$B$4*1000)*($B$14/1000000)</f>
        <v>3353.1730769230767</v>
      </c>
      <c r="C1140" t="s">
        <v>814</v>
      </c>
      <c r="P1140" s="4"/>
    </row>
    <row r="1141" spans="1:16">
      <c r="A1141" t="s">
        <v>809</v>
      </c>
      <c r="B1141" s="3">
        <f>B1005/$B$9</f>
        <v>9.5531838390426707</v>
      </c>
      <c r="C1141" t="s">
        <v>814</v>
      </c>
      <c r="P1141" s="4"/>
    </row>
    <row r="1142" spans="1:16">
      <c r="A1142" t="s">
        <v>103</v>
      </c>
      <c r="B1142" s="3">
        <f>B494/$B$9</f>
        <v>275.5297360666666</v>
      </c>
      <c r="C1142" t="s">
        <v>814</v>
      </c>
      <c r="P1142" s="4"/>
    </row>
    <row r="1143" spans="1:16">
      <c r="A1143" t="s">
        <v>810</v>
      </c>
      <c r="B1143" s="3">
        <f>B515/$B$9</f>
        <v>0</v>
      </c>
      <c r="C1143" t="s">
        <v>814</v>
      </c>
      <c r="P1143" s="4"/>
    </row>
    <row r="1144" spans="1:16">
      <c r="A1144" t="s">
        <v>811</v>
      </c>
      <c r="B1144" s="3">
        <f>B570/$B$9</f>
        <v>39.087126938114025</v>
      </c>
      <c r="C1144" t="s">
        <v>814</v>
      </c>
      <c r="P1144" s="4"/>
    </row>
    <row r="1145" spans="1:16">
      <c r="A1145" t="s">
        <v>14</v>
      </c>
      <c r="B1145" s="3">
        <f>B891</f>
        <v>14075.716719813254</v>
      </c>
      <c r="C1145" t="s">
        <v>814</v>
      </c>
      <c r="P1145" s="4"/>
    </row>
    <row r="1146" spans="1:16">
      <c r="A1146" t="s">
        <v>732</v>
      </c>
      <c r="B1146" s="3">
        <f>B1095/$B$9</f>
        <v>31.140667298850847</v>
      </c>
      <c r="C1146" t="s">
        <v>814</v>
      </c>
      <c r="P1146" s="4"/>
    </row>
    <row r="1147" spans="1:16">
      <c r="A1147" t="s">
        <v>813</v>
      </c>
      <c r="B1147" s="3">
        <f>B792</f>
        <v>0</v>
      </c>
      <c r="C1147" t="s">
        <v>814</v>
      </c>
      <c r="P1147" s="4"/>
    </row>
    <row r="1148" spans="1:16">
      <c r="A1148" t="s">
        <v>812</v>
      </c>
      <c r="B1148" s="3">
        <f>B1006/$B$9</f>
        <v>9.5531838390426707</v>
      </c>
      <c r="C1148" t="s">
        <v>814</v>
      </c>
      <c r="P1148" s="4"/>
    </row>
    <row r="1149" spans="1:16">
      <c r="A1149" t="s">
        <v>61</v>
      </c>
      <c r="B1149" s="3">
        <f>(B443*$B$4*1000)*($B$14/1000000)</f>
        <v>848.15504192993649</v>
      </c>
      <c r="C1149" t="s">
        <v>814</v>
      </c>
      <c r="P1149" s="4"/>
    </row>
    <row r="1150" spans="1:16">
      <c r="A1150" t="s">
        <v>45</v>
      </c>
      <c r="B1150" s="3">
        <f>SUM(B1140:B1149)</f>
        <v>18641.908736647987</v>
      </c>
      <c r="C1150" t="s">
        <v>814</v>
      </c>
      <c r="P1150" s="4"/>
    </row>
    <row r="1151" spans="1:16">
      <c r="B1151" s="3">
        <f>B1150*B9</f>
        <v>559257.26209943963</v>
      </c>
      <c r="C1151" t="s">
        <v>786</v>
      </c>
      <c r="P1151" s="4"/>
    </row>
    <row r="1152" spans="1:16">
      <c r="A1152" t="s">
        <v>817</v>
      </c>
      <c r="B1152" s="16">
        <f>($B$4-(B1150/1000))/$B$4</f>
        <v>0.9378603042111735</v>
      </c>
      <c r="C1152" s="18" t="s">
        <v>568</v>
      </c>
      <c r="P1152" s="4"/>
    </row>
    <row r="1153" spans="1:16">
      <c r="B1153" s="16"/>
      <c r="P1153" s="4"/>
    </row>
    <row r="1154" spans="1:16" s="37" customFormat="1">
      <c r="A1154" s="37" t="s">
        <v>875</v>
      </c>
      <c r="B1154" s="72"/>
      <c r="P1154" s="48"/>
    </row>
    <row r="1155" spans="1:16">
      <c r="A1155" t="s">
        <v>105</v>
      </c>
      <c r="B1155" s="15">
        <f>Calculations!$B$362</f>
        <v>16529705.046995105</v>
      </c>
      <c r="P1155" s="4"/>
    </row>
    <row r="1156" spans="1:16">
      <c r="A1156" t="s">
        <v>733</v>
      </c>
      <c r="B1156" s="15">
        <f>Calculations!$B$1001</f>
        <v>10545497.08946899</v>
      </c>
      <c r="P1156" s="4"/>
    </row>
    <row r="1157" spans="1:16">
      <c r="A1157" t="s">
        <v>103</v>
      </c>
      <c r="B1157" s="15">
        <f>Calculations!$B$486</f>
        <v>42602170.110499993</v>
      </c>
      <c r="P1157" s="4"/>
    </row>
    <row r="1158" spans="1:16">
      <c r="A1158" t="s">
        <v>737</v>
      </c>
      <c r="B1158" s="15">
        <f>Calculations!$B$513</f>
        <v>0</v>
      </c>
      <c r="P1158" s="4"/>
    </row>
    <row r="1159" spans="1:16">
      <c r="A1159" t="s">
        <v>742</v>
      </c>
      <c r="B1159" s="15">
        <f>Calculations!B$746</f>
        <v>8114738.6033999994</v>
      </c>
      <c r="P1159" s="4"/>
    </row>
    <row r="1160" spans="1:16">
      <c r="A1160" t="s">
        <v>732</v>
      </c>
      <c r="B1160" s="15">
        <f>Calculations!$B$1094</f>
        <v>4037501.7249961253</v>
      </c>
      <c r="P1160" s="4"/>
    </row>
    <row r="1161" spans="1:16">
      <c r="A1161" t="s">
        <v>734</v>
      </c>
      <c r="B1161" s="15">
        <f>Calculations!$B$1002</f>
        <v>10041227.646046534</v>
      </c>
      <c r="P1161" s="4"/>
    </row>
    <row r="1162" spans="1:16">
      <c r="A1162" t="s">
        <v>211</v>
      </c>
      <c r="B1162" s="15">
        <f>Calculations!$B$377</f>
        <v>4659928.6785793267</v>
      </c>
      <c r="P1162" s="4"/>
    </row>
    <row r="1163" spans="1:16">
      <c r="A1163" t="s">
        <v>45</v>
      </c>
      <c r="B1163" s="15">
        <f>SUM(B1155:B1162)</f>
        <v>96530768.899986073</v>
      </c>
      <c r="P1163" s="4"/>
    </row>
    <row r="1164" spans="1:16">
      <c r="B1164" s="15"/>
      <c r="P1164" s="4"/>
    </row>
    <row r="1165" spans="1:16" s="37" customFormat="1">
      <c r="A1165" s="37" t="s">
        <v>1035</v>
      </c>
      <c r="B1165" s="59"/>
      <c r="P1165" s="48"/>
    </row>
    <row r="1166" spans="1:16">
      <c r="A1166" t="s">
        <v>1029</v>
      </c>
      <c r="B1166" s="4">
        <f>B492+B516</f>
        <v>7.247507506962652</v>
      </c>
      <c r="C1166" t="s">
        <v>2</v>
      </c>
      <c r="P1166" s="4"/>
    </row>
    <row r="1167" spans="1:16">
      <c r="A1167" t="s">
        <v>1034</v>
      </c>
      <c r="B1167" s="15">
        <v>220</v>
      </c>
      <c r="C1167" t="s">
        <v>1030</v>
      </c>
      <c r="P1167" s="4"/>
    </row>
    <row r="1168" spans="1:16">
      <c r="A1168" t="s">
        <v>1033</v>
      </c>
      <c r="B1168" s="15">
        <f>-(B1167/$A$49)*B1166</f>
        <v>-1446.4639271455251</v>
      </c>
      <c r="C1168" t="s">
        <v>882</v>
      </c>
      <c r="P1168" s="4"/>
    </row>
    <row r="1169" spans="1:16">
      <c r="A1169" t="s">
        <v>1032</v>
      </c>
      <c r="B1169" s="15">
        <f>-B566*B567</f>
        <v>-6698464.7430600002</v>
      </c>
      <c r="C1169" t="s">
        <v>882</v>
      </c>
      <c r="P1169" s="4"/>
    </row>
    <row r="1170" spans="1:16">
      <c r="A1170" t="s">
        <v>1027</v>
      </c>
      <c r="B1170" s="15">
        <f>B1096</f>
        <v>459214.92268818646</v>
      </c>
      <c r="C1170" t="s">
        <v>882</v>
      </c>
      <c r="P1170" s="4"/>
    </row>
    <row r="1171" spans="1:16">
      <c r="A1171" t="s">
        <v>864</v>
      </c>
      <c r="B1171" s="15">
        <f>SUM(B1168:B1170)</f>
        <v>-6240696.2842989592</v>
      </c>
      <c r="C1171" t="s">
        <v>882</v>
      </c>
      <c r="P1171" s="4"/>
    </row>
    <row r="1172" spans="1:16">
      <c r="B1172" s="16"/>
      <c r="P1172" s="4"/>
    </row>
    <row r="1173" spans="1:16" s="37" customFormat="1">
      <c r="A1173" s="37" t="s">
        <v>876</v>
      </c>
      <c r="B1173" s="72"/>
      <c r="P1173" s="48"/>
    </row>
    <row r="1174" spans="1:16">
      <c r="A1174" t="s">
        <v>172</v>
      </c>
      <c r="B1174" s="15">
        <f>$B$357+$B$444</f>
        <v>6066571.439196622</v>
      </c>
      <c r="C1174" t="s">
        <v>881</v>
      </c>
      <c r="P1174" s="4"/>
    </row>
    <row r="1175" spans="1:16">
      <c r="A1175" t="s">
        <v>14</v>
      </c>
      <c r="B1175" s="15">
        <f>$B$890</f>
        <v>4515593.8564752815</v>
      </c>
      <c r="C1175" t="s">
        <v>881</v>
      </c>
      <c r="P1175" s="4"/>
    </row>
    <row r="1176" spans="1:16">
      <c r="A1176" t="s">
        <v>1009</v>
      </c>
      <c r="B1176" s="15">
        <f>B361</f>
        <v>39810.774826721747</v>
      </c>
      <c r="C1176" t="s">
        <v>881</v>
      </c>
      <c r="P1176" s="4"/>
    </row>
    <row r="1177" spans="1:16">
      <c r="A1177" t="s">
        <v>1016</v>
      </c>
      <c r="B1177" s="15">
        <f>B908</f>
        <v>0</v>
      </c>
      <c r="C1177" t="s">
        <v>881</v>
      </c>
      <c r="P1177" s="4"/>
    </row>
    <row r="1178" spans="1:16">
      <c r="A1178" t="s">
        <v>1021</v>
      </c>
      <c r="B1178" s="15">
        <f>B910</f>
        <v>0</v>
      </c>
      <c r="C1178" t="s">
        <v>881</v>
      </c>
      <c r="P1178" s="4"/>
    </row>
    <row r="1179" spans="1:16">
      <c r="A1179" t="s">
        <v>15</v>
      </c>
      <c r="B1179" s="15">
        <f>SUM($B$487:$B$488)+($B$36*SUM($B$1155:$B$1156,$B$1160:$B$1162))</f>
        <v>3511527.1642870195</v>
      </c>
      <c r="C1179" t="s">
        <v>881</v>
      </c>
      <c r="P1179" s="4"/>
    </row>
    <row r="1180" spans="1:16">
      <c r="A1180" t="s">
        <v>828</v>
      </c>
      <c r="B1180" s="15">
        <f>SUM($B$489:$B$491)+($B$37*SUM($B$1155:$B$1156,$B$1160:$B$1162))</f>
        <v>1390901.2445517362</v>
      </c>
      <c r="C1180" t="s">
        <v>881</v>
      </c>
      <c r="P1180" s="4"/>
    </row>
    <row r="1181" spans="1:16">
      <c r="A1181" t="s">
        <v>62</v>
      </c>
      <c r="B1181" s="15">
        <f>$B$1136</f>
        <v>7978089.8350771237</v>
      </c>
      <c r="C1181" t="s">
        <v>881</v>
      </c>
      <c r="P1181" s="4"/>
    </row>
    <row r="1182" spans="1:16">
      <c r="A1182" t="s">
        <v>1036</v>
      </c>
      <c r="B1182" s="15">
        <f>B1171</f>
        <v>-6240696.2842989592</v>
      </c>
      <c r="C1182" t="s">
        <v>881</v>
      </c>
      <c r="P1182" s="4"/>
    </row>
    <row r="1183" spans="1:16">
      <c r="A1183" t="s">
        <v>45</v>
      </c>
      <c r="B1183" s="15">
        <f>SUM($B$1174:$B$1181)</f>
        <v>23502494.314414505</v>
      </c>
      <c r="C1183" t="s">
        <v>881</v>
      </c>
      <c r="P1183" s="4"/>
    </row>
    <row r="1184" spans="1:16">
      <c r="B1184" s="15">
        <f>(B1183*B9)+B1182</f>
        <v>698834133.14813614</v>
      </c>
      <c r="C1184" t="s">
        <v>882</v>
      </c>
      <c r="P1184" s="4"/>
    </row>
    <row r="1186" spans="1:16" s="37" customFormat="1">
      <c r="A1186" s="37" t="s">
        <v>878</v>
      </c>
      <c r="B1186" s="72"/>
      <c r="P1186" s="48"/>
    </row>
    <row r="1187" spans="1:16">
      <c r="A1187" t="s">
        <v>1110</v>
      </c>
      <c r="B1187" s="16">
        <f>B1152</f>
        <v>0.9378603042111735</v>
      </c>
      <c r="C1187" s="18" t="s">
        <v>880</v>
      </c>
      <c r="P1187" s="4"/>
    </row>
    <row r="1188" spans="1:16">
      <c r="A1188" t="s">
        <v>879</v>
      </c>
      <c r="B1188" s="3">
        <f>B1187*B10</f>
        <v>8440742.7379005607</v>
      </c>
      <c r="C1188" t="s">
        <v>21</v>
      </c>
      <c r="P1188" s="4"/>
    </row>
    <row r="1189" spans="1:16">
      <c r="A1189" t="s">
        <v>6</v>
      </c>
      <c r="B1189" s="15">
        <f>B1163</f>
        <v>96530768.899986073</v>
      </c>
      <c r="C1189" t="str">
        <f t="shared" ref="C1189:C1193" si="77">$B$128&amp;" USD"</f>
        <v>2024 USD</v>
      </c>
      <c r="P1189" s="4"/>
    </row>
    <row r="1190" spans="1:16">
      <c r="B1190" s="6">
        <f>B1189/$B$1188</f>
        <v>11.436288475721968</v>
      </c>
      <c r="C1190" t="s">
        <v>46</v>
      </c>
      <c r="P1190" s="4"/>
    </row>
    <row r="1191" spans="1:16">
      <c r="A1191" t="s">
        <v>106</v>
      </c>
      <c r="B1191" s="15">
        <f>B1184</f>
        <v>698834133.14813614</v>
      </c>
      <c r="C1191" t="str">
        <f t="shared" si="77"/>
        <v>2024 USD</v>
      </c>
      <c r="P1191" s="4"/>
    </row>
    <row r="1192" spans="1:16">
      <c r="B1192" s="6">
        <f>B1191/$B$1188</f>
        <v>82.792966785995773</v>
      </c>
      <c r="C1192" t="s">
        <v>46</v>
      </c>
      <c r="P1192" s="4"/>
    </row>
    <row r="1193" spans="1:16">
      <c r="A1193" t="s">
        <v>45</v>
      </c>
      <c r="B1193" s="15">
        <f>B1189+B1191</f>
        <v>795364902.04812217</v>
      </c>
      <c r="C1193" t="str">
        <f t="shared" si="77"/>
        <v>2024 USD</v>
      </c>
      <c r="P1193" s="4"/>
    </row>
    <row r="1194" spans="1:16">
      <c r="B1194" s="6">
        <f>B1193/$B$1188</f>
        <v>94.229255261717739</v>
      </c>
      <c r="C1194" t="s">
        <v>46</v>
      </c>
      <c r="P1194" s="4"/>
    </row>
    <row r="1195" spans="1:16">
      <c r="C1195" s="49"/>
    </row>
    <row r="1196" spans="1:16" s="37" customFormat="1">
      <c r="A1196" s="37" t="s">
        <v>420</v>
      </c>
    </row>
    <row r="1197" spans="1:16">
      <c r="A1197">
        <v>1</v>
      </c>
      <c r="B1197" t="s">
        <v>422</v>
      </c>
    </row>
    <row r="1198" spans="1:16">
      <c r="A1198">
        <v>2</v>
      </c>
      <c r="B1198" t="s">
        <v>301</v>
      </c>
    </row>
    <row r="1199" spans="1:16">
      <c r="A1199">
        <v>3</v>
      </c>
      <c r="B1199" t="s">
        <v>423</v>
      </c>
    </row>
    <row r="1200" spans="1:16">
      <c r="A1200">
        <v>4</v>
      </c>
      <c r="B1200" t="s">
        <v>424</v>
      </c>
    </row>
    <row r="1201" spans="1:2">
      <c r="A1201">
        <v>5</v>
      </c>
      <c r="B1201" t="s">
        <v>425</v>
      </c>
    </row>
    <row r="1202" spans="1:2">
      <c r="A1202">
        <v>6</v>
      </c>
      <c r="B1202" s="217" t="s">
        <v>426</v>
      </c>
    </row>
    <row r="1203" spans="1:2">
      <c r="A1203">
        <v>7</v>
      </c>
      <c r="B1203" t="s">
        <v>421</v>
      </c>
    </row>
    <row r="1204" spans="1:2">
      <c r="A1204">
        <v>8</v>
      </c>
      <c r="B1204" t="s">
        <v>427</v>
      </c>
    </row>
    <row r="1205" spans="1:2">
      <c r="A1205">
        <v>9</v>
      </c>
      <c r="B1205" s="217" t="s">
        <v>428</v>
      </c>
    </row>
    <row r="1206" spans="1:2">
      <c r="A1206">
        <v>10</v>
      </c>
      <c r="B1206" s="217" t="s">
        <v>429</v>
      </c>
    </row>
    <row r="1207" spans="1:2">
      <c r="A1207">
        <v>11</v>
      </c>
      <c r="B1207" s="217" t="s">
        <v>430</v>
      </c>
    </row>
    <row r="1208" spans="1:2">
      <c r="A1208">
        <v>12</v>
      </c>
      <c r="B1208" t="s">
        <v>431</v>
      </c>
    </row>
    <row r="1209" spans="1:2">
      <c r="A1209">
        <v>13</v>
      </c>
      <c r="B1209" t="s">
        <v>442</v>
      </c>
    </row>
    <row r="1210" spans="1:2">
      <c r="A1210">
        <v>14</v>
      </c>
      <c r="B1210" t="s">
        <v>449</v>
      </c>
    </row>
    <row r="1211" spans="1:2">
      <c r="A1211">
        <v>15</v>
      </c>
      <c r="B1211" t="s">
        <v>451</v>
      </c>
    </row>
    <row r="1212" spans="1:2">
      <c r="A1212">
        <v>16</v>
      </c>
      <c r="B1212" t="s">
        <v>454</v>
      </c>
    </row>
    <row r="1213" spans="1:2">
      <c r="A1213">
        <v>17</v>
      </c>
      <c r="B1213" t="s">
        <v>468</v>
      </c>
    </row>
    <row r="1214" spans="1:2">
      <c r="A1214">
        <v>18</v>
      </c>
      <c r="B1214" t="s">
        <v>471</v>
      </c>
    </row>
    <row r="1215" spans="1:2">
      <c r="A1215">
        <v>19</v>
      </c>
      <c r="B1215" t="s">
        <v>490</v>
      </c>
    </row>
    <row r="1216" spans="1:2">
      <c r="A1216">
        <v>20</v>
      </c>
      <c r="B1216" t="s">
        <v>512</v>
      </c>
    </row>
    <row r="1217" spans="1:2">
      <c r="A1217">
        <v>21</v>
      </c>
      <c r="B1217" t="s">
        <v>511</v>
      </c>
    </row>
    <row r="1218" spans="1:2">
      <c r="A1218">
        <v>22</v>
      </c>
      <c r="B1218" t="s">
        <v>526</v>
      </c>
    </row>
    <row r="1219" spans="1:2">
      <c r="A1219">
        <v>23</v>
      </c>
      <c r="B1219" t="s">
        <v>789</v>
      </c>
    </row>
    <row r="1220" spans="1:2">
      <c r="A1220">
        <v>24</v>
      </c>
      <c r="B1220" t="s">
        <v>533</v>
      </c>
    </row>
    <row r="1221" spans="1:2">
      <c r="A1221">
        <v>25</v>
      </c>
      <c r="B1221" t="s">
        <v>790</v>
      </c>
    </row>
    <row r="1222" spans="1:2">
      <c r="A1222">
        <v>26</v>
      </c>
      <c r="B1222" t="s">
        <v>539</v>
      </c>
    </row>
    <row r="1223" spans="1:2">
      <c r="A1223">
        <v>27</v>
      </c>
      <c r="B1223" t="s">
        <v>541</v>
      </c>
    </row>
    <row r="1224" spans="1:2">
      <c r="A1224">
        <v>28</v>
      </c>
      <c r="B1224" t="s">
        <v>544</v>
      </c>
    </row>
    <row r="1225" spans="1:2">
      <c r="A1225">
        <v>29</v>
      </c>
      <c r="B1225" t="s">
        <v>559</v>
      </c>
    </row>
    <row r="1226" spans="1:2">
      <c r="A1226">
        <v>30</v>
      </c>
      <c r="B1226" t="s">
        <v>584</v>
      </c>
    </row>
    <row r="1227" spans="1:2">
      <c r="A1227">
        <v>31</v>
      </c>
      <c r="B1227" t="s">
        <v>592</v>
      </c>
    </row>
    <row r="1228" spans="1:2">
      <c r="A1228">
        <v>32</v>
      </c>
      <c r="B1228" t="s">
        <v>612</v>
      </c>
    </row>
    <row r="1229" spans="1:2">
      <c r="A1229">
        <v>33</v>
      </c>
      <c r="B1229" t="s">
        <v>597</v>
      </c>
    </row>
    <row r="1230" spans="1:2">
      <c r="A1230">
        <v>34</v>
      </c>
      <c r="B1230" s="217" t="s">
        <v>622</v>
      </c>
    </row>
    <row r="1231" spans="1:2">
      <c r="A1231">
        <v>35</v>
      </c>
      <c r="B1231" t="s">
        <v>623</v>
      </c>
    </row>
    <row r="1232" spans="1:2">
      <c r="A1232">
        <v>36</v>
      </c>
      <c r="B1232" t="s">
        <v>1120</v>
      </c>
    </row>
    <row r="1233" spans="1:2">
      <c r="A1233">
        <v>37</v>
      </c>
      <c r="B1233" t="s">
        <v>642</v>
      </c>
    </row>
    <row r="1234" spans="1:2">
      <c r="A1234">
        <v>38</v>
      </c>
      <c r="B1234" t="s">
        <v>657</v>
      </c>
    </row>
    <row r="1235" spans="1:2">
      <c r="A1235">
        <v>39</v>
      </c>
      <c r="B1235" t="s">
        <v>692</v>
      </c>
    </row>
    <row r="1236" spans="1:2">
      <c r="A1236">
        <v>40</v>
      </c>
      <c r="B1236" t="s">
        <v>695</v>
      </c>
    </row>
    <row r="1237" spans="1:2">
      <c r="A1237">
        <v>41</v>
      </c>
      <c r="B1237" t="s">
        <v>916</v>
      </c>
    </row>
    <row r="1238" spans="1:2">
      <c r="A1238">
        <v>42</v>
      </c>
      <c r="B1238" t="s">
        <v>820</v>
      </c>
    </row>
    <row r="1239" spans="1:2">
      <c r="A1239">
        <v>43</v>
      </c>
      <c r="B1239" s="217" t="s">
        <v>838</v>
      </c>
    </row>
    <row r="1240" spans="1:2">
      <c r="A1240">
        <v>44</v>
      </c>
      <c r="B1240" s="217" t="s">
        <v>291</v>
      </c>
    </row>
    <row r="1241" spans="1:2">
      <c r="A1241">
        <v>45</v>
      </c>
      <c r="B1241" t="s">
        <v>874</v>
      </c>
    </row>
    <row r="1242" spans="1:2">
      <c r="A1242">
        <v>46</v>
      </c>
      <c r="B1242" s="3" t="s">
        <v>939</v>
      </c>
    </row>
    <row r="1243" spans="1:2">
      <c r="A1243">
        <v>47</v>
      </c>
      <c r="B1243" t="s">
        <v>914</v>
      </c>
    </row>
    <row r="1244" spans="1:2">
      <c r="A1244">
        <v>48</v>
      </c>
      <c r="B1244" t="s">
        <v>917</v>
      </c>
    </row>
    <row r="1245" spans="1:2">
      <c r="A1245">
        <v>49</v>
      </c>
      <c r="B1245" t="s">
        <v>918</v>
      </c>
    </row>
    <row r="1246" spans="1:2">
      <c r="A1246">
        <v>50</v>
      </c>
      <c r="B1246" t="s">
        <v>937</v>
      </c>
    </row>
    <row r="1247" spans="1:2">
      <c r="A1247">
        <v>51</v>
      </c>
      <c r="B1247" t="s">
        <v>938</v>
      </c>
    </row>
    <row r="1248" spans="1:2">
      <c r="A1248">
        <v>52</v>
      </c>
      <c r="B1248" t="s">
        <v>950</v>
      </c>
    </row>
    <row r="1249" spans="1:2">
      <c r="A1249">
        <v>53</v>
      </c>
      <c r="B1249" t="s">
        <v>962</v>
      </c>
    </row>
    <row r="1250" spans="1:2">
      <c r="A1250">
        <v>54</v>
      </c>
      <c r="B1250" t="s">
        <v>970</v>
      </c>
    </row>
    <row r="1251" spans="1:2">
      <c r="A1251">
        <v>55</v>
      </c>
      <c r="B1251" t="s">
        <v>1031</v>
      </c>
    </row>
    <row r="1252" spans="1:2">
      <c r="A1252">
        <v>56</v>
      </c>
      <c r="B1252" t="s">
        <v>1064</v>
      </c>
    </row>
    <row r="1253" spans="1:2">
      <c r="A1253">
        <v>57</v>
      </c>
      <c r="B1253" s="217" t="s">
        <v>1069</v>
      </c>
    </row>
    <row r="1254" spans="1:2">
      <c r="A1254">
        <v>58</v>
      </c>
      <c r="B1254" s="217" t="s">
        <v>1097</v>
      </c>
    </row>
    <row r="1255" spans="1:2">
      <c r="A1255">
        <v>59</v>
      </c>
      <c r="B1255" t="s">
        <v>1185</v>
      </c>
    </row>
    <row r="1256" spans="1:2">
      <c r="A1256">
        <v>60</v>
      </c>
      <c r="B1256" t="s">
        <v>1186</v>
      </c>
    </row>
  </sheetData>
  <phoneticPr fontId="12" type="noConversion"/>
  <hyperlinks>
    <hyperlink ref="B1205" r:id="rId1" xr:uid="{97CDE91D-B0DD-4533-8E6C-D146028DCB29}"/>
    <hyperlink ref="B1206" r:id="rId2" xr:uid="{5969DD76-E177-4EE1-BEDD-85BEC43B9A52}"/>
    <hyperlink ref="B1230" r:id="rId3" xr:uid="{E9E988F7-8F1E-474B-8620-C7DE7433676E}"/>
    <hyperlink ref="B1207" r:id="rId4" xr:uid="{5A19E74A-94AA-4B94-B802-4FA7C7D9041F}"/>
    <hyperlink ref="B1202" r:id="rId5" xr:uid="{4BB0B011-6102-4FAA-86A7-09A654BF963A}"/>
    <hyperlink ref="B1239" r:id="rId6" xr:uid="{1794E92F-9867-4480-8659-A7685927FE28}"/>
    <hyperlink ref="B1253" r:id="rId7" xr:uid="{539F0A73-EE10-404B-AB0F-1CE27CE44389}"/>
    <hyperlink ref="B1254" r:id="rId8" xr:uid="{F4F32F0F-2408-481E-93D9-7ACC1EA59840}"/>
    <hyperlink ref="B1240" r:id="rId9" xr:uid="{152CCCAD-90D6-4A5D-A808-C620B6A5FE87}"/>
  </hyperlinks>
  <pageMargins left="0.7" right="0.7" top="0.75" bottom="0.75" header="0.3" footer="0.3"/>
  <pageSetup orientation="portrait" r:id="rId10"/>
  <legacyDrawing r:id="rId1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B0191-1BC7-4279-AD3B-7385034CF0D7}">
  <sheetPr codeName="Sheet13"/>
  <dimension ref="A1:DH165"/>
  <sheetViews>
    <sheetView zoomScale="50" zoomScaleNormal="50" zoomScaleSheetLayoutView="85" workbookViewId="0">
      <selection activeCell="E11" sqref="E11"/>
    </sheetView>
  </sheetViews>
  <sheetFormatPr defaultColWidth="7.19921875" defaultRowHeight="18.75"/>
  <cols>
    <col min="1" max="1" width="14.8984375" style="107" customWidth="1"/>
    <col min="2" max="2" width="53.59765625" style="107" customWidth="1"/>
    <col min="3" max="3" width="21" style="107" bestFit="1" customWidth="1"/>
    <col min="4" max="5" width="11.59765625" style="107" customWidth="1"/>
    <col min="6" max="6" width="19.8984375" style="105" bestFit="1" customWidth="1"/>
    <col min="7" max="7" width="11.69921875" style="105" bestFit="1" customWidth="1"/>
    <col min="8" max="23" width="11.09765625" style="105" bestFit="1" customWidth="1"/>
    <col min="24" max="26" width="11.09765625" style="107" bestFit="1" customWidth="1"/>
    <col min="27" max="27" width="13.69921875" style="107" bestFit="1" customWidth="1"/>
    <col min="28" max="76" width="5.8984375" style="107" bestFit="1" customWidth="1"/>
    <col min="77" max="102" width="6.5" style="107" bestFit="1" customWidth="1"/>
    <col min="103" max="103" width="3.8984375" style="107" bestFit="1" customWidth="1"/>
    <col min="104" max="140" width="11.59765625" style="107" customWidth="1"/>
    <col min="141" max="16384" width="7.19921875" style="107"/>
  </cols>
  <sheetData>
    <row r="1" spans="1:112" ht="21">
      <c r="A1" s="230" t="s">
        <v>1156</v>
      </c>
    </row>
    <row r="3" spans="1:112" s="99" customFormat="1">
      <c r="A3" s="98" t="s">
        <v>108</v>
      </c>
      <c r="C3" s="99">
        <v>2.0369691980863958E+66</v>
      </c>
      <c r="F3" s="100"/>
      <c r="G3" s="100"/>
      <c r="H3" s="100"/>
      <c r="I3" s="100"/>
      <c r="J3" s="100"/>
      <c r="K3" s="100"/>
      <c r="L3" s="100"/>
      <c r="M3" s="100"/>
      <c r="N3" s="100"/>
      <c r="O3" s="100"/>
      <c r="P3" s="100"/>
      <c r="Q3" s="100"/>
      <c r="R3" s="100"/>
      <c r="S3" s="100"/>
      <c r="T3" s="100"/>
      <c r="U3" s="100"/>
      <c r="V3" s="100"/>
      <c r="W3" s="101"/>
      <c r="X3" s="100"/>
      <c r="Y3" s="100"/>
      <c r="Z3" s="100"/>
      <c r="AA3" s="102"/>
      <c r="AB3" s="102"/>
      <c r="AC3" s="102"/>
      <c r="AD3" s="102"/>
      <c r="AE3" s="102"/>
      <c r="AM3" s="102"/>
      <c r="AN3" s="102"/>
      <c r="AO3" s="102"/>
      <c r="AP3" s="102"/>
      <c r="AQ3" s="102"/>
      <c r="AR3" s="102"/>
      <c r="AS3" s="102"/>
      <c r="AT3" s="102"/>
      <c r="AU3" s="102"/>
      <c r="AV3" s="102"/>
      <c r="AW3" s="102"/>
      <c r="AX3" s="102"/>
      <c r="AY3" s="102"/>
      <c r="AZ3" s="102"/>
      <c r="BA3" s="102"/>
      <c r="BB3" s="102"/>
      <c r="BC3" s="102"/>
      <c r="BD3" s="102"/>
      <c r="BE3" s="102"/>
      <c r="BF3" s="102"/>
      <c r="BG3" s="102"/>
      <c r="BH3" s="102"/>
      <c r="BI3" s="102"/>
      <c r="BJ3" s="102"/>
      <c r="BK3" s="102"/>
      <c r="BL3" s="102"/>
      <c r="BM3" s="102"/>
      <c r="BN3" s="102"/>
      <c r="BO3" s="102"/>
      <c r="BP3" s="102"/>
      <c r="BQ3" s="102"/>
      <c r="BR3" s="102"/>
      <c r="BS3" s="102"/>
      <c r="BT3" s="102"/>
      <c r="BU3" s="102"/>
      <c r="BV3" s="102"/>
      <c r="BW3" s="102"/>
      <c r="BX3" s="102"/>
      <c r="BY3" s="102"/>
      <c r="BZ3" s="102"/>
      <c r="CA3" s="102"/>
      <c r="CB3" s="102"/>
      <c r="CC3" s="102"/>
      <c r="CD3" s="102"/>
      <c r="CE3" s="102"/>
      <c r="CF3" s="102"/>
      <c r="CG3" s="102"/>
      <c r="CH3" s="102"/>
      <c r="CI3" s="102"/>
      <c r="CJ3" s="102"/>
      <c r="CK3" s="102"/>
      <c r="CL3" s="102"/>
      <c r="CM3" s="102"/>
      <c r="CN3" s="102"/>
      <c r="CO3" s="102"/>
      <c r="CP3" s="102"/>
      <c r="CQ3" s="102"/>
      <c r="CR3" s="102"/>
      <c r="CS3" s="102"/>
      <c r="CT3" s="102"/>
      <c r="CU3" s="102"/>
      <c r="CV3" s="102"/>
      <c r="CW3" s="102"/>
      <c r="CX3" s="102"/>
      <c r="CY3" s="102"/>
      <c r="CZ3" s="102"/>
      <c r="DA3" s="102"/>
    </row>
    <row r="4" spans="1:112" ht="20.100000000000001" customHeight="1" thickBot="1">
      <c r="A4" s="103"/>
      <c r="B4" s="103"/>
      <c r="C4" s="104"/>
      <c r="D4" s="104"/>
      <c r="E4" s="104"/>
      <c r="F4" s="104"/>
      <c r="L4" s="106"/>
      <c r="M4" s="106"/>
      <c r="N4" s="106"/>
      <c r="S4" s="106"/>
      <c r="T4" s="106"/>
      <c r="U4" s="106"/>
      <c r="X4" s="105"/>
      <c r="Y4" s="105"/>
      <c r="Z4" s="105"/>
      <c r="AA4" s="106"/>
      <c r="AB4" s="106"/>
      <c r="AC4" s="106"/>
      <c r="AF4" s="105"/>
      <c r="AN4" s="108"/>
      <c r="AO4" s="108"/>
      <c r="AP4" s="108"/>
      <c r="AQ4" s="108"/>
      <c r="AR4" s="108"/>
      <c r="AS4" s="108"/>
      <c r="AT4" s="108"/>
      <c r="AU4" s="108"/>
      <c r="AV4" s="108"/>
      <c r="AW4" s="108"/>
      <c r="AX4" s="108"/>
      <c r="AY4" s="108"/>
      <c r="AZ4" s="108"/>
      <c r="BA4" s="108"/>
      <c r="BB4" s="108"/>
      <c r="BC4" s="108"/>
      <c r="BD4" s="108"/>
      <c r="BE4" s="108"/>
      <c r="BF4" s="108"/>
      <c r="BG4" s="108"/>
      <c r="BH4" s="108"/>
      <c r="BI4" s="108"/>
      <c r="BJ4" s="108"/>
      <c r="BK4" s="108"/>
      <c r="BL4" s="108"/>
      <c r="BM4" s="108"/>
      <c r="BN4" s="108"/>
      <c r="BO4" s="108"/>
      <c r="BP4" s="108"/>
      <c r="BQ4" s="108"/>
      <c r="BR4" s="108"/>
      <c r="BS4" s="108"/>
      <c r="BT4" s="108"/>
      <c r="BU4" s="108"/>
      <c r="BV4" s="108"/>
      <c r="BW4" s="108"/>
      <c r="BX4" s="108"/>
      <c r="BY4" s="108"/>
      <c r="BZ4" s="108"/>
      <c r="CA4" s="108"/>
      <c r="CB4" s="108"/>
      <c r="CC4" s="108"/>
      <c r="CD4" s="108"/>
      <c r="CE4" s="108"/>
      <c r="CF4" s="108"/>
      <c r="CG4" s="108"/>
      <c r="CH4" s="108"/>
      <c r="CI4" s="108"/>
      <c r="CJ4" s="108"/>
      <c r="CK4" s="108"/>
      <c r="CL4" s="108"/>
      <c r="CM4" s="108"/>
      <c r="CN4" s="108"/>
      <c r="CO4" s="108"/>
      <c r="CP4" s="108"/>
      <c r="CQ4" s="108"/>
      <c r="CR4" s="108"/>
      <c r="CS4" s="108"/>
      <c r="CT4" s="108"/>
      <c r="CU4" s="108"/>
      <c r="CV4" s="108"/>
      <c r="CW4" s="108"/>
      <c r="CX4" s="108"/>
      <c r="CY4" s="108"/>
      <c r="CZ4" s="108"/>
      <c r="DA4" s="108"/>
      <c r="DB4" s="108"/>
      <c r="DC4" s="108"/>
      <c r="DD4" s="108"/>
      <c r="DE4" s="108"/>
      <c r="DF4" s="108"/>
      <c r="DG4" s="108"/>
      <c r="DH4" s="108"/>
    </row>
    <row r="5" spans="1:112" ht="20.100000000000001" customHeight="1" thickBot="1">
      <c r="A5" s="109"/>
      <c r="B5" s="107" t="s">
        <v>171</v>
      </c>
      <c r="C5" s="22">
        <v>124.72852413652745</v>
      </c>
      <c r="D5" s="110" t="str">
        <f>Calculations!$B$128&amp;" USD/t-CO2"</f>
        <v>2024 USD/t-CO2</v>
      </c>
      <c r="E5" s="111"/>
      <c r="F5" s="111"/>
      <c r="H5" s="112"/>
      <c r="I5" s="106"/>
      <c r="J5" s="106"/>
      <c r="K5" s="106"/>
      <c r="L5" s="106"/>
      <c r="M5" s="106"/>
      <c r="N5" s="106"/>
      <c r="O5" s="112"/>
      <c r="P5" s="106"/>
      <c r="Q5" s="106"/>
      <c r="R5" s="106"/>
      <c r="S5" s="106"/>
      <c r="T5" s="106"/>
      <c r="U5" s="106"/>
      <c r="W5" s="112"/>
      <c r="X5" s="106"/>
      <c r="Y5" s="106"/>
      <c r="Z5" s="106"/>
      <c r="AA5" s="106"/>
      <c r="AB5" s="106"/>
      <c r="AC5" s="106"/>
      <c r="AF5" s="105"/>
      <c r="AN5" s="108"/>
      <c r="AO5" s="108"/>
      <c r="AP5" s="108"/>
      <c r="AQ5" s="108"/>
      <c r="AR5" s="108"/>
      <c r="AS5" s="108"/>
      <c r="AT5" s="108"/>
      <c r="AU5" s="108"/>
      <c r="AV5" s="108"/>
      <c r="AW5" s="108"/>
      <c r="AX5" s="108"/>
      <c r="AY5" s="108"/>
      <c r="AZ5" s="108"/>
      <c r="BA5" s="108"/>
      <c r="BB5" s="108"/>
      <c r="BC5" s="108"/>
      <c r="BD5" s="108"/>
      <c r="BE5" s="108"/>
      <c r="BF5" s="108"/>
      <c r="BG5" s="108"/>
      <c r="BH5" s="108"/>
      <c r="BI5" s="108"/>
      <c r="BJ5" s="108"/>
      <c r="BK5" s="108"/>
      <c r="BL5" s="108"/>
      <c r="BM5" s="108"/>
      <c r="BN5" s="108"/>
      <c r="BO5" s="108"/>
      <c r="BP5" s="108"/>
      <c r="BQ5" s="108"/>
      <c r="BR5" s="108"/>
      <c r="BS5" s="108"/>
      <c r="BT5" s="108"/>
      <c r="BU5" s="108"/>
      <c r="BV5" s="108"/>
      <c r="BW5" s="108"/>
      <c r="BX5" s="108"/>
      <c r="BY5" s="108"/>
      <c r="BZ5" s="108"/>
      <c r="CA5" s="108"/>
      <c r="CB5" s="108"/>
      <c r="CC5" s="108"/>
      <c r="CD5" s="108"/>
      <c r="CE5" s="108"/>
      <c r="CF5" s="108"/>
      <c r="CG5" s="108"/>
      <c r="CH5" s="108"/>
      <c r="CI5" s="108"/>
      <c r="CJ5" s="108"/>
      <c r="CK5" s="108"/>
      <c r="CL5" s="108"/>
      <c r="CM5" s="108"/>
      <c r="CN5" s="108"/>
      <c r="CO5" s="108"/>
      <c r="CP5" s="108"/>
      <c r="CQ5" s="108"/>
      <c r="CR5" s="108"/>
      <c r="CS5" s="108"/>
      <c r="CT5" s="108"/>
      <c r="CU5" s="108"/>
      <c r="CV5" s="108"/>
      <c r="CW5" s="108"/>
      <c r="CX5" s="108"/>
      <c r="CY5" s="108"/>
      <c r="CZ5" s="108"/>
      <c r="DA5" s="108"/>
      <c r="DB5" s="108"/>
      <c r="DC5" s="108"/>
      <c r="DD5" s="108"/>
      <c r="DE5" s="108"/>
      <c r="DF5" s="108"/>
      <c r="DG5" s="108"/>
      <c r="DH5" s="108"/>
    </row>
    <row r="6" spans="1:112" ht="20.100000000000001" customHeight="1">
      <c r="A6" s="109"/>
      <c r="B6" s="107" t="s">
        <v>64</v>
      </c>
      <c r="C6" s="96">
        <f>Calculations!$B$1194</f>
        <v>94.229255261717739</v>
      </c>
      <c r="D6" s="110" t="s">
        <v>46</v>
      </c>
      <c r="E6" s="111"/>
      <c r="F6" s="111"/>
      <c r="H6" s="112"/>
      <c r="I6" s="106"/>
      <c r="J6" s="106"/>
      <c r="K6" s="106"/>
      <c r="L6" s="106"/>
      <c r="M6" s="106"/>
      <c r="N6" s="106"/>
      <c r="O6" s="112"/>
      <c r="P6" s="106"/>
      <c r="Q6" s="106"/>
      <c r="R6" s="106"/>
      <c r="S6" s="106"/>
      <c r="T6" s="106"/>
      <c r="U6" s="106"/>
      <c r="W6" s="112"/>
      <c r="X6" s="106"/>
      <c r="Y6" s="106"/>
      <c r="Z6" s="106"/>
      <c r="AA6" s="106"/>
      <c r="AB6" s="106"/>
      <c r="AC6" s="106"/>
      <c r="AF6" s="105"/>
      <c r="AN6" s="108"/>
      <c r="AO6" s="108"/>
      <c r="AP6" s="108"/>
      <c r="AQ6" s="108"/>
      <c r="AR6" s="108"/>
      <c r="AS6" s="108"/>
      <c r="AT6" s="108"/>
      <c r="AU6" s="108"/>
      <c r="AV6" s="108"/>
      <c r="AW6" s="108"/>
      <c r="AX6" s="108"/>
      <c r="AY6" s="108"/>
      <c r="AZ6" s="108"/>
      <c r="BA6" s="108"/>
      <c r="BB6" s="108"/>
      <c r="BC6" s="108"/>
      <c r="BD6" s="108"/>
      <c r="BE6" s="108"/>
      <c r="BF6" s="108"/>
      <c r="BG6" s="108"/>
      <c r="BH6" s="108"/>
      <c r="BI6" s="108"/>
      <c r="BJ6" s="108"/>
      <c r="BK6" s="108"/>
      <c r="BL6" s="108"/>
      <c r="BM6" s="108"/>
      <c r="BN6" s="108"/>
      <c r="BO6" s="108"/>
      <c r="BP6" s="108"/>
      <c r="BQ6" s="108"/>
      <c r="BR6" s="108"/>
      <c r="BS6" s="108"/>
      <c r="BT6" s="108"/>
      <c r="BU6" s="108"/>
      <c r="BV6" s="108"/>
      <c r="BW6" s="108"/>
      <c r="BX6" s="108"/>
      <c r="BY6" s="108"/>
      <c r="BZ6" s="108"/>
      <c r="CA6" s="108"/>
      <c r="CB6" s="108"/>
      <c r="CC6" s="108"/>
      <c r="CD6" s="108"/>
      <c r="CE6" s="108"/>
      <c r="CF6" s="108"/>
      <c r="CG6" s="108"/>
      <c r="CH6" s="108"/>
      <c r="CI6" s="108"/>
      <c r="CJ6" s="108"/>
      <c r="CK6" s="108"/>
      <c r="CL6" s="108"/>
      <c r="CM6" s="108"/>
      <c r="CN6" s="108"/>
      <c r="CO6" s="108"/>
      <c r="CP6" s="108"/>
      <c r="CQ6" s="108"/>
      <c r="CR6" s="108"/>
      <c r="CS6" s="108"/>
      <c r="CT6" s="108"/>
      <c r="CU6" s="108"/>
      <c r="CV6" s="108"/>
      <c r="CW6" s="108"/>
      <c r="CX6" s="108"/>
      <c r="CY6" s="108"/>
      <c r="CZ6" s="108"/>
      <c r="DA6" s="108"/>
      <c r="DB6" s="108"/>
      <c r="DC6" s="108"/>
      <c r="DD6" s="108"/>
      <c r="DE6" s="108"/>
      <c r="DF6" s="108"/>
      <c r="DG6" s="108"/>
      <c r="DH6" s="108"/>
    </row>
    <row r="7" spans="1:112" ht="20.100000000000001" customHeight="1">
      <c r="A7" s="109"/>
      <c r="B7" s="107" t="s">
        <v>107</v>
      </c>
      <c r="C7" s="96">
        <f>IF(C5-C6&lt;0,0,C5-C6)</f>
        <v>30.499268874809715</v>
      </c>
      <c r="D7" s="110" t="s">
        <v>46</v>
      </c>
      <c r="F7" s="107"/>
      <c r="H7" s="112"/>
      <c r="I7" s="106"/>
      <c r="J7" s="106"/>
      <c r="K7" s="106"/>
      <c r="L7" s="106"/>
      <c r="M7" s="106"/>
      <c r="N7" s="106"/>
      <c r="O7" s="112"/>
      <c r="P7" s="106"/>
      <c r="Q7" s="106"/>
      <c r="R7" s="106"/>
      <c r="S7" s="106"/>
      <c r="T7" s="106"/>
      <c r="U7" s="106"/>
      <c r="W7" s="112"/>
      <c r="X7" s="106"/>
      <c r="Y7" s="106"/>
      <c r="Z7" s="106"/>
      <c r="AA7" s="106"/>
      <c r="AB7" s="106"/>
      <c r="AC7" s="106"/>
      <c r="AF7" s="105"/>
      <c r="AN7" s="108"/>
      <c r="AO7" s="108"/>
      <c r="AP7" s="108"/>
      <c r="AQ7" s="108"/>
      <c r="AR7" s="108"/>
      <c r="AS7" s="108"/>
      <c r="AT7" s="108"/>
      <c r="AU7" s="108"/>
      <c r="AV7" s="108"/>
      <c r="AW7" s="108"/>
      <c r="AX7" s="108"/>
      <c r="AY7" s="108"/>
      <c r="AZ7" s="108"/>
      <c r="BA7" s="108"/>
      <c r="BB7" s="108"/>
      <c r="BC7" s="108"/>
      <c r="BD7" s="108"/>
      <c r="BE7" s="108"/>
      <c r="BF7" s="108"/>
      <c r="BG7" s="108"/>
      <c r="BH7" s="108"/>
      <c r="BI7" s="108"/>
      <c r="BJ7" s="108"/>
      <c r="BK7" s="108"/>
      <c r="BL7" s="108"/>
      <c r="BM7" s="108"/>
      <c r="BN7" s="108"/>
      <c r="BO7" s="108"/>
      <c r="BP7" s="108"/>
      <c r="BQ7" s="108"/>
      <c r="BR7" s="108"/>
      <c r="BS7" s="108"/>
      <c r="BT7" s="108"/>
      <c r="BU7" s="108"/>
      <c r="BV7" s="108"/>
      <c r="BW7" s="108"/>
      <c r="BX7" s="108"/>
      <c r="BY7" s="108"/>
      <c r="BZ7" s="108"/>
      <c r="CA7" s="108"/>
      <c r="CB7" s="108"/>
      <c r="CC7" s="108"/>
      <c r="CD7" s="108"/>
      <c r="CE7" s="108"/>
      <c r="CF7" s="108"/>
      <c r="CG7" s="108"/>
      <c r="CH7" s="108"/>
      <c r="CI7" s="108"/>
      <c r="CJ7" s="108"/>
      <c r="CK7" s="108"/>
      <c r="CL7" s="108"/>
      <c r="CM7" s="108"/>
      <c r="CN7" s="108"/>
      <c r="CO7" s="108"/>
      <c r="CP7" s="108"/>
      <c r="CQ7" s="108"/>
      <c r="CR7" s="108"/>
      <c r="CS7" s="108"/>
      <c r="CT7" s="108"/>
      <c r="CU7" s="108"/>
      <c r="CV7" s="108"/>
      <c r="CW7" s="108"/>
      <c r="CX7" s="108"/>
      <c r="CY7" s="108"/>
      <c r="CZ7" s="108"/>
      <c r="DA7" s="108"/>
      <c r="DB7" s="108"/>
      <c r="DC7" s="108"/>
      <c r="DD7" s="108"/>
      <c r="DE7" s="108"/>
      <c r="DF7" s="108"/>
      <c r="DG7" s="108"/>
      <c r="DH7" s="108"/>
    </row>
    <row r="8" spans="1:112" ht="20.100000000000001" customHeight="1">
      <c r="A8" s="109"/>
      <c r="F8" s="107"/>
      <c r="I8" s="113"/>
      <c r="J8" s="113"/>
      <c r="K8" s="113"/>
      <c r="L8" s="114"/>
      <c r="M8" s="114"/>
      <c r="N8" s="106"/>
      <c r="O8" s="115"/>
      <c r="P8" s="114"/>
      <c r="Q8" s="114"/>
      <c r="R8" s="114"/>
      <c r="S8" s="116"/>
      <c r="T8" s="114"/>
      <c r="U8" s="114"/>
      <c r="W8" s="114"/>
      <c r="X8" s="114"/>
      <c r="Y8" s="114"/>
      <c r="Z8" s="114"/>
      <c r="AA8" s="116"/>
      <c r="AB8" s="114"/>
      <c r="AC8" s="114"/>
      <c r="AF8" s="105"/>
      <c r="AN8" s="108"/>
      <c r="AO8" s="108"/>
      <c r="AP8" s="108"/>
      <c r="AQ8" s="108"/>
      <c r="AR8" s="108"/>
      <c r="AS8" s="108"/>
      <c r="AT8" s="108"/>
      <c r="AU8" s="108"/>
      <c r="AV8" s="108"/>
      <c r="AW8" s="108"/>
      <c r="AX8" s="108"/>
      <c r="AY8" s="108"/>
      <c r="AZ8" s="108"/>
      <c r="BA8" s="108"/>
      <c r="BB8" s="108"/>
      <c r="BC8" s="108"/>
      <c r="BD8" s="108"/>
      <c r="BE8" s="108"/>
      <c r="BF8" s="108"/>
      <c r="BG8" s="108"/>
      <c r="BH8" s="108"/>
      <c r="BI8" s="108"/>
      <c r="BJ8" s="108"/>
      <c r="BK8" s="108"/>
      <c r="BL8" s="108"/>
      <c r="BM8" s="108"/>
      <c r="BN8" s="108"/>
      <c r="BO8" s="108"/>
      <c r="BP8" s="108"/>
      <c r="BQ8" s="108"/>
      <c r="BR8" s="108"/>
      <c r="BS8" s="108"/>
      <c r="BT8" s="108"/>
      <c r="BU8" s="108"/>
      <c r="BV8" s="108"/>
      <c r="BW8" s="108"/>
      <c r="BX8" s="108"/>
      <c r="BY8" s="108"/>
      <c r="BZ8" s="108"/>
      <c r="CA8" s="108"/>
      <c r="CB8" s="108"/>
      <c r="CC8" s="108"/>
      <c r="CD8" s="108"/>
      <c r="CE8" s="108"/>
      <c r="CF8" s="108"/>
      <c r="CG8" s="108"/>
      <c r="CH8" s="108"/>
      <c r="CI8" s="108"/>
      <c r="CJ8" s="108"/>
      <c r="CK8" s="108"/>
      <c r="CL8" s="108"/>
      <c r="CM8" s="108"/>
      <c r="CN8" s="108"/>
      <c r="CO8" s="108"/>
      <c r="CP8" s="108"/>
      <c r="CQ8" s="108"/>
      <c r="CR8" s="108"/>
      <c r="CS8" s="108"/>
      <c r="CT8" s="108"/>
      <c r="CU8" s="108"/>
      <c r="CV8" s="108"/>
      <c r="CW8" s="108"/>
      <c r="CX8" s="108"/>
      <c r="CY8" s="108"/>
      <c r="CZ8" s="108"/>
      <c r="DA8" s="108"/>
      <c r="DB8" s="108"/>
      <c r="DC8" s="108"/>
      <c r="DD8" s="108"/>
      <c r="DE8" s="108"/>
      <c r="DF8" s="108"/>
      <c r="DG8" s="108"/>
      <c r="DH8" s="108"/>
    </row>
    <row r="9" spans="1:112" ht="20.100000000000001" customHeight="1">
      <c r="B9" s="117" t="s">
        <v>109</v>
      </c>
      <c r="C9" s="118">
        <f>(Calculations!B1188/1000000)/Calculations!B9</f>
        <v>0.28135809126335204</v>
      </c>
      <c r="D9" s="119" t="s">
        <v>94</v>
      </c>
      <c r="F9" s="107"/>
      <c r="I9" s="113"/>
      <c r="J9" s="113"/>
      <c r="K9" s="113"/>
      <c r="L9" s="114"/>
      <c r="M9" s="114"/>
      <c r="N9" s="114"/>
      <c r="O9" s="115"/>
      <c r="P9" s="114"/>
      <c r="Q9" s="114"/>
      <c r="R9" s="114"/>
      <c r="S9" s="116"/>
      <c r="T9" s="114"/>
      <c r="U9" s="114"/>
      <c r="V9" s="120"/>
      <c r="W9" s="114"/>
      <c r="X9" s="114"/>
      <c r="Y9" s="114"/>
      <c r="Z9" s="114"/>
      <c r="AA9" s="116"/>
      <c r="AB9" s="114"/>
      <c r="AC9" s="114"/>
      <c r="AF9" s="105"/>
      <c r="AN9" s="108"/>
      <c r="AO9" s="108"/>
      <c r="AP9" s="108"/>
      <c r="AQ9" s="108"/>
      <c r="AR9" s="108"/>
      <c r="AS9" s="108"/>
      <c r="AT9" s="108"/>
      <c r="AU9" s="108"/>
      <c r="AV9" s="108"/>
      <c r="AW9" s="108"/>
      <c r="AX9" s="108"/>
      <c r="AY9" s="108"/>
      <c r="AZ9" s="108"/>
      <c r="BA9" s="108"/>
      <c r="BB9" s="108"/>
      <c r="BC9" s="108"/>
      <c r="BD9" s="108"/>
      <c r="BE9" s="108"/>
      <c r="BF9" s="108"/>
      <c r="BG9" s="108"/>
      <c r="BH9" s="108"/>
      <c r="BI9" s="108"/>
      <c r="BJ9" s="108"/>
      <c r="BK9" s="108"/>
      <c r="BL9" s="108"/>
      <c r="BM9" s="108"/>
      <c r="BN9" s="108"/>
      <c r="BO9" s="108"/>
      <c r="BP9" s="108"/>
      <c r="BQ9" s="108"/>
      <c r="BR9" s="108"/>
      <c r="BS9" s="108"/>
      <c r="BT9" s="108"/>
      <c r="BU9" s="108"/>
      <c r="BV9" s="108"/>
      <c r="BW9" s="108"/>
      <c r="BX9" s="108"/>
      <c r="BY9" s="108"/>
      <c r="BZ9" s="108"/>
      <c r="CA9" s="108"/>
      <c r="CB9" s="108"/>
      <c r="CC9" s="108"/>
      <c r="CD9" s="108"/>
      <c r="CE9" s="108"/>
      <c r="CF9" s="108"/>
      <c r="CG9" s="108"/>
      <c r="CH9" s="108"/>
      <c r="CI9" s="108"/>
      <c r="CJ9" s="108"/>
      <c r="CK9" s="108"/>
      <c r="CL9" s="108"/>
      <c r="CM9" s="108"/>
      <c r="CN9" s="108"/>
      <c r="CO9" s="108"/>
      <c r="CP9" s="108"/>
      <c r="CQ9" s="108"/>
      <c r="CR9" s="108"/>
      <c r="CS9" s="108"/>
      <c r="CT9" s="108"/>
      <c r="CU9" s="108"/>
      <c r="CV9" s="108"/>
      <c r="CW9" s="108"/>
      <c r="CX9" s="108"/>
      <c r="CY9" s="108"/>
      <c r="CZ9" s="108"/>
      <c r="DA9" s="108"/>
      <c r="DB9" s="108"/>
      <c r="DC9" s="108"/>
      <c r="DD9" s="108"/>
      <c r="DE9" s="108"/>
      <c r="DF9" s="108"/>
      <c r="DG9" s="108"/>
      <c r="DH9" s="108"/>
    </row>
    <row r="10" spans="1:112" ht="20.100000000000001" customHeight="1">
      <c r="B10" s="121" t="s">
        <v>110</v>
      </c>
      <c r="C10" s="121"/>
      <c r="D10" s="110"/>
      <c r="F10" s="107"/>
      <c r="I10" s="113"/>
      <c r="J10" s="113"/>
      <c r="K10" s="113"/>
      <c r="L10" s="114"/>
      <c r="M10" s="114"/>
      <c r="N10" s="114"/>
      <c r="O10" s="115"/>
      <c r="P10" s="114"/>
      <c r="Q10" s="114"/>
      <c r="R10" s="114"/>
      <c r="S10" s="116"/>
      <c r="T10" s="114"/>
      <c r="U10" s="114"/>
      <c r="V10" s="120"/>
      <c r="W10" s="114"/>
      <c r="X10" s="114"/>
      <c r="Y10" s="114"/>
      <c r="Z10" s="114"/>
      <c r="AA10" s="116"/>
      <c r="AB10" s="114"/>
      <c r="AC10" s="114"/>
      <c r="AD10" s="105"/>
      <c r="AE10" s="105"/>
      <c r="AF10" s="105"/>
      <c r="AN10" s="108"/>
      <c r="AO10" s="108"/>
      <c r="AP10" s="108"/>
      <c r="AQ10" s="108"/>
      <c r="AR10" s="108"/>
      <c r="AS10" s="108"/>
      <c r="AT10" s="108"/>
      <c r="AU10" s="108"/>
      <c r="AV10" s="108"/>
      <c r="AW10" s="108"/>
      <c r="AX10" s="108"/>
      <c r="AY10" s="108"/>
      <c r="AZ10" s="108"/>
      <c r="BA10" s="108"/>
      <c r="BB10" s="108"/>
      <c r="BC10" s="108"/>
      <c r="BD10" s="108"/>
      <c r="BE10" s="108"/>
      <c r="BF10" s="108"/>
      <c r="BG10" s="108"/>
      <c r="BH10" s="108"/>
      <c r="BI10" s="108"/>
      <c r="BJ10" s="108"/>
      <c r="BK10" s="108"/>
      <c r="BL10" s="108"/>
      <c r="BM10" s="108"/>
      <c r="BN10" s="108"/>
      <c r="BO10" s="108"/>
      <c r="BP10" s="108"/>
      <c r="BQ10" s="108"/>
      <c r="BR10" s="108"/>
      <c r="BS10" s="108"/>
      <c r="BT10" s="108"/>
      <c r="BU10" s="108"/>
      <c r="BV10" s="108"/>
      <c r="BW10" s="108"/>
      <c r="BX10" s="108"/>
      <c r="BY10" s="108"/>
      <c r="BZ10" s="108"/>
      <c r="CA10" s="108"/>
      <c r="CB10" s="108"/>
      <c r="CC10" s="108"/>
      <c r="CD10" s="108"/>
      <c r="CE10" s="108"/>
      <c r="CF10" s="108"/>
      <c r="CG10" s="108"/>
      <c r="CH10" s="108"/>
      <c r="CI10" s="108"/>
      <c r="CJ10" s="108"/>
      <c r="CK10" s="108"/>
      <c r="CL10" s="108"/>
      <c r="CM10" s="108"/>
      <c r="CN10" s="108"/>
      <c r="CO10" s="108"/>
      <c r="CP10" s="108"/>
      <c r="CQ10" s="108"/>
      <c r="CR10" s="108"/>
      <c r="CS10" s="108"/>
      <c r="CT10" s="108"/>
      <c r="CU10" s="108"/>
      <c r="CV10" s="108"/>
      <c r="CW10" s="108"/>
      <c r="CX10" s="108"/>
      <c r="CY10" s="108"/>
      <c r="CZ10" s="108"/>
      <c r="DA10" s="108"/>
      <c r="DB10" s="108"/>
      <c r="DC10" s="108"/>
      <c r="DD10" s="108"/>
      <c r="DE10" s="108"/>
      <c r="DF10" s="108"/>
      <c r="DG10" s="108"/>
      <c r="DH10" s="108"/>
    </row>
    <row r="11" spans="1:112" ht="20.100000000000001" customHeight="1">
      <c r="B11" s="107" t="s">
        <v>111</v>
      </c>
      <c r="C11" s="122">
        <f>A159</f>
        <v>33998523.960136287</v>
      </c>
      <c r="D11" s="110"/>
      <c r="F11" s="107"/>
      <c r="I11" s="113"/>
      <c r="J11" s="113"/>
      <c r="K11" s="113"/>
      <c r="L11" s="114"/>
      <c r="M11" s="114"/>
      <c r="N11" s="114"/>
      <c r="O11" s="115"/>
      <c r="P11" s="114"/>
      <c r="Q11" s="114"/>
      <c r="R11" s="114"/>
      <c r="S11" s="116"/>
      <c r="T11" s="114"/>
      <c r="U11" s="114"/>
      <c r="V11" s="120"/>
      <c r="W11" s="114"/>
      <c r="X11" s="114"/>
      <c r="Y11" s="114"/>
      <c r="Z11" s="114"/>
      <c r="AA11" s="116"/>
      <c r="AB11" s="114"/>
      <c r="AC11" s="114"/>
      <c r="AD11" s="105"/>
      <c r="AE11" s="105"/>
      <c r="AF11" s="105"/>
      <c r="AN11" s="108"/>
      <c r="AO11" s="108"/>
      <c r="AP11" s="108"/>
      <c r="AQ11" s="108"/>
      <c r="AR11" s="108"/>
      <c r="AS11" s="108"/>
      <c r="AT11" s="108"/>
      <c r="AU11" s="108"/>
      <c r="AV11" s="108"/>
      <c r="AW11" s="108"/>
      <c r="AX11" s="108"/>
      <c r="AY11" s="108"/>
      <c r="AZ11" s="108"/>
      <c r="BA11" s="108"/>
      <c r="BB11" s="108"/>
      <c r="BC11" s="108"/>
      <c r="BD11" s="108"/>
      <c r="BE11" s="108"/>
      <c r="BF11" s="108"/>
      <c r="BG11" s="108"/>
      <c r="BH11" s="108"/>
      <c r="BI11" s="108"/>
      <c r="BJ11" s="108"/>
      <c r="BK11" s="108"/>
      <c r="BL11" s="108"/>
      <c r="BM11" s="108"/>
      <c r="BN11" s="108"/>
      <c r="BO11" s="108"/>
      <c r="BP11" s="108"/>
      <c r="BQ11" s="108"/>
      <c r="BR11" s="108"/>
      <c r="BS11" s="108"/>
      <c r="BT11" s="108"/>
      <c r="BU11" s="108"/>
      <c r="BV11" s="108"/>
      <c r="BW11" s="108"/>
      <c r="BX11" s="108"/>
      <c r="BY11" s="108"/>
      <c r="BZ11" s="108"/>
      <c r="CA11" s="108"/>
      <c r="CB11" s="108"/>
      <c r="CC11" s="108"/>
      <c r="CD11" s="108"/>
      <c r="CE11" s="108"/>
      <c r="CF11" s="108"/>
      <c r="CG11" s="108"/>
      <c r="CH11" s="108"/>
      <c r="CI11" s="108"/>
      <c r="CJ11" s="108"/>
      <c r="CK11" s="108"/>
      <c r="CL11" s="108"/>
      <c r="CM11" s="108"/>
      <c r="CN11" s="108"/>
      <c r="CO11" s="108"/>
      <c r="CP11" s="108"/>
      <c r="CQ11" s="108"/>
      <c r="CR11" s="108"/>
      <c r="CS11" s="108"/>
      <c r="CT11" s="108"/>
      <c r="CU11" s="108"/>
      <c r="CV11" s="108"/>
      <c r="CW11" s="108"/>
      <c r="CX11" s="108"/>
      <c r="CY11" s="108"/>
      <c r="CZ11" s="108"/>
      <c r="DA11" s="108"/>
      <c r="DB11" s="108"/>
      <c r="DC11" s="108"/>
      <c r="DD11" s="108"/>
      <c r="DE11" s="108"/>
      <c r="DF11" s="108"/>
      <c r="DG11" s="108"/>
      <c r="DH11" s="108"/>
    </row>
    <row r="12" spans="1:112" ht="20.100000000000001" customHeight="1">
      <c r="B12" s="107" t="s">
        <v>112</v>
      </c>
      <c r="C12" s="97">
        <f>IF(C11&lt;0.1,0,IRR(C157:Y157))</f>
        <v>9.8000369670503407E-2</v>
      </c>
      <c r="F12" s="107"/>
      <c r="I12" s="113"/>
      <c r="J12" s="113"/>
      <c r="K12" s="113"/>
      <c r="L12" s="114"/>
      <c r="M12" s="114"/>
      <c r="N12" s="114"/>
      <c r="O12" s="115"/>
      <c r="P12" s="114"/>
      <c r="Q12" s="114"/>
      <c r="R12" s="114"/>
      <c r="S12" s="116"/>
      <c r="T12" s="114"/>
      <c r="U12" s="114"/>
      <c r="V12" s="120"/>
      <c r="W12" s="114"/>
      <c r="X12" s="114"/>
      <c r="Y12" s="114"/>
      <c r="Z12" s="114"/>
      <c r="AA12" s="116"/>
      <c r="AB12" s="114"/>
      <c r="AC12" s="114"/>
      <c r="AD12" s="105"/>
      <c r="AE12" s="105"/>
      <c r="AF12" s="105"/>
      <c r="AN12" s="108"/>
      <c r="AO12" s="108"/>
      <c r="AP12" s="108"/>
      <c r="AQ12" s="108"/>
      <c r="AR12" s="108"/>
      <c r="AS12" s="108"/>
      <c r="AT12" s="108"/>
      <c r="AU12" s="108"/>
      <c r="AV12" s="108"/>
      <c r="AW12" s="108"/>
      <c r="AX12" s="108"/>
      <c r="AY12" s="108"/>
      <c r="AZ12" s="108"/>
      <c r="BA12" s="108"/>
      <c r="BB12" s="108"/>
      <c r="BC12" s="108"/>
      <c r="BD12" s="108"/>
      <c r="BE12" s="108"/>
      <c r="BF12" s="108"/>
      <c r="BG12" s="108"/>
      <c r="BH12" s="108"/>
      <c r="BI12" s="108"/>
      <c r="BJ12" s="108"/>
      <c r="BK12" s="108"/>
      <c r="BL12" s="108"/>
      <c r="BM12" s="108"/>
      <c r="BN12" s="108"/>
      <c r="BO12" s="108"/>
      <c r="BP12" s="108"/>
      <c r="BQ12" s="108"/>
      <c r="BR12" s="108"/>
      <c r="BS12" s="108"/>
      <c r="BT12" s="108"/>
      <c r="BU12" s="108"/>
      <c r="BV12" s="108"/>
      <c r="BW12" s="108"/>
      <c r="BX12" s="108"/>
      <c r="BY12" s="108"/>
      <c r="BZ12" s="108"/>
      <c r="CA12" s="108"/>
      <c r="CB12" s="108"/>
      <c r="CC12" s="108"/>
      <c r="CD12" s="108"/>
      <c r="CE12" s="108"/>
      <c r="CF12" s="108"/>
      <c r="CG12" s="108"/>
      <c r="CH12" s="108"/>
      <c r="CI12" s="108"/>
      <c r="CJ12" s="108"/>
      <c r="CK12" s="108"/>
      <c r="CL12" s="108"/>
      <c r="CM12" s="108"/>
      <c r="CN12" s="108"/>
      <c r="CO12" s="108"/>
      <c r="CP12" s="108"/>
      <c r="CQ12" s="108"/>
      <c r="CR12" s="108"/>
      <c r="CS12" s="108"/>
      <c r="CT12" s="108"/>
      <c r="CU12" s="108"/>
      <c r="CV12" s="108"/>
      <c r="CW12" s="108"/>
      <c r="CX12" s="108"/>
      <c r="CY12" s="108"/>
      <c r="CZ12" s="108"/>
      <c r="DA12" s="108"/>
      <c r="DB12" s="108"/>
      <c r="DC12" s="108"/>
      <c r="DD12" s="108"/>
      <c r="DE12" s="108"/>
      <c r="DF12" s="108"/>
      <c r="DG12" s="108"/>
      <c r="DH12" s="108"/>
    </row>
    <row r="13" spans="1:112" ht="20.100000000000001" customHeight="1">
      <c r="B13" s="107" t="s">
        <v>178</v>
      </c>
      <c r="C13" s="231">
        <f>IF('User Interface'!$B$24=Options!$L$5,'User Interface'!$B$25,Calculations!$C$172)</f>
        <v>9.8000000000000004E-2</v>
      </c>
      <c r="F13" s="107"/>
      <c r="I13" s="113"/>
      <c r="J13" s="113"/>
      <c r="K13" s="113"/>
      <c r="L13" s="114"/>
      <c r="M13" s="114"/>
      <c r="N13" s="114"/>
      <c r="O13" s="115"/>
      <c r="P13" s="114"/>
      <c r="Q13" s="114"/>
      <c r="R13" s="114"/>
      <c r="S13" s="116"/>
      <c r="T13" s="114"/>
      <c r="U13" s="114"/>
      <c r="V13" s="120"/>
      <c r="W13" s="114"/>
      <c r="X13" s="114"/>
      <c r="Y13" s="114"/>
      <c r="Z13" s="114"/>
      <c r="AA13" s="116"/>
      <c r="AB13" s="114"/>
      <c r="AC13" s="114"/>
      <c r="AD13" s="105"/>
      <c r="AE13" s="105"/>
      <c r="AF13" s="105"/>
      <c r="AN13" s="108"/>
      <c r="AO13" s="108"/>
      <c r="AP13" s="108"/>
      <c r="AQ13" s="108"/>
      <c r="AR13" s="108"/>
      <c r="AS13" s="108"/>
      <c r="AT13" s="108"/>
      <c r="AU13" s="108"/>
      <c r="AV13" s="108"/>
      <c r="AW13" s="108"/>
      <c r="AX13" s="108"/>
      <c r="AY13" s="108"/>
      <c r="AZ13" s="108"/>
      <c r="BA13" s="108"/>
      <c r="BB13" s="108"/>
      <c r="BC13" s="108"/>
      <c r="BD13" s="108"/>
      <c r="BE13" s="108"/>
      <c r="BF13" s="108"/>
      <c r="BG13" s="108"/>
      <c r="BH13" s="108"/>
      <c r="BI13" s="108"/>
      <c r="BJ13" s="108"/>
      <c r="BK13" s="108"/>
      <c r="BL13" s="108"/>
      <c r="BM13" s="108"/>
      <c r="BN13" s="108"/>
      <c r="BO13" s="108"/>
      <c r="BP13" s="108"/>
      <c r="BQ13" s="108"/>
      <c r="BR13" s="108"/>
      <c r="BS13" s="108"/>
      <c r="BT13" s="108"/>
      <c r="BU13" s="108"/>
      <c r="BV13" s="108"/>
      <c r="BW13" s="108"/>
      <c r="BX13" s="108"/>
      <c r="BY13" s="108"/>
      <c r="BZ13" s="108"/>
      <c r="CA13" s="108"/>
      <c r="CB13" s="108"/>
      <c r="CC13" s="108"/>
      <c r="CD13" s="108"/>
      <c r="CE13" s="108"/>
      <c r="CF13" s="108"/>
      <c r="CG13" s="108"/>
      <c r="CH13" s="108"/>
      <c r="CI13" s="108"/>
      <c r="CJ13" s="108"/>
      <c r="CK13" s="108"/>
      <c r="CL13" s="108"/>
      <c r="CM13" s="108"/>
      <c r="CN13" s="108"/>
      <c r="CO13" s="108"/>
      <c r="CP13" s="108"/>
      <c r="CQ13" s="108"/>
      <c r="CR13" s="108"/>
      <c r="CS13" s="108"/>
      <c r="CT13" s="108"/>
      <c r="CU13" s="108"/>
      <c r="CV13" s="108"/>
      <c r="CW13" s="108"/>
      <c r="CX13" s="108"/>
      <c r="CY13" s="108"/>
      <c r="CZ13" s="108"/>
      <c r="DA13" s="108"/>
      <c r="DB13" s="108"/>
      <c r="DC13" s="108"/>
      <c r="DD13" s="108"/>
      <c r="DE13" s="108"/>
      <c r="DF13" s="108"/>
      <c r="DG13" s="108"/>
      <c r="DH13" s="108"/>
    </row>
    <row r="14" spans="1:112" ht="20.100000000000001" customHeight="1">
      <c r="B14" s="107" t="s">
        <v>1022</v>
      </c>
      <c r="C14" s="97">
        <f>(IRR-Target)</f>
        <v>3.6967050340286356E-7</v>
      </c>
      <c r="F14" s="107"/>
      <c r="I14" s="113"/>
      <c r="J14" s="113"/>
      <c r="K14" s="113"/>
      <c r="L14" s="114"/>
      <c r="M14" s="114"/>
      <c r="N14" s="114"/>
      <c r="O14" s="115"/>
      <c r="P14" s="114"/>
      <c r="Q14" s="114"/>
      <c r="R14" s="114"/>
      <c r="S14" s="116"/>
      <c r="T14" s="114"/>
      <c r="U14" s="114"/>
      <c r="V14" s="120"/>
      <c r="W14" s="114"/>
      <c r="X14" s="114"/>
      <c r="Y14" s="114"/>
      <c r="Z14" s="114"/>
      <c r="AA14" s="116"/>
      <c r="AB14" s="114"/>
      <c r="AC14" s="114"/>
      <c r="AD14" s="105"/>
      <c r="AE14" s="105"/>
      <c r="AF14" s="105"/>
      <c r="AN14" s="108"/>
      <c r="AO14" s="108"/>
      <c r="AP14" s="108"/>
      <c r="AQ14" s="108"/>
      <c r="AR14" s="108"/>
      <c r="AS14" s="108"/>
      <c r="AT14" s="108"/>
      <c r="AU14" s="108"/>
      <c r="AV14" s="108"/>
      <c r="AW14" s="108"/>
      <c r="AX14" s="108"/>
      <c r="AY14" s="108"/>
      <c r="AZ14" s="108"/>
      <c r="BA14" s="108"/>
      <c r="BB14" s="108"/>
      <c r="BC14" s="108"/>
      <c r="BD14" s="108"/>
      <c r="BE14" s="108"/>
      <c r="BF14" s="108"/>
      <c r="BG14" s="108"/>
      <c r="BH14" s="108"/>
      <c r="BI14" s="108"/>
      <c r="BJ14" s="108"/>
      <c r="BK14" s="108"/>
      <c r="BL14" s="108"/>
      <c r="BM14" s="108"/>
      <c r="BN14" s="108"/>
      <c r="BO14" s="108"/>
      <c r="BP14" s="108"/>
      <c r="BQ14" s="108"/>
      <c r="BR14" s="108"/>
      <c r="BS14" s="108"/>
      <c r="BT14" s="108"/>
      <c r="BU14" s="108"/>
      <c r="BV14" s="108"/>
      <c r="BW14" s="108"/>
      <c r="BX14" s="108"/>
      <c r="BY14" s="108"/>
      <c r="BZ14" s="108"/>
      <c r="CA14" s="108"/>
      <c r="CB14" s="108"/>
      <c r="CC14" s="108"/>
      <c r="CD14" s="108"/>
      <c r="CE14" s="108"/>
      <c r="CF14" s="108"/>
      <c r="CG14" s="108"/>
      <c r="CH14" s="108"/>
      <c r="CI14" s="108"/>
      <c r="CJ14" s="108"/>
      <c r="CK14" s="108"/>
      <c r="CL14" s="108"/>
      <c r="CM14" s="108"/>
      <c r="CN14" s="108"/>
      <c r="CO14" s="108"/>
      <c r="CP14" s="108"/>
      <c r="CQ14" s="108"/>
      <c r="CR14" s="108"/>
      <c r="CS14" s="108"/>
      <c r="CT14" s="108"/>
      <c r="CU14" s="108"/>
      <c r="CV14" s="108"/>
      <c r="CW14" s="108"/>
      <c r="CX14" s="108"/>
      <c r="CY14" s="108"/>
      <c r="CZ14" s="108"/>
      <c r="DA14" s="108"/>
      <c r="DB14" s="108"/>
      <c r="DC14" s="108"/>
      <c r="DD14" s="108"/>
      <c r="DE14" s="108"/>
      <c r="DF14" s="108"/>
      <c r="DG14" s="108"/>
      <c r="DH14" s="108"/>
    </row>
    <row r="15" spans="1:112" ht="20.100000000000001" customHeight="1">
      <c r="C15" s="97"/>
      <c r="F15" s="107"/>
      <c r="I15" s="113"/>
      <c r="J15" s="113"/>
      <c r="K15" s="113"/>
      <c r="L15" s="114"/>
      <c r="M15" s="114"/>
      <c r="N15" s="114"/>
      <c r="O15" s="115"/>
      <c r="P15" s="114"/>
      <c r="Q15" s="114"/>
      <c r="R15" s="114"/>
      <c r="S15" s="116"/>
      <c r="T15" s="114"/>
      <c r="U15" s="114"/>
      <c r="V15" s="120"/>
      <c r="W15" s="114"/>
      <c r="X15" s="114"/>
      <c r="Y15" s="114"/>
      <c r="Z15" s="114"/>
      <c r="AA15" s="116"/>
      <c r="AB15" s="114"/>
      <c r="AC15" s="114"/>
      <c r="AD15" s="105"/>
      <c r="AE15" s="105"/>
      <c r="AF15" s="105"/>
      <c r="AN15" s="108"/>
      <c r="AO15" s="108"/>
      <c r="AP15" s="108"/>
      <c r="AQ15" s="108"/>
      <c r="AR15" s="108"/>
      <c r="AS15" s="108"/>
      <c r="AT15" s="108"/>
      <c r="AU15" s="108"/>
      <c r="AV15" s="108"/>
      <c r="AW15" s="108"/>
      <c r="AX15" s="108"/>
      <c r="AY15" s="108"/>
      <c r="AZ15" s="108"/>
      <c r="BA15" s="108"/>
      <c r="BB15" s="108"/>
      <c r="BC15" s="108"/>
      <c r="BD15" s="108"/>
      <c r="BE15" s="108"/>
      <c r="BF15" s="108"/>
      <c r="BG15" s="108"/>
      <c r="BH15" s="108"/>
      <c r="BI15" s="108"/>
      <c r="BJ15" s="108"/>
      <c r="BK15" s="108"/>
      <c r="BL15" s="108"/>
      <c r="BM15" s="108"/>
      <c r="BN15" s="108"/>
      <c r="BO15" s="108"/>
      <c r="BP15" s="108"/>
      <c r="BQ15" s="108"/>
      <c r="BR15" s="108"/>
      <c r="BS15" s="108"/>
      <c r="BT15" s="108"/>
      <c r="BU15" s="108"/>
      <c r="BV15" s="108"/>
      <c r="BW15" s="108"/>
      <c r="BX15" s="108"/>
      <c r="BY15" s="108"/>
      <c r="BZ15" s="108"/>
      <c r="CA15" s="108"/>
      <c r="CB15" s="108"/>
      <c r="CC15" s="108"/>
      <c r="CD15" s="108"/>
      <c r="CE15" s="108"/>
      <c r="CF15" s="108"/>
      <c r="CG15" s="108"/>
      <c r="CH15" s="108"/>
      <c r="CI15" s="108"/>
      <c r="CJ15" s="108"/>
      <c r="CK15" s="108"/>
      <c r="CL15" s="108"/>
      <c r="CM15" s="108"/>
      <c r="CN15" s="108"/>
      <c r="CO15" s="108"/>
      <c r="CP15" s="108"/>
      <c r="CQ15" s="108"/>
      <c r="CR15" s="108"/>
      <c r="CS15" s="108"/>
      <c r="CT15" s="108"/>
      <c r="CU15" s="108"/>
      <c r="CV15" s="108"/>
      <c r="CW15" s="108"/>
      <c r="CX15" s="108"/>
      <c r="CY15" s="108"/>
      <c r="CZ15" s="108"/>
      <c r="DA15" s="108"/>
      <c r="DB15" s="108"/>
      <c r="DC15" s="108"/>
      <c r="DD15" s="108"/>
      <c r="DE15" s="108"/>
      <c r="DF15" s="108"/>
      <c r="DG15" s="108"/>
      <c r="DH15" s="108"/>
    </row>
    <row r="16" spans="1:112" s="99" customFormat="1">
      <c r="A16" s="98" t="s">
        <v>1074</v>
      </c>
      <c r="F16" s="100"/>
      <c r="G16" s="100"/>
      <c r="H16" s="100"/>
      <c r="I16" s="100"/>
      <c r="J16" s="100"/>
      <c r="K16" s="100"/>
      <c r="L16" s="100"/>
      <c r="M16" s="100"/>
      <c r="N16" s="100"/>
      <c r="O16" s="100"/>
      <c r="P16" s="100"/>
      <c r="Q16" s="100"/>
      <c r="R16" s="100"/>
      <c r="S16" s="100"/>
      <c r="T16" s="100"/>
      <c r="U16" s="100"/>
      <c r="V16" s="100"/>
      <c r="W16" s="101"/>
      <c r="X16" s="100"/>
      <c r="Y16" s="100"/>
      <c r="Z16" s="100"/>
      <c r="AA16" s="102"/>
      <c r="AB16" s="102"/>
      <c r="AC16" s="102"/>
      <c r="AD16" s="102"/>
      <c r="AE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02"/>
      <c r="BO16" s="102"/>
      <c r="BP16" s="102"/>
      <c r="BQ16" s="102"/>
      <c r="BR16" s="102"/>
      <c r="BS16" s="102"/>
      <c r="BT16" s="102"/>
      <c r="BU16" s="102"/>
      <c r="BV16" s="102"/>
      <c r="BW16" s="102"/>
      <c r="BX16" s="102"/>
      <c r="BY16" s="102"/>
      <c r="BZ16" s="102"/>
      <c r="CA16" s="102"/>
      <c r="CB16" s="102"/>
      <c r="CC16" s="102"/>
      <c r="CD16" s="102"/>
      <c r="CE16" s="102"/>
      <c r="CF16" s="102"/>
      <c r="CG16" s="102"/>
      <c r="CH16" s="102"/>
      <c r="CI16" s="102"/>
      <c r="CJ16" s="102"/>
      <c r="CK16" s="102"/>
      <c r="CL16" s="102"/>
      <c r="CM16" s="102"/>
      <c r="CN16" s="102"/>
      <c r="CO16" s="102"/>
      <c r="CP16" s="102"/>
      <c r="CQ16" s="102"/>
      <c r="CR16" s="102"/>
      <c r="CS16" s="102"/>
      <c r="CT16" s="102"/>
      <c r="CU16" s="102"/>
      <c r="CV16" s="102"/>
      <c r="CW16" s="102"/>
      <c r="CX16" s="102"/>
      <c r="CY16" s="102"/>
      <c r="CZ16" s="102"/>
      <c r="DA16" s="102"/>
    </row>
    <row r="17" spans="1:112" ht="20.100000000000001" customHeight="1">
      <c r="B17" s="105" t="s">
        <v>121</v>
      </c>
      <c r="C17" s="222">
        <v>0.45</v>
      </c>
      <c r="D17" s="107" t="s">
        <v>1078</v>
      </c>
      <c r="F17" s="107"/>
      <c r="I17" s="113"/>
      <c r="J17" s="113"/>
      <c r="K17" s="113"/>
      <c r="L17" s="114"/>
      <c r="M17" s="114"/>
      <c r="N17" s="114"/>
      <c r="O17" s="115"/>
      <c r="P17" s="114"/>
      <c r="Q17" s="114"/>
      <c r="R17" s="114"/>
      <c r="S17" s="116"/>
      <c r="T17" s="114"/>
      <c r="U17" s="114"/>
      <c r="V17" s="120"/>
      <c r="W17" s="114"/>
      <c r="X17" s="114"/>
      <c r="Y17" s="114"/>
      <c r="Z17" s="114"/>
      <c r="AA17" s="116"/>
      <c r="AB17" s="114"/>
      <c r="AC17" s="114"/>
      <c r="AD17" s="105"/>
      <c r="AE17" s="105"/>
      <c r="AF17" s="105"/>
      <c r="AN17" s="108"/>
      <c r="AO17" s="108"/>
      <c r="AP17" s="108"/>
      <c r="AQ17" s="108"/>
      <c r="AR17" s="108"/>
      <c r="AS17" s="108"/>
      <c r="AT17" s="108"/>
      <c r="AU17" s="108"/>
      <c r="AV17" s="108"/>
      <c r="AW17" s="108"/>
      <c r="AX17" s="108"/>
      <c r="AY17" s="108"/>
      <c r="AZ17" s="108"/>
      <c r="BA17" s="108"/>
      <c r="BB17" s="108"/>
      <c r="BC17" s="108"/>
      <c r="BD17" s="108"/>
      <c r="BE17" s="108"/>
      <c r="BF17" s="108"/>
      <c r="BG17" s="108"/>
      <c r="BH17" s="108"/>
      <c r="BI17" s="108"/>
      <c r="BJ17" s="108"/>
      <c r="BK17" s="108"/>
      <c r="BL17" s="108"/>
      <c r="BM17" s="108"/>
      <c r="BN17" s="108"/>
      <c r="BO17" s="108"/>
      <c r="BP17" s="108"/>
      <c r="BQ17" s="108"/>
      <c r="BR17" s="108"/>
      <c r="BS17" s="108"/>
      <c r="BT17" s="108"/>
      <c r="BU17" s="108"/>
      <c r="BV17" s="108"/>
      <c r="BW17" s="108"/>
      <c r="BX17" s="108"/>
      <c r="BY17" s="108"/>
      <c r="BZ17" s="108"/>
      <c r="CA17" s="108"/>
      <c r="CB17" s="108"/>
      <c r="CC17" s="108"/>
      <c r="CD17" s="108"/>
      <c r="CE17" s="108"/>
      <c r="CF17" s="108"/>
      <c r="CG17" s="108"/>
      <c r="CH17" s="108"/>
      <c r="CI17" s="108"/>
      <c r="CJ17" s="108"/>
      <c r="CK17" s="108"/>
      <c r="CL17" s="108"/>
      <c r="CM17" s="108"/>
      <c r="CN17" s="108"/>
      <c r="CO17" s="108"/>
      <c r="CP17" s="108"/>
      <c r="CQ17" s="108"/>
      <c r="CR17" s="108"/>
      <c r="CS17" s="108"/>
      <c r="CT17" s="108"/>
      <c r="CU17" s="108"/>
      <c r="CV17" s="108"/>
      <c r="CW17" s="108"/>
      <c r="CX17" s="108"/>
      <c r="CY17" s="108"/>
      <c r="CZ17" s="108"/>
      <c r="DA17" s="108"/>
      <c r="DB17" s="108"/>
      <c r="DC17" s="108"/>
      <c r="DD17" s="108"/>
      <c r="DE17" s="108"/>
      <c r="DF17" s="108"/>
      <c r="DG17" s="108"/>
      <c r="DH17" s="108"/>
    </row>
    <row r="18" spans="1:112" ht="20.100000000000001" customHeight="1">
      <c r="B18" s="105" t="s">
        <v>122</v>
      </c>
      <c r="C18" s="97">
        <v>0.1077</v>
      </c>
      <c r="D18" s="107" t="s">
        <v>1077</v>
      </c>
      <c r="F18" s="107"/>
      <c r="I18" s="113"/>
      <c r="J18" s="113"/>
      <c r="K18" s="113"/>
      <c r="L18" s="114"/>
      <c r="M18" s="114"/>
      <c r="N18" s="114"/>
      <c r="O18" s="115"/>
      <c r="P18" s="114"/>
      <c r="Q18" s="114"/>
      <c r="R18" s="114"/>
      <c r="S18" s="116"/>
      <c r="T18" s="114"/>
      <c r="U18" s="114"/>
      <c r="V18" s="120"/>
      <c r="W18" s="114"/>
      <c r="X18" s="114"/>
      <c r="Y18" s="114"/>
      <c r="Z18" s="114"/>
      <c r="AA18" s="116"/>
      <c r="AB18" s="114"/>
      <c r="AC18" s="114"/>
      <c r="AD18" s="105"/>
      <c r="AE18" s="105"/>
      <c r="AF18" s="105"/>
      <c r="AN18" s="108"/>
      <c r="AO18" s="108"/>
      <c r="AP18" s="108"/>
      <c r="AQ18" s="108"/>
      <c r="AR18" s="108"/>
      <c r="AS18" s="108"/>
      <c r="AT18" s="108"/>
      <c r="AU18" s="108"/>
      <c r="AV18" s="108"/>
      <c r="AW18" s="108"/>
      <c r="AX18" s="108"/>
      <c r="AY18" s="108"/>
      <c r="AZ18" s="108"/>
      <c r="BA18" s="108"/>
      <c r="BB18" s="108"/>
      <c r="BC18" s="108"/>
      <c r="BD18" s="108"/>
      <c r="BE18" s="108"/>
      <c r="BF18" s="108"/>
      <c r="BG18" s="108"/>
      <c r="BH18" s="108"/>
      <c r="BI18" s="108"/>
      <c r="BJ18" s="108"/>
      <c r="BK18" s="108"/>
      <c r="BL18" s="108"/>
      <c r="BM18" s="108"/>
      <c r="BN18" s="108"/>
      <c r="BO18" s="108"/>
      <c r="BP18" s="108"/>
      <c r="BQ18" s="108"/>
      <c r="BR18" s="108"/>
      <c r="BS18" s="108"/>
      <c r="BT18" s="108"/>
      <c r="BU18" s="108"/>
      <c r="BV18" s="108"/>
      <c r="BW18" s="108"/>
      <c r="BX18" s="108"/>
      <c r="BY18" s="108"/>
      <c r="BZ18" s="108"/>
      <c r="CA18" s="108"/>
      <c r="CB18" s="108"/>
      <c r="CC18" s="108"/>
      <c r="CD18" s="108"/>
      <c r="CE18" s="108"/>
      <c r="CF18" s="108"/>
      <c r="CG18" s="108"/>
      <c r="CH18" s="108"/>
      <c r="CI18" s="108"/>
      <c r="CJ18" s="108"/>
      <c r="CK18" s="108"/>
      <c r="CL18" s="108"/>
      <c r="CM18" s="108"/>
      <c r="CN18" s="108"/>
      <c r="CO18" s="108"/>
      <c r="CP18" s="108"/>
      <c r="CQ18" s="108"/>
      <c r="CR18" s="108"/>
      <c r="CS18" s="108"/>
      <c r="CT18" s="108"/>
      <c r="CU18" s="108"/>
      <c r="CV18" s="108"/>
      <c r="CW18" s="108"/>
      <c r="CX18" s="108"/>
      <c r="CY18" s="108"/>
      <c r="CZ18" s="108"/>
      <c r="DA18" s="108"/>
      <c r="DB18" s="108"/>
      <c r="DC18" s="108"/>
      <c r="DD18" s="108"/>
      <c r="DE18" s="108"/>
      <c r="DF18" s="108"/>
      <c r="DG18" s="108"/>
      <c r="DH18" s="108"/>
    </row>
    <row r="19" spans="1:112" ht="20.100000000000001" customHeight="1">
      <c r="B19" s="105" t="s">
        <v>124</v>
      </c>
      <c r="C19" s="97">
        <v>3.9100000000000003E-2</v>
      </c>
      <c r="D19" s="107" t="s">
        <v>1077</v>
      </c>
      <c r="F19" s="107"/>
      <c r="I19" s="113"/>
      <c r="J19" s="113"/>
      <c r="K19" s="113"/>
      <c r="L19" s="114"/>
      <c r="M19" s="114"/>
      <c r="N19" s="114"/>
      <c r="O19" s="115"/>
      <c r="P19" s="114"/>
      <c r="Q19" s="114"/>
      <c r="R19" s="114"/>
      <c r="S19" s="116"/>
      <c r="T19" s="114"/>
      <c r="U19" s="114"/>
      <c r="V19" s="120"/>
      <c r="W19" s="114"/>
      <c r="X19" s="114"/>
      <c r="Y19" s="114"/>
      <c r="Z19" s="114"/>
      <c r="AA19" s="116"/>
      <c r="AB19" s="114"/>
      <c r="AC19" s="114"/>
      <c r="AD19" s="105"/>
      <c r="AE19" s="105"/>
      <c r="AF19" s="105"/>
      <c r="AN19" s="108"/>
      <c r="AO19" s="108"/>
      <c r="AP19" s="108"/>
      <c r="AQ19" s="108"/>
      <c r="AR19" s="108"/>
      <c r="AS19" s="108"/>
      <c r="AT19" s="108"/>
      <c r="AU19" s="108"/>
      <c r="AV19" s="108"/>
      <c r="AW19" s="108"/>
      <c r="AX19" s="108"/>
      <c r="AY19" s="108"/>
      <c r="AZ19" s="108"/>
      <c r="BA19" s="108"/>
      <c r="BB19" s="108"/>
      <c r="BC19" s="108"/>
      <c r="BD19" s="108"/>
      <c r="BE19" s="108"/>
      <c r="BF19" s="108"/>
      <c r="BG19" s="108"/>
      <c r="BH19" s="108"/>
      <c r="BI19" s="108"/>
      <c r="BJ19" s="108"/>
      <c r="BK19" s="108"/>
      <c r="BL19" s="108"/>
      <c r="BM19" s="108"/>
      <c r="BN19" s="108"/>
      <c r="BO19" s="108"/>
      <c r="BP19" s="108"/>
      <c r="BQ19" s="108"/>
      <c r="BR19" s="108"/>
      <c r="BS19" s="108"/>
      <c r="BT19" s="108"/>
      <c r="BU19" s="108"/>
      <c r="BV19" s="108"/>
      <c r="BW19" s="108"/>
      <c r="BX19" s="108"/>
      <c r="BY19" s="108"/>
      <c r="BZ19" s="108"/>
      <c r="CA19" s="108"/>
      <c r="CB19" s="108"/>
      <c r="CC19" s="108"/>
      <c r="CD19" s="108"/>
      <c r="CE19" s="108"/>
      <c r="CF19" s="108"/>
      <c r="CG19" s="108"/>
      <c r="CH19" s="108"/>
      <c r="CI19" s="108"/>
      <c r="CJ19" s="108"/>
      <c r="CK19" s="108"/>
      <c r="CL19" s="108"/>
      <c r="CM19" s="108"/>
      <c r="CN19" s="108"/>
      <c r="CO19" s="108"/>
      <c r="CP19" s="108"/>
      <c r="CQ19" s="108"/>
      <c r="CR19" s="108"/>
      <c r="CS19" s="108"/>
      <c r="CT19" s="108"/>
      <c r="CU19" s="108"/>
      <c r="CV19" s="108"/>
      <c r="CW19" s="108"/>
      <c r="CX19" s="108"/>
      <c r="CY19" s="108"/>
      <c r="CZ19" s="108"/>
      <c r="DA19" s="108"/>
      <c r="DB19" s="108"/>
      <c r="DC19" s="108"/>
      <c r="DD19" s="108"/>
      <c r="DE19" s="108"/>
      <c r="DF19" s="108"/>
      <c r="DG19" s="108"/>
      <c r="DH19" s="108"/>
    </row>
    <row r="20" spans="1:112" ht="20.100000000000001" customHeight="1">
      <c r="B20" s="105" t="s">
        <v>1075</v>
      </c>
      <c r="C20" s="97">
        <v>0.21</v>
      </c>
      <c r="D20" s="107" t="s">
        <v>1077</v>
      </c>
      <c r="F20" s="107"/>
      <c r="I20" s="113"/>
      <c r="J20" s="113"/>
      <c r="K20" s="113"/>
      <c r="L20" s="114"/>
      <c r="M20" s="114"/>
      <c r="N20" s="114"/>
      <c r="O20" s="115"/>
      <c r="P20" s="114"/>
      <c r="Q20" s="114"/>
      <c r="R20" s="114"/>
      <c r="S20" s="116"/>
      <c r="T20" s="114"/>
      <c r="U20" s="114"/>
      <c r="V20" s="120"/>
      <c r="W20" s="114"/>
      <c r="X20" s="114"/>
      <c r="Y20" s="114"/>
      <c r="Z20" s="114"/>
      <c r="AA20" s="116"/>
      <c r="AB20" s="114"/>
      <c r="AC20" s="114"/>
      <c r="AD20" s="105"/>
      <c r="AE20" s="105"/>
      <c r="AF20" s="105"/>
      <c r="AN20" s="108"/>
      <c r="AO20" s="108"/>
      <c r="AP20" s="108"/>
      <c r="AQ20" s="108"/>
      <c r="AR20" s="108"/>
      <c r="AS20" s="108"/>
      <c r="AT20" s="108"/>
      <c r="AU20" s="108"/>
      <c r="AV20" s="108"/>
      <c r="AW20" s="108"/>
      <c r="AX20" s="108"/>
      <c r="AY20" s="108"/>
      <c r="AZ20" s="108"/>
      <c r="BA20" s="108"/>
      <c r="BB20" s="108"/>
      <c r="BC20" s="108"/>
      <c r="BD20" s="108"/>
      <c r="BE20" s="108"/>
      <c r="BF20" s="108"/>
      <c r="BG20" s="108"/>
      <c r="BH20" s="108"/>
      <c r="BI20" s="108"/>
      <c r="BJ20" s="108"/>
      <c r="BK20" s="108"/>
      <c r="BL20" s="108"/>
      <c r="BM20" s="108"/>
      <c r="BN20" s="108"/>
      <c r="BO20" s="108"/>
      <c r="BP20" s="108"/>
      <c r="BQ20" s="108"/>
      <c r="BR20" s="108"/>
      <c r="BS20" s="108"/>
      <c r="BT20" s="108"/>
      <c r="BU20" s="108"/>
      <c r="BV20" s="108"/>
      <c r="BW20" s="108"/>
      <c r="BX20" s="108"/>
      <c r="BY20" s="108"/>
      <c r="BZ20" s="108"/>
      <c r="CA20" s="108"/>
      <c r="CB20" s="108"/>
      <c r="CC20" s="108"/>
      <c r="CD20" s="108"/>
      <c r="CE20" s="108"/>
      <c r="CF20" s="108"/>
      <c r="CG20" s="108"/>
      <c r="CH20" s="108"/>
      <c r="CI20" s="108"/>
      <c r="CJ20" s="108"/>
      <c r="CK20" s="108"/>
      <c r="CL20" s="108"/>
      <c r="CM20" s="108"/>
      <c r="CN20" s="108"/>
      <c r="CO20" s="108"/>
      <c r="CP20" s="108"/>
      <c r="CQ20" s="108"/>
      <c r="CR20" s="108"/>
      <c r="CS20" s="108"/>
      <c r="CT20" s="108"/>
      <c r="CU20" s="108"/>
      <c r="CV20" s="108"/>
      <c r="CW20" s="108"/>
      <c r="CX20" s="108"/>
      <c r="CY20" s="108"/>
      <c r="CZ20" s="108"/>
      <c r="DA20" s="108"/>
      <c r="DB20" s="108"/>
      <c r="DC20" s="108"/>
      <c r="DD20" s="108"/>
      <c r="DE20" s="108"/>
      <c r="DF20" s="108"/>
      <c r="DG20" s="108"/>
      <c r="DH20" s="108"/>
    </row>
    <row r="21" spans="1:112" ht="20.100000000000001" customHeight="1">
      <c r="B21" s="105" t="s">
        <v>1076</v>
      </c>
      <c r="C21" s="223">
        <v>10</v>
      </c>
      <c r="D21" s="107" t="s">
        <v>9</v>
      </c>
      <c r="F21" s="107"/>
      <c r="I21" s="113"/>
      <c r="J21" s="113"/>
      <c r="K21" s="113"/>
      <c r="L21" s="114"/>
      <c r="M21" s="114"/>
      <c r="N21" s="114"/>
      <c r="O21" s="115"/>
      <c r="P21" s="114"/>
      <c r="Q21" s="114"/>
      <c r="R21" s="114"/>
      <c r="S21" s="116"/>
      <c r="T21" s="114"/>
      <c r="U21" s="114"/>
      <c r="V21" s="120"/>
      <c r="W21" s="114"/>
      <c r="X21" s="114"/>
      <c r="Y21" s="114"/>
      <c r="Z21" s="114"/>
      <c r="AA21" s="116"/>
      <c r="AB21" s="114"/>
      <c r="AC21" s="114"/>
      <c r="AD21" s="105"/>
      <c r="AE21" s="105"/>
      <c r="AF21" s="105"/>
      <c r="AN21" s="108"/>
      <c r="AO21" s="108"/>
      <c r="AP21" s="108"/>
      <c r="AQ21" s="108"/>
      <c r="AR21" s="108"/>
      <c r="AS21" s="108"/>
      <c r="AT21" s="108"/>
      <c r="AU21" s="108"/>
      <c r="AV21" s="108"/>
      <c r="AW21" s="108"/>
      <c r="AX21" s="108"/>
      <c r="AY21" s="108"/>
      <c r="AZ21" s="108"/>
      <c r="BA21" s="108"/>
      <c r="BB21" s="108"/>
      <c r="BC21" s="108"/>
      <c r="BD21" s="108"/>
      <c r="BE21" s="108"/>
      <c r="BF21" s="108"/>
      <c r="BG21" s="108"/>
      <c r="BH21" s="108"/>
      <c r="BI21" s="108"/>
      <c r="BJ21" s="108"/>
      <c r="BK21" s="108"/>
      <c r="BL21" s="108"/>
      <c r="BM21" s="108"/>
      <c r="BN21" s="108"/>
      <c r="BO21" s="108"/>
      <c r="BP21" s="108"/>
      <c r="BQ21" s="108"/>
      <c r="BR21" s="108"/>
      <c r="BS21" s="108"/>
      <c r="BT21" s="108"/>
      <c r="BU21" s="108"/>
      <c r="BV21" s="108"/>
      <c r="BW21" s="108"/>
      <c r="BX21" s="108"/>
      <c r="BY21" s="108"/>
      <c r="BZ21" s="108"/>
      <c r="CA21" s="108"/>
      <c r="CB21" s="108"/>
      <c r="CC21" s="108"/>
      <c r="CD21" s="108"/>
      <c r="CE21" s="108"/>
      <c r="CF21" s="108"/>
      <c r="CG21" s="108"/>
      <c r="CH21" s="108"/>
      <c r="CI21" s="108"/>
      <c r="CJ21" s="108"/>
      <c r="CK21" s="108"/>
      <c r="CL21" s="108"/>
      <c r="CM21" s="108"/>
      <c r="CN21" s="108"/>
      <c r="CO21" s="108"/>
      <c r="CP21" s="108"/>
      <c r="CQ21" s="108"/>
      <c r="CR21" s="108"/>
      <c r="CS21" s="108"/>
      <c r="CT21" s="108"/>
      <c r="CU21" s="108"/>
      <c r="CV21" s="108"/>
      <c r="CW21" s="108"/>
      <c r="CX21" s="108"/>
      <c r="CY21" s="108"/>
      <c r="CZ21" s="108"/>
      <c r="DA21" s="108"/>
      <c r="DB21" s="108"/>
      <c r="DC21" s="108"/>
      <c r="DD21" s="108"/>
      <c r="DE21" s="108"/>
      <c r="DF21" s="108"/>
      <c r="DG21" s="108"/>
      <c r="DH21" s="108"/>
    </row>
    <row r="22" spans="1:112" ht="20.100000000000001" customHeight="1">
      <c r="C22" s="123"/>
      <c r="D22" s="123"/>
      <c r="E22" s="123"/>
      <c r="F22" s="123"/>
      <c r="O22" s="115"/>
      <c r="P22" s="114"/>
      <c r="Q22" s="114"/>
      <c r="R22" s="114"/>
      <c r="S22" s="116"/>
      <c r="T22" s="114"/>
      <c r="U22" s="114"/>
      <c r="W22" s="114"/>
      <c r="X22" s="114"/>
      <c r="Y22" s="114"/>
      <c r="Z22" s="114"/>
      <c r="AA22" s="116"/>
      <c r="AB22" s="114"/>
      <c r="AC22" s="114"/>
      <c r="AD22" s="108"/>
      <c r="AE22" s="108"/>
      <c r="AF22" s="108"/>
      <c r="AN22" s="108"/>
      <c r="AO22" s="108"/>
      <c r="AP22" s="108"/>
      <c r="AQ22" s="108"/>
      <c r="AR22" s="108"/>
      <c r="AS22" s="108"/>
      <c r="AT22" s="108"/>
      <c r="AU22" s="108"/>
      <c r="AV22" s="108"/>
      <c r="AW22" s="108"/>
      <c r="AX22" s="108"/>
      <c r="AY22" s="108"/>
      <c r="AZ22" s="108"/>
      <c r="BA22" s="108"/>
      <c r="BB22" s="108"/>
      <c r="BC22" s="108"/>
      <c r="BD22" s="108"/>
      <c r="BE22" s="108"/>
      <c r="BF22" s="108"/>
      <c r="BG22" s="108"/>
      <c r="BH22" s="108"/>
      <c r="BI22" s="108"/>
      <c r="BJ22" s="108"/>
      <c r="BK22" s="108"/>
      <c r="BL22" s="108"/>
      <c r="BM22" s="108"/>
      <c r="BN22" s="108"/>
      <c r="BO22" s="108"/>
      <c r="BP22" s="108"/>
      <c r="BQ22" s="108"/>
      <c r="BR22" s="108"/>
      <c r="BS22" s="108"/>
      <c r="BT22" s="108"/>
      <c r="BU22" s="108"/>
      <c r="BV22" s="108"/>
      <c r="BW22" s="108"/>
      <c r="BX22" s="108"/>
      <c r="BY22" s="108"/>
      <c r="BZ22" s="108"/>
      <c r="CA22" s="108"/>
      <c r="CB22" s="108"/>
      <c r="CC22" s="108"/>
      <c r="CD22" s="108"/>
      <c r="CE22" s="108"/>
      <c r="CF22" s="108"/>
      <c r="CG22" s="108"/>
      <c r="CH22" s="108"/>
      <c r="CI22" s="108"/>
      <c r="CJ22" s="108"/>
      <c r="CK22" s="108"/>
      <c r="CL22" s="108"/>
      <c r="CM22" s="108"/>
      <c r="CN22" s="108"/>
      <c r="CO22" s="108"/>
      <c r="CP22" s="108"/>
      <c r="CQ22" s="108"/>
      <c r="CR22" s="108"/>
      <c r="CS22" s="108"/>
      <c r="CT22" s="108"/>
      <c r="CU22" s="108"/>
      <c r="CV22" s="108"/>
      <c r="CW22" s="108"/>
      <c r="CX22" s="108"/>
      <c r="CY22" s="108"/>
    </row>
    <row r="23" spans="1:112" s="99" customFormat="1" ht="20.100000000000001" customHeight="1">
      <c r="A23" s="98" t="s">
        <v>116</v>
      </c>
      <c r="B23" s="124"/>
      <c r="F23" s="100"/>
      <c r="G23" s="100"/>
      <c r="H23" s="100"/>
      <c r="I23" s="100"/>
      <c r="J23" s="100"/>
      <c r="K23" s="100"/>
      <c r="L23" s="100"/>
      <c r="M23" s="100"/>
      <c r="N23" s="100"/>
      <c r="O23" s="125"/>
      <c r="P23" s="126"/>
      <c r="Q23" s="126"/>
      <c r="R23" s="126"/>
      <c r="S23" s="124"/>
      <c r="T23" s="126"/>
      <c r="U23" s="126"/>
      <c r="V23" s="100"/>
      <c r="W23" s="126"/>
      <c r="X23" s="126"/>
      <c r="Y23" s="126"/>
      <c r="Z23" s="126"/>
      <c r="AA23" s="124"/>
      <c r="AB23" s="126"/>
      <c r="AC23" s="126"/>
    </row>
    <row r="24" spans="1:112" ht="20.100000000000001" customHeight="1">
      <c r="B24" s="121" t="s">
        <v>117</v>
      </c>
      <c r="C24" s="121" t="s">
        <v>70</v>
      </c>
      <c r="D24" s="121" t="s">
        <v>118</v>
      </c>
      <c r="E24" s="121" t="s">
        <v>119</v>
      </c>
      <c r="O24" s="115"/>
      <c r="P24" s="114"/>
      <c r="Q24" s="114"/>
      <c r="R24" s="114"/>
      <c r="S24" s="116"/>
      <c r="T24" s="114"/>
      <c r="U24" s="114"/>
      <c r="W24" s="114"/>
      <c r="X24" s="114"/>
      <c r="Y24" s="114"/>
      <c r="Z24" s="114"/>
      <c r="AA24" s="116"/>
      <c r="AB24" s="114"/>
      <c r="AC24" s="114"/>
    </row>
    <row r="25" spans="1:112" ht="20.100000000000001" customHeight="1">
      <c r="B25" s="121" t="s">
        <v>120</v>
      </c>
      <c r="C25" s="121"/>
      <c r="D25" s="121"/>
      <c r="E25" s="121"/>
      <c r="O25" s="115"/>
      <c r="P25" s="114"/>
      <c r="Q25" s="114"/>
      <c r="R25" s="114"/>
      <c r="S25" s="116"/>
      <c r="T25" s="114"/>
      <c r="U25" s="114"/>
      <c r="W25" s="114"/>
      <c r="X25" s="114"/>
      <c r="Y25" s="114"/>
      <c r="Z25" s="114"/>
      <c r="AA25" s="116"/>
      <c r="AB25" s="114"/>
      <c r="AC25" s="114"/>
    </row>
    <row r="26" spans="1:112" ht="20.100000000000001" customHeight="1">
      <c r="B26" s="105" t="s">
        <v>121</v>
      </c>
      <c r="C26" s="221">
        <f>IF('User Interface'!$B$24=Options!$L$4,C17,'User Interface'!B27)</f>
        <v>0.45</v>
      </c>
      <c r="E26" s="105"/>
      <c r="O26" s="115"/>
      <c r="P26" s="114"/>
      <c r="Q26" s="114"/>
      <c r="R26" s="114"/>
      <c r="S26" s="116"/>
      <c r="T26" s="114"/>
      <c r="U26" s="114"/>
      <c r="W26" s="114"/>
      <c r="X26" s="114"/>
      <c r="Y26" s="114"/>
      <c r="Z26" s="114"/>
      <c r="AA26" s="116"/>
      <c r="AB26" s="114"/>
      <c r="AC26" s="114"/>
    </row>
    <row r="27" spans="1:112" ht="20.100000000000001" customHeight="1">
      <c r="B27" s="105" t="s">
        <v>122</v>
      </c>
      <c r="C27" s="221">
        <f>IF('User Interface'!$B$24=Options!$L$4,C18,'User Interface'!B28)</f>
        <v>0.1077</v>
      </c>
      <c r="D27" s="105" t="s">
        <v>123</v>
      </c>
      <c r="E27" s="105"/>
      <c r="M27" s="127"/>
      <c r="O27" s="115"/>
      <c r="P27" s="114"/>
      <c r="Q27" s="114"/>
      <c r="R27" s="114"/>
      <c r="S27" s="116"/>
      <c r="T27" s="114"/>
      <c r="U27" s="114"/>
      <c r="W27" s="114"/>
      <c r="X27" s="114"/>
      <c r="Y27" s="114"/>
      <c r="Z27" s="114"/>
      <c r="AA27" s="116"/>
      <c r="AB27" s="114"/>
      <c r="AC27" s="114"/>
    </row>
    <row r="28" spans="1:112" ht="20.100000000000001" customHeight="1">
      <c r="B28" s="105" t="s">
        <v>124</v>
      </c>
      <c r="C28" s="221">
        <f>IF('User Interface'!$B$24=Options!$L$4,C19,'User Interface'!B29)</f>
        <v>3.9100000000000003E-2</v>
      </c>
      <c r="D28" s="105" t="s">
        <v>123</v>
      </c>
      <c r="E28" s="105"/>
      <c r="J28" s="128"/>
      <c r="O28" s="115"/>
      <c r="P28" s="114"/>
      <c r="Q28" s="114"/>
      <c r="R28" s="114"/>
      <c r="S28" s="116"/>
      <c r="T28" s="114"/>
      <c r="U28" s="114"/>
      <c r="W28" s="114"/>
      <c r="X28" s="114"/>
      <c r="Y28" s="114"/>
      <c r="Z28" s="114"/>
      <c r="AA28" s="116"/>
      <c r="AB28" s="114"/>
      <c r="AC28" s="114"/>
    </row>
    <row r="29" spans="1:112" ht="20.100000000000001" customHeight="1">
      <c r="B29" s="105" t="s">
        <v>125</v>
      </c>
      <c r="C29" s="221">
        <f>C20+Calculations!D242</f>
        <v>0.28249999999999997</v>
      </c>
      <c r="D29" s="105" t="s">
        <v>123</v>
      </c>
      <c r="E29" s="105"/>
      <c r="J29" s="128"/>
      <c r="O29" s="115"/>
      <c r="P29" s="114"/>
      <c r="Q29" s="114"/>
      <c r="R29" s="114"/>
      <c r="S29" s="116"/>
      <c r="T29" s="114"/>
      <c r="U29" s="114"/>
      <c r="W29" s="114"/>
      <c r="X29" s="114"/>
      <c r="Y29" s="114"/>
      <c r="Z29" s="114"/>
      <c r="AA29" s="116"/>
      <c r="AB29" s="114"/>
      <c r="AC29" s="114"/>
    </row>
    <row r="30" spans="1:112" ht="20.100000000000001" customHeight="1">
      <c r="A30" s="105"/>
      <c r="B30" s="105" t="s">
        <v>126</v>
      </c>
      <c r="C30" s="232">
        <f>IF('User Interface'!$B$24=Options!$L$4,Calculations!$D$172,'User Interface'!$B$30)</f>
        <v>0.11360635933286745</v>
      </c>
      <c r="D30" s="105"/>
      <c r="E30" s="105"/>
      <c r="O30" s="115"/>
      <c r="P30" s="114"/>
      <c r="Q30" s="114"/>
      <c r="R30" s="114"/>
      <c r="S30" s="116"/>
      <c r="T30" s="114"/>
      <c r="U30" s="114"/>
      <c r="W30" s="114"/>
      <c r="X30" s="114"/>
      <c r="Y30" s="114"/>
      <c r="Z30" s="114"/>
      <c r="AA30" s="116"/>
      <c r="AB30" s="114"/>
      <c r="AC30" s="114"/>
    </row>
    <row r="31" spans="1:112" ht="20.100000000000001" customHeight="1">
      <c r="A31" s="105"/>
      <c r="B31" s="105" t="s">
        <v>127</v>
      </c>
      <c r="C31" s="129">
        <f>IF('User Interface'!$B$24=Options!$L$4,C21,'User Interface'!B26)</f>
        <v>10</v>
      </c>
      <c r="D31" s="107" t="s">
        <v>9</v>
      </c>
      <c r="E31" s="105"/>
      <c r="O31" s="115"/>
      <c r="P31" s="114"/>
      <c r="Q31" s="114"/>
      <c r="R31" s="114"/>
      <c r="S31" s="116"/>
      <c r="T31" s="114"/>
      <c r="U31" s="114"/>
      <c r="W31" s="114"/>
      <c r="X31" s="114"/>
      <c r="Y31" s="114"/>
      <c r="Z31" s="114"/>
      <c r="AA31" s="116"/>
      <c r="AB31" s="114"/>
      <c r="AC31" s="114"/>
    </row>
    <row r="32" spans="1:112" ht="20.100000000000001" customHeight="1">
      <c r="A32" s="105"/>
      <c r="B32" s="119"/>
      <c r="C32" s="130">
        <f>1/C31</f>
        <v>0.1</v>
      </c>
      <c r="D32" s="105"/>
      <c r="E32" s="105"/>
      <c r="O32" s="115"/>
      <c r="P32" s="114"/>
      <c r="Q32" s="114"/>
      <c r="R32" s="114"/>
      <c r="S32" s="116"/>
      <c r="T32" s="114"/>
      <c r="U32" s="114"/>
      <c r="W32" s="114"/>
      <c r="X32" s="114"/>
      <c r="Y32" s="114"/>
      <c r="Z32" s="114"/>
      <c r="AA32" s="116"/>
      <c r="AB32" s="114"/>
      <c r="AC32" s="114"/>
    </row>
    <row r="33" spans="1:112" ht="20.100000000000001" customHeight="1">
      <c r="A33" s="105"/>
      <c r="B33" s="105"/>
      <c r="C33" s="131"/>
      <c r="D33" s="105"/>
      <c r="E33" s="105"/>
      <c r="O33" s="115"/>
      <c r="P33" s="114"/>
      <c r="Q33" s="114"/>
      <c r="R33" s="114"/>
      <c r="S33" s="116"/>
      <c r="T33" s="114"/>
      <c r="U33" s="114"/>
      <c r="W33" s="114"/>
      <c r="X33" s="114"/>
      <c r="Y33" s="114"/>
      <c r="Z33" s="114"/>
      <c r="AA33" s="116"/>
      <c r="AB33" s="114"/>
      <c r="AC33" s="114"/>
    </row>
    <row r="34" spans="1:112" ht="20.100000000000001" customHeight="1">
      <c r="A34" s="105"/>
      <c r="B34" s="105" t="s">
        <v>128</v>
      </c>
      <c r="C34" s="132">
        <f>C28*(1-C29)</f>
        <v>2.8054250000000003E-2</v>
      </c>
      <c r="D34" s="105" t="s">
        <v>123</v>
      </c>
      <c r="E34" s="105"/>
      <c r="O34" s="115"/>
      <c r="P34" s="114"/>
      <c r="R34" s="122"/>
      <c r="S34" s="107"/>
      <c r="T34" s="114"/>
      <c r="U34" s="114"/>
      <c r="W34" s="114"/>
      <c r="X34" s="114"/>
      <c r="Y34" s="114"/>
      <c r="Z34" s="114"/>
      <c r="AA34" s="116"/>
      <c r="AB34" s="114"/>
      <c r="AC34" s="114"/>
      <c r="AH34" s="105"/>
      <c r="AI34" s="105"/>
      <c r="AJ34" s="105"/>
      <c r="AK34" s="105"/>
      <c r="AL34" s="105"/>
      <c r="AM34" s="105"/>
    </row>
    <row r="35" spans="1:112" ht="20.100000000000001" customHeight="1">
      <c r="A35" s="105"/>
      <c r="B35" s="105" t="s">
        <v>129</v>
      </c>
      <c r="C35" s="130">
        <f>C26*C27+(1-C26)*C34</f>
        <v>6.389483750000001E-2</v>
      </c>
      <c r="D35" s="105" t="s">
        <v>123</v>
      </c>
      <c r="E35" s="105"/>
      <c r="O35" s="107"/>
      <c r="P35" s="107"/>
      <c r="Q35" s="133"/>
      <c r="R35" s="134"/>
      <c r="S35" s="114"/>
      <c r="T35" s="107"/>
      <c r="U35" s="107"/>
      <c r="W35" s="107"/>
      <c r="AH35" s="105"/>
      <c r="AI35" s="105"/>
      <c r="AJ35" s="105"/>
      <c r="AK35" s="105"/>
      <c r="AL35" s="105"/>
      <c r="AM35" s="105"/>
    </row>
    <row r="36" spans="1:112" ht="20.100000000000001" customHeight="1">
      <c r="A36" s="105"/>
      <c r="B36" s="105"/>
      <c r="C36" s="105"/>
      <c r="D36" s="105"/>
      <c r="E36" s="105"/>
      <c r="O36" s="107"/>
      <c r="P36" s="107"/>
      <c r="R36" s="134"/>
      <c r="T36" s="107"/>
      <c r="U36" s="107"/>
      <c r="W36" s="107"/>
    </row>
    <row r="37" spans="1:112" ht="20.100000000000001" customHeight="1">
      <c r="A37" s="105"/>
      <c r="B37" s="105" t="s">
        <v>130</v>
      </c>
      <c r="C37" s="135">
        <f>'User Interface'!B23</f>
        <v>2024</v>
      </c>
      <c r="D37" s="105"/>
      <c r="E37" s="105"/>
      <c r="N37" s="115"/>
      <c r="O37" s="114"/>
      <c r="P37" s="114"/>
      <c r="R37" s="134"/>
      <c r="S37" s="114"/>
      <c r="T37" s="114"/>
      <c r="V37" s="114"/>
      <c r="W37" s="114"/>
      <c r="X37" s="114"/>
      <c r="Y37" s="114"/>
      <c r="Z37" s="116"/>
      <c r="AA37" s="114"/>
      <c r="AB37" s="114"/>
    </row>
    <row r="38" spans="1:112" ht="20.100000000000001" customHeight="1">
      <c r="B38" s="105" t="s">
        <v>131</v>
      </c>
      <c r="C38" s="105">
        <f>C37</f>
        <v>2024</v>
      </c>
      <c r="D38" s="105" t="s">
        <v>69</v>
      </c>
      <c r="E38" s="105"/>
      <c r="R38" s="134"/>
      <c r="T38" s="133"/>
    </row>
    <row r="39" spans="1:112" ht="20.100000000000001" customHeight="1">
      <c r="B39" s="105" t="s">
        <v>132</v>
      </c>
      <c r="C39" s="136">
        <f>'User Interface'!B22</f>
        <v>1</v>
      </c>
      <c r="D39" s="105" t="s">
        <v>133</v>
      </c>
      <c r="E39" s="105"/>
    </row>
    <row r="40" spans="1:112" ht="20.100000000000001" customHeight="1">
      <c r="B40" s="105" t="s">
        <v>134</v>
      </c>
      <c r="C40" s="135">
        <f>'User Interface'!B21</f>
        <v>30</v>
      </c>
      <c r="D40" s="105" t="s">
        <v>133</v>
      </c>
      <c r="E40" s="105"/>
      <c r="G40" s="137"/>
      <c r="R40" s="138"/>
    </row>
    <row r="41" spans="1:112" ht="20.100000000000001" customHeight="1">
      <c r="B41" s="105" t="s">
        <v>135</v>
      </c>
      <c r="C41" s="139">
        <f>C39+1</f>
        <v>2</v>
      </c>
      <c r="D41" s="105" t="s">
        <v>136</v>
      </c>
      <c r="E41" s="105"/>
      <c r="R41" s="134"/>
    </row>
    <row r="42" spans="1:112" ht="20.100000000000001" customHeight="1">
      <c r="B42" s="105" t="s">
        <v>137</v>
      </c>
      <c r="C42" s="140">
        <f>C39+C40</f>
        <v>31</v>
      </c>
      <c r="D42" s="105" t="s">
        <v>136</v>
      </c>
      <c r="E42" s="105"/>
    </row>
    <row r="43" spans="1:112" s="105" customFormat="1" ht="20.100000000000001" customHeight="1">
      <c r="A43" s="107"/>
      <c r="B43" s="105" t="s">
        <v>138</v>
      </c>
      <c r="C43" s="140">
        <f>C41+C31</f>
        <v>12</v>
      </c>
      <c r="D43" s="105" t="s">
        <v>136</v>
      </c>
      <c r="X43" s="107"/>
      <c r="Y43" s="107"/>
      <c r="Z43" s="107"/>
      <c r="AA43" s="107"/>
      <c r="AB43" s="107"/>
      <c r="AC43" s="107"/>
      <c r="AD43" s="107"/>
      <c r="AE43" s="107"/>
      <c r="AF43" s="107"/>
      <c r="AG43" s="107"/>
      <c r="AH43" s="107"/>
      <c r="AI43" s="107"/>
      <c r="AJ43" s="107"/>
      <c r="AK43" s="107"/>
      <c r="AL43" s="107"/>
      <c r="AM43" s="107"/>
      <c r="AN43" s="107"/>
      <c r="AO43" s="107"/>
      <c r="AP43" s="107"/>
      <c r="AQ43" s="107"/>
      <c r="AR43" s="107"/>
      <c r="AS43" s="107"/>
      <c r="AT43" s="107"/>
      <c r="AU43" s="107"/>
      <c r="AV43" s="107"/>
      <c r="AW43" s="107"/>
      <c r="AX43" s="107"/>
      <c r="AY43" s="107"/>
      <c r="AZ43" s="107"/>
      <c r="BA43" s="107"/>
      <c r="BB43" s="107"/>
      <c r="BC43" s="107"/>
      <c r="BD43" s="107"/>
      <c r="BE43" s="107"/>
      <c r="BF43" s="107"/>
      <c r="BG43" s="107"/>
      <c r="BH43" s="107"/>
      <c r="BI43" s="107"/>
      <c r="BJ43" s="107"/>
      <c r="BK43" s="107"/>
      <c r="BL43" s="107"/>
      <c r="BM43" s="107"/>
      <c r="BN43" s="107"/>
      <c r="BO43" s="107"/>
      <c r="BP43" s="107"/>
      <c r="BQ43" s="107"/>
      <c r="BR43" s="107"/>
      <c r="BS43" s="107"/>
      <c r="BT43" s="107"/>
      <c r="BU43" s="107"/>
      <c r="BV43" s="107"/>
      <c r="BW43" s="107"/>
      <c r="BX43" s="107"/>
      <c r="BY43" s="107"/>
      <c r="BZ43" s="107"/>
      <c r="CA43" s="107"/>
      <c r="CB43" s="107"/>
      <c r="CC43" s="107"/>
      <c r="CD43" s="107"/>
      <c r="CE43" s="107"/>
      <c r="CF43" s="107"/>
      <c r="CG43" s="107"/>
      <c r="CH43" s="107"/>
      <c r="CI43" s="107"/>
      <c r="CJ43" s="107"/>
      <c r="CK43" s="107"/>
      <c r="CL43" s="107"/>
      <c r="CM43" s="107"/>
      <c r="CN43" s="107"/>
      <c r="CO43" s="107"/>
      <c r="CP43" s="107"/>
      <c r="CQ43" s="107"/>
      <c r="CR43" s="107"/>
      <c r="CS43" s="107"/>
      <c r="CT43" s="107"/>
      <c r="CU43" s="107"/>
      <c r="CV43" s="107"/>
      <c r="CW43" s="107"/>
      <c r="CX43" s="107"/>
      <c r="CY43" s="107"/>
      <c r="CZ43" s="107"/>
      <c r="DA43" s="107"/>
      <c r="DB43" s="107"/>
      <c r="DC43" s="107"/>
      <c r="DD43" s="107"/>
      <c r="DE43" s="107"/>
      <c r="DF43" s="107"/>
      <c r="DG43" s="107"/>
      <c r="DH43" s="107"/>
    </row>
    <row r="44" spans="1:112" s="105" customFormat="1" ht="20.100000000000001" customHeight="1">
      <c r="A44" s="107"/>
      <c r="B44" s="105" t="s">
        <v>139</v>
      </c>
      <c r="C44" s="139">
        <f>C42</f>
        <v>31</v>
      </c>
      <c r="D44" s="105" t="s">
        <v>136</v>
      </c>
      <c r="Q44" s="134"/>
      <c r="R44" s="134"/>
      <c r="T44" s="133"/>
      <c r="X44" s="107"/>
      <c r="Y44" s="107"/>
      <c r="Z44" s="107"/>
      <c r="AA44" s="107"/>
      <c r="AB44" s="107"/>
      <c r="AC44" s="107"/>
      <c r="AD44" s="107"/>
      <c r="AE44" s="107"/>
      <c r="AF44" s="107"/>
      <c r="AG44" s="107"/>
      <c r="AH44" s="107"/>
      <c r="AI44" s="107"/>
      <c r="AJ44" s="107"/>
      <c r="AK44" s="107"/>
      <c r="AL44" s="107"/>
      <c r="AM44" s="107"/>
      <c r="AN44" s="107"/>
      <c r="AO44" s="107"/>
      <c r="AP44" s="107"/>
      <c r="AQ44" s="107"/>
      <c r="AR44" s="107"/>
      <c r="AS44" s="107"/>
      <c r="AT44" s="107"/>
      <c r="AU44" s="107"/>
      <c r="AV44" s="107"/>
      <c r="AW44" s="107"/>
      <c r="AX44" s="107"/>
      <c r="AY44" s="107"/>
      <c r="AZ44" s="107"/>
      <c r="BA44" s="107"/>
      <c r="BB44" s="107"/>
      <c r="BC44" s="107"/>
      <c r="BD44" s="107"/>
      <c r="BE44" s="107"/>
      <c r="BF44" s="107"/>
      <c r="BG44" s="107"/>
      <c r="BH44" s="107"/>
      <c r="BI44" s="107"/>
      <c r="BJ44" s="107"/>
      <c r="BK44" s="107"/>
      <c r="BL44" s="107"/>
      <c r="BM44" s="107"/>
      <c r="BN44" s="107"/>
      <c r="BO44" s="107"/>
      <c r="BP44" s="107"/>
      <c r="BQ44" s="107"/>
      <c r="BR44" s="107"/>
      <c r="BS44" s="107"/>
      <c r="BT44" s="107"/>
      <c r="BU44" s="107"/>
      <c r="BV44" s="107"/>
      <c r="BW44" s="107"/>
      <c r="BX44" s="107"/>
      <c r="BY44" s="107"/>
      <c r="BZ44" s="107"/>
      <c r="CA44" s="107"/>
      <c r="CB44" s="107"/>
      <c r="CC44" s="107"/>
      <c r="CD44" s="107"/>
      <c r="CE44" s="107"/>
      <c r="CF44" s="107"/>
      <c r="CG44" s="107"/>
      <c r="CH44" s="107"/>
      <c r="CI44" s="107"/>
      <c r="CJ44" s="107"/>
      <c r="CK44" s="107"/>
      <c r="CL44" s="107"/>
      <c r="CM44" s="107"/>
      <c r="CN44" s="107"/>
      <c r="CO44" s="107"/>
      <c r="CP44" s="107"/>
      <c r="CQ44" s="107"/>
      <c r="CR44" s="107"/>
      <c r="CS44" s="107"/>
      <c r="CT44" s="107"/>
      <c r="CU44" s="107"/>
      <c r="CV44" s="107"/>
      <c r="CW44" s="107"/>
      <c r="CX44" s="107"/>
      <c r="CY44" s="107"/>
      <c r="CZ44" s="107"/>
      <c r="DA44" s="107"/>
      <c r="DB44" s="107"/>
      <c r="DC44" s="107"/>
      <c r="DD44" s="107"/>
      <c r="DE44" s="107"/>
      <c r="DF44" s="107"/>
      <c r="DG44" s="107"/>
      <c r="DH44" s="107"/>
    </row>
    <row r="45" spans="1:112" s="105" customFormat="1" ht="20.100000000000001" customHeight="1">
      <c r="A45" s="107"/>
      <c r="B45" s="107"/>
      <c r="C45" s="107"/>
      <c r="D45" s="107"/>
      <c r="X45" s="107"/>
      <c r="Y45" s="107"/>
      <c r="Z45" s="107"/>
      <c r="AA45" s="107"/>
      <c r="AB45" s="107"/>
      <c r="AC45" s="107"/>
      <c r="AD45" s="107"/>
      <c r="AE45" s="107"/>
      <c r="AF45" s="107"/>
      <c r="AG45" s="107"/>
      <c r="AH45" s="107"/>
      <c r="AI45" s="107"/>
      <c r="AJ45" s="107"/>
      <c r="AK45" s="107"/>
      <c r="AL45" s="107"/>
      <c r="AM45" s="107"/>
      <c r="AN45" s="107"/>
      <c r="AO45" s="107"/>
      <c r="AP45" s="107"/>
      <c r="AQ45" s="107"/>
      <c r="AR45" s="107"/>
      <c r="AS45" s="107"/>
      <c r="AT45" s="107"/>
      <c r="AU45" s="107"/>
      <c r="AV45" s="107"/>
      <c r="AW45" s="107"/>
      <c r="AX45" s="107"/>
      <c r="AY45" s="107"/>
      <c r="AZ45" s="107"/>
      <c r="BA45" s="107"/>
      <c r="BB45" s="107"/>
      <c r="BC45" s="107"/>
      <c r="BD45" s="107"/>
      <c r="BE45" s="107"/>
      <c r="BF45" s="107"/>
      <c r="BG45" s="107"/>
      <c r="BH45" s="107"/>
      <c r="BI45" s="107"/>
      <c r="BJ45" s="107"/>
      <c r="BK45" s="107"/>
      <c r="BL45" s="107"/>
      <c r="BM45" s="107"/>
      <c r="BN45" s="107"/>
      <c r="BO45" s="107"/>
      <c r="BP45" s="107"/>
      <c r="BQ45" s="107"/>
      <c r="BR45" s="107"/>
      <c r="BS45" s="107"/>
      <c r="BT45" s="107"/>
      <c r="BU45" s="107"/>
      <c r="BV45" s="107"/>
      <c r="BW45" s="107"/>
      <c r="BX45" s="107"/>
      <c r="BY45" s="107"/>
      <c r="BZ45" s="107"/>
      <c r="CA45" s="107"/>
      <c r="CB45" s="107"/>
      <c r="CC45" s="107"/>
      <c r="CD45" s="107"/>
      <c r="CE45" s="107"/>
      <c r="CF45" s="107"/>
      <c r="CG45" s="107"/>
      <c r="CH45" s="107"/>
      <c r="CI45" s="107"/>
      <c r="CJ45" s="107"/>
      <c r="CK45" s="107"/>
      <c r="CL45" s="107"/>
      <c r="CM45" s="107"/>
      <c r="CN45" s="107"/>
      <c r="CO45" s="107"/>
      <c r="CP45" s="107"/>
      <c r="CQ45" s="107"/>
      <c r="CR45" s="107"/>
      <c r="CS45" s="107"/>
      <c r="CT45" s="107"/>
      <c r="CU45" s="107"/>
      <c r="CV45" s="107"/>
      <c r="CW45" s="107"/>
      <c r="CX45" s="107"/>
      <c r="CY45" s="107"/>
      <c r="CZ45" s="107"/>
      <c r="DA45" s="107"/>
      <c r="DB45" s="107"/>
      <c r="DC45" s="107"/>
      <c r="DD45" s="107"/>
      <c r="DE45" s="107"/>
      <c r="DF45" s="107"/>
      <c r="DG45" s="107"/>
      <c r="DH45" s="107"/>
    </row>
    <row r="46" spans="1:112" s="105" customFormat="1" ht="20.100000000000001" customHeight="1">
      <c r="A46" s="107"/>
      <c r="B46" s="141" t="s">
        <v>140</v>
      </c>
      <c r="C46" s="107"/>
      <c r="D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c r="BC46" s="107"/>
      <c r="BD46" s="107"/>
      <c r="BE46" s="107"/>
      <c r="BF46" s="107"/>
      <c r="BG46" s="107"/>
      <c r="BH46" s="107"/>
      <c r="BI46" s="107"/>
      <c r="BJ46" s="107"/>
      <c r="BK46" s="107"/>
      <c r="BL46" s="107"/>
      <c r="BM46" s="107"/>
      <c r="BN46" s="107"/>
      <c r="BO46" s="107"/>
      <c r="BP46" s="107"/>
      <c r="BQ46" s="107"/>
      <c r="BR46" s="107"/>
      <c r="BS46" s="107"/>
      <c r="BT46" s="107"/>
      <c r="BU46" s="107"/>
      <c r="BV46" s="107"/>
      <c r="BW46" s="107"/>
      <c r="BX46" s="107"/>
      <c r="BY46" s="107"/>
      <c r="BZ46" s="107"/>
      <c r="CA46" s="107"/>
      <c r="CB46" s="107"/>
      <c r="CC46" s="107"/>
      <c r="CD46" s="107"/>
      <c r="CE46" s="107"/>
      <c r="CF46" s="107"/>
      <c r="CG46" s="107"/>
      <c r="CH46" s="107"/>
      <c r="CI46" s="107"/>
      <c r="CJ46" s="107"/>
      <c r="CK46" s="107"/>
      <c r="CL46" s="107"/>
      <c r="CM46" s="107"/>
      <c r="CN46" s="107"/>
      <c r="CO46" s="107"/>
      <c r="CP46" s="107"/>
      <c r="CQ46" s="107"/>
      <c r="CR46" s="107"/>
      <c r="CS46" s="107"/>
      <c r="CT46" s="107"/>
      <c r="CU46" s="107"/>
      <c r="CV46" s="107"/>
      <c r="CW46" s="107"/>
      <c r="CX46" s="107"/>
      <c r="CY46" s="107"/>
      <c r="CZ46" s="107"/>
      <c r="DA46" s="107"/>
      <c r="DB46" s="107"/>
      <c r="DC46" s="107"/>
      <c r="DD46" s="107"/>
      <c r="DE46" s="107"/>
      <c r="DF46" s="107"/>
      <c r="DG46" s="107"/>
      <c r="DH46" s="107"/>
    </row>
    <row r="47" spans="1:112" s="105" customFormat="1" ht="20.100000000000001" customHeight="1">
      <c r="A47" s="107"/>
      <c r="B47" s="117" t="s">
        <v>1013</v>
      </c>
      <c r="C47" s="116">
        <f>C9*1000000</f>
        <v>281358.09126335202</v>
      </c>
      <c r="D47" s="105" t="s">
        <v>141</v>
      </c>
      <c r="X47" s="107"/>
      <c r="Y47" s="107"/>
      <c r="Z47" s="107"/>
      <c r="AA47" s="107"/>
      <c r="AB47" s="107"/>
      <c r="AC47" s="107"/>
      <c r="AD47" s="107"/>
      <c r="AE47" s="107"/>
      <c r="AF47" s="107"/>
      <c r="AG47" s="107"/>
      <c r="AH47" s="107"/>
      <c r="AI47" s="107"/>
      <c r="AJ47" s="107"/>
      <c r="AK47" s="107"/>
      <c r="AL47" s="107"/>
      <c r="AM47" s="107"/>
      <c r="AN47" s="107"/>
      <c r="AO47" s="107"/>
      <c r="AP47" s="107"/>
      <c r="AQ47" s="107"/>
      <c r="AR47" s="107"/>
      <c r="AS47" s="107"/>
      <c r="AT47" s="107"/>
      <c r="AU47" s="107"/>
      <c r="AV47" s="107"/>
      <c r="AW47" s="107"/>
      <c r="AX47" s="107"/>
      <c r="AY47" s="107"/>
      <c r="AZ47" s="107"/>
      <c r="BA47" s="107"/>
      <c r="BB47" s="107"/>
      <c r="BC47" s="107"/>
      <c r="BD47" s="107"/>
      <c r="BE47" s="107"/>
      <c r="BF47" s="107"/>
      <c r="BG47" s="107"/>
      <c r="BH47" s="107"/>
      <c r="BI47" s="107"/>
      <c r="BJ47" s="107"/>
      <c r="BK47" s="107"/>
      <c r="BL47" s="107"/>
      <c r="BM47" s="107"/>
      <c r="BN47" s="107"/>
      <c r="BO47" s="107"/>
      <c r="BP47" s="107"/>
      <c r="BQ47" s="107"/>
      <c r="BR47" s="107"/>
      <c r="BS47" s="107"/>
      <c r="BT47" s="107"/>
      <c r="BU47" s="107"/>
      <c r="BV47" s="107"/>
      <c r="BW47" s="107"/>
      <c r="BX47" s="107"/>
      <c r="BY47" s="107"/>
      <c r="BZ47" s="107"/>
      <c r="CA47" s="107"/>
      <c r="CB47" s="107"/>
      <c r="CC47" s="107"/>
      <c r="CD47" s="107"/>
      <c r="CE47" s="107"/>
      <c r="CF47" s="107"/>
      <c r="CG47" s="107"/>
      <c r="CH47" s="107"/>
      <c r="CI47" s="107"/>
      <c r="CJ47" s="107"/>
      <c r="CK47" s="107"/>
      <c r="CL47" s="107"/>
      <c r="CM47" s="107"/>
      <c r="CN47" s="107"/>
      <c r="CO47" s="107"/>
      <c r="CP47" s="107"/>
      <c r="CQ47" s="107"/>
      <c r="CR47" s="107"/>
      <c r="CS47" s="107"/>
      <c r="CT47" s="107"/>
      <c r="CU47" s="107"/>
      <c r="CV47" s="107"/>
      <c r="CW47" s="107"/>
      <c r="CX47" s="107"/>
      <c r="CY47" s="107"/>
      <c r="CZ47" s="107"/>
      <c r="DA47" s="107"/>
      <c r="DB47" s="107"/>
      <c r="DC47" s="107"/>
      <c r="DD47" s="107"/>
      <c r="DE47" s="107"/>
      <c r="DF47" s="107"/>
      <c r="DG47" s="107"/>
      <c r="DH47" s="107"/>
    </row>
    <row r="48" spans="1:112" s="105" customFormat="1" ht="20.100000000000001" customHeight="1">
      <c r="A48" s="107"/>
      <c r="B48" s="142"/>
      <c r="C48" s="107"/>
      <c r="D48" s="107"/>
      <c r="E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c r="BC48" s="107"/>
      <c r="BD48" s="107"/>
      <c r="BE48" s="107"/>
      <c r="BF48" s="107"/>
      <c r="BG48" s="107"/>
      <c r="BH48" s="107"/>
      <c r="BI48" s="107"/>
      <c r="BJ48" s="107"/>
      <c r="BK48" s="107"/>
      <c r="BL48" s="107"/>
      <c r="BM48" s="107"/>
      <c r="BN48" s="107"/>
      <c r="BO48" s="107"/>
      <c r="BP48" s="107"/>
      <c r="BQ48" s="107"/>
      <c r="BR48" s="107"/>
      <c r="BS48" s="107"/>
      <c r="BT48" s="107"/>
      <c r="BU48" s="107"/>
      <c r="BV48" s="107"/>
      <c r="BW48" s="107"/>
      <c r="BX48" s="107"/>
      <c r="BY48" s="107"/>
      <c r="BZ48" s="107"/>
      <c r="CA48" s="107"/>
      <c r="CB48" s="107"/>
      <c r="CC48" s="107"/>
      <c r="CD48" s="107"/>
      <c r="CE48" s="107"/>
      <c r="CF48" s="107"/>
      <c r="CG48" s="107"/>
      <c r="CH48" s="107"/>
      <c r="CI48" s="107"/>
      <c r="CJ48" s="107"/>
      <c r="CK48" s="107"/>
      <c r="CL48" s="107"/>
      <c r="CM48" s="107"/>
      <c r="CN48" s="107"/>
      <c r="CO48" s="107"/>
      <c r="CP48" s="107"/>
      <c r="CQ48" s="107"/>
      <c r="CR48" s="107"/>
      <c r="CS48" s="107"/>
      <c r="CT48" s="107"/>
      <c r="CU48" s="107"/>
      <c r="CV48" s="107"/>
      <c r="CW48" s="107"/>
      <c r="CX48" s="107"/>
      <c r="CY48" s="107"/>
      <c r="CZ48" s="107"/>
      <c r="DA48" s="107"/>
      <c r="DB48" s="107"/>
      <c r="DC48" s="107"/>
      <c r="DD48" s="107"/>
      <c r="DE48" s="107"/>
      <c r="DF48" s="107"/>
      <c r="DG48" s="107"/>
      <c r="DH48" s="107"/>
    </row>
    <row r="49" spans="1:112" s="100" customFormat="1" ht="20.100000000000001" customHeight="1">
      <c r="A49" s="98" t="s">
        <v>142</v>
      </c>
      <c r="B49" s="99"/>
      <c r="C49" s="99"/>
      <c r="D49" s="99"/>
      <c r="E49" s="99"/>
      <c r="F49" s="99"/>
      <c r="G49" s="99"/>
      <c r="H49" s="99"/>
      <c r="I49" s="99"/>
      <c r="X49" s="99"/>
      <c r="Y49" s="99"/>
      <c r="Z49" s="99"/>
      <c r="AA49" s="99"/>
      <c r="AB49" s="99"/>
      <c r="AC49" s="99"/>
      <c r="AD49" s="99"/>
      <c r="AE49" s="99"/>
      <c r="AF49" s="99"/>
      <c r="AG49" s="99"/>
      <c r="AH49" s="99"/>
      <c r="AI49" s="99"/>
      <c r="AJ49" s="99"/>
      <c r="AK49" s="99"/>
      <c r="AL49" s="99"/>
      <c r="AM49" s="99"/>
      <c r="AN49" s="99"/>
      <c r="AO49" s="99"/>
      <c r="AP49" s="99"/>
      <c r="AQ49" s="99"/>
      <c r="AR49" s="99"/>
      <c r="AS49" s="99"/>
      <c r="AT49" s="99"/>
      <c r="AU49" s="99"/>
      <c r="AV49" s="99"/>
      <c r="AW49" s="99"/>
      <c r="AX49" s="99"/>
      <c r="AY49" s="99"/>
      <c r="AZ49" s="99"/>
      <c r="BA49" s="99"/>
      <c r="BB49" s="99"/>
      <c r="BC49" s="99"/>
      <c r="BD49" s="99"/>
      <c r="BE49" s="99"/>
      <c r="BF49" s="99"/>
      <c r="BG49" s="99"/>
      <c r="BH49" s="99"/>
      <c r="BI49" s="99"/>
      <c r="BJ49" s="99"/>
      <c r="BK49" s="99"/>
      <c r="BL49" s="99"/>
      <c r="BM49" s="99"/>
      <c r="BN49" s="99"/>
      <c r="BO49" s="99"/>
      <c r="BP49" s="99"/>
      <c r="BQ49" s="99"/>
      <c r="BR49" s="99"/>
      <c r="BS49" s="99"/>
      <c r="BT49" s="99"/>
      <c r="BU49" s="99"/>
      <c r="BV49" s="99"/>
      <c r="BW49" s="99"/>
      <c r="BX49" s="99"/>
      <c r="BY49" s="99"/>
      <c r="BZ49" s="99"/>
      <c r="CA49" s="99"/>
      <c r="CB49" s="99"/>
      <c r="CC49" s="99"/>
      <c r="CD49" s="99"/>
      <c r="CE49" s="99"/>
      <c r="CF49" s="99"/>
      <c r="CG49" s="99"/>
      <c r="CH49" s="99"/>
      <c r="CI49" s="99"/>
      <c r="CJ49" s="99"/>
      <c r="CK49" s="99"/>
      <c r="CL49" s="99"/>
      <c r="CM49" s="99"/>
      <c r="CN49" s="99"/>
      <c r="CO49" s="99"/>
      <c r="CP49" s="99"/>
      <c r="CQ49" s="99"/>
      <c r="CR49" s="99"/>
      <c r="CS49" s="99"/>
      <c r="CT49" s="99"/>
      <c r="CU49" s="99"/>
      <c r="CV49" s="99"/>
      <c r="CW49" s="99"/>
      <c r="CX49" s="99"/>
      <c r="CY49" s="99"/>
      <c r="CZ49" s="99"/>
      <c r="DA49" s="99"/>
      <c r="DB49" s="99"/>
      <c r="DC49" s="99"/>
      <c r="DD49" s="99"/>
      <c r="DE49" s="99"/>
      <c r="DF49" s="99"/>
      <c r="DG49" s="99"/>
      <c r="DH49" s="99"/>
    </row>
    <row r="50" spans="1:112" s="105" customFormat="1" ht="20.100000000000001" customHeight="1">
      <c r="B50" s="103" t="s">
        <v>113</v>
      </c>
      <c r="C50" s="104" t="s">
        <v>177</v>
      </c>
      <c r="D50" s="143">
        <v>1</v>
      </c>
      <c r="E50" s="143">
        <v>2</v>
      </c>
      <c r="F50" s="143">
        <v>3</v>
      </c>
      <c r="G50" s="143">
        <v>4</v>
      </c>
      <c r="H50" s="143">
        <v>5</v>
      </c>
      <c r="I50" s="143">
        <v>6</v>
      </c>
      <c r="J50" s="143">
        <v>7</v>
      </c>
      <c r="K50" s="143">
        <v>8</v>
      </c>
      <c r="L50" s="143">
        <v>9</v>
      </c>
      <c r="M50" s="143">
        <v>10</v>
      </c>
      <c r="N50" s="143">
        <v>11</v>
      </c>
      <c r="O50" s="143">
        <v>12</v>
      </c>
      <c r="P50" s="143">
        <v>13</v>
      </c>
      <c r="Q50" s="143">
        <v>14</v>
      </c>
      <c r="R50" s="143">
        <v>15</v>
      </c>
      <c r="S50" s="143">
        <v>16</v>
      </c>
      <c r="T50" s="143">
        <v>17</v>
      </c>
      <c r="U50" s="143">
        <v>18</v>
      </c>
      <c r="V50" s="143">
        <v>19</v>
      </c>
      <c r="W50" s="143">
        <v>20</v>
      </c>
      <c r="X50" s="143">
        <v>21</v>
      </c>
      <c r="Y50" s="143">
        <v>22</v>
      </c>
      <c r="Z50" s="143">
        <v>23</v>
      </c>
      <c r="AA50" s="143">
        <v>24</v>
      </c>
      <c r="AB50" s="143">
        <v>25</v>
      </c>
      <c r="AC50" s="143">
        <v>26</v>
      </c>
      <c r="AD50" s="143">
        <v>27</v>
      </c>
      <c r="AE50" s="143">
        <v>28</v>
      </c>
      <c r="AF50" s="143">
        <v>29</v>
      </c>
      <c r="AG50" s="143">
        <v>30</v>
      </c>
      <c r="AH50" s="143">
        <v>31</v>
      </c>
      <c r="AI50" s="143">
        <v>32</v>
      </c>
      <c r="AJ50" s="143">
        <v>33</v>
      </c>
      <c r="AK50" s="143">
        <v>34</v>
      </c>
      <c r="AL50" s="143">
        <v>35</v>
      </c>
      <c r="AM50" s="143">
        <v>36</v>
      </c>
      <c r="AN50" s="143">
        <v>37</v>
      </c>
      <c r="AO50" s="143">
        <v>38</v>
      </c>
      <c r="AP50" s="143">
        <v>39</v>
      </c>
      <c r="AQ50" s="143">
        <v>40</v>
      </c>
      <c r="AR50" s="143">
        <v>41</v>
      </c>
      <c r="AS50" s="143">
        <v>42</v>
      </c>
      <c r="AT50" s="143">
        <v>43</v>
      </c>
      <c r="AU50" s="143">
        <v>44</v>
      </c>
      <c r="AV50" s="143">
        <v>45</v>
      </c>
      <c r="AW50" s="143">
        <v>46</v>
      </c>
      <c r="AX50" s="143">
        <v>47</v>
      </c>
      <c r="AY50" s="143">
        <v>48</v>
      </c>
      <c r="AZ50" s="143">
        <v>49</v>
      </c>
      <c r="BA50" s="143">
        <v>50</v>
      </c>
      <c r="BB50" s="143">
        <v>51</v>
      </c>
      <c r="BC50" s="143">
        <v>52</v>
      </c>
      <c r="BD50" s="143">
        <v>53</v>
      </c>
      <c r="BE50" s="143">
        <v>54</v>
      </c>
      <c r="BF50" s="143">
        <v>55</v>
      </c>
      <c r="BG50" s="143">
        <v>56</v>
      </c>
      <c r="BH50" s="143">
        <v>57</v>
      </c>
      <c r="BI50" s="143">
        <v>58</v>
      </c>
      <c r="BJ50" s="143">
        <v>59</v>
      </c>
      <c r="BK50" s="143">
        <v>60</v>
      </c>
      <c r="BL50" s="143">
        <v>61</v>
      </c>
      <c r="BM50" s="143">
        <v>62</v>
      </c>
      <c r="BN50" s="143">
        <v>63</v>
      </c>
      <c r="BO50" s="143">
        <v>64</v>
      </c>
      <c r="BP50" s="143">
        <v>65</v>
      </c>
      <c r="BQ50" s="143">
        <v>66</v>
      </c>
      <c r="BR50" s="143">
        <v>67</v>
      </c>
      <c r="BS50" s="143">
        <v>68</v>
      </c>
      <c r="BT50" s="143">
        <v>69</v>
      </c>
      <c r="BU50" s="143">
        <v>70</v>
      </c>
      <c r="BV50" s="143">
        <v>71</v>
      </c>
      <c r="BW50" s="143">
        <v>72</v>
      </c>
      <c r="BX50" s="143">
        <v>73</v>
      </c>
      <c r="BY50" s="143">
        <v>74</v>
      </c>
      <c r="BZ50" s="143">
        <v>75</v>
      </c>
      <c r="CA50" s="143">
        <v>76</v>
      </c>
      <c r="CB50" s="143">
        <v>77</v>
      </c>
      <c r="CC50" s="143">
        <v>78</v>
      </c>
      <c r="CD50" s="143">
        <v>79</v>
      </c>
      <c r="CE50" s="143">
        <v>80</v>
      </c>
      <c r="CF50" s="143">
        <v>81</v>
      </c>
      <c r="CG50" s="143">
        <v>82</v>
      </c>
      <c r="CH50" s="143">
        <v>83</v>
      </c>
      <c r="CI50" s="143">
        <v>84</v>
      </c>
      <c r="CJ50" s="143">
        <v>85</v>
      </c>
      <c r="CK50" s="143">
        <v>86</v>
      </c>
      <c r="CL50" s="143">
        <v>87</v>
      </c>
      <c r="CM50" s="143">
        <v>88</v>
      </c>
      <c r="CN50" s="143">
        <v>89</v>
      </c>
      <c r="CO50" s="143">
        <v>90</v>
      </c>
      <c r="CP50" s="143">
        <v>91</v>
      </c>
      <c r="CQ50" s="143">
        <v>92</v>
      </c>
      <c r="CR50" s="143">
        <v>93</v>
      </c>
      <c r="CS50" s="143">
        <v>94</v>
      </c>
      <c r="CT50" s="143">
        <v>95</v>
      </c>
      <c r="CU50" s="143">
        <v>96</v>
      </c>
      <c r="CV50" s="143">
        <v>97</v>
      </c>
      <c r="CW50" s="143">
        <v>98</v>
      </c>
      <c r="CX50" s="143">
        <v>99</v>
      </c>
      <c r="CY50" s="144">
        <v>100</v>
      </c>
      <c r="CZ50" s="107"/>
      <c r="DA50" s="107"/>
      <c r="DB50" s="107"/>
      <c r="DC50" s="107"/>
      <c r="DD50" s="107"/>
      <c r="DE50" s="107"/>
      <c r="DF50" s="107"/>
      <c r="DG50" s="107"/>
      <c r="DH50" s="107"/>
    </row>
    <row r="51" spans="1:112" s="105" customFormat="1" ht="20.100000000000001" customHeight="1">
      <c r="A51" s="107"/>
      <c r="B51" s="207"/>
      <c r="C51" s="145" t="str">
        <f>"Total real cost in "&amp;C37&amp;"$"</f>
        <v>Total real cost in 2024$</v>
      </c>
      <c r="D51" s="146"/>
      <c r="E51" s="147"/>
      <c r="F51" s="147"/>
      <c r="G51" s="147"/>
      <c r="H51" s="147"/>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c r="BI51" s="147"/>
      <c r="BJ51" s="147"/>
      <c r="BK51" s="147"/>
      <c r="BL51" s="147"/>
      <c r="BM51" s="147"/>
      <c r="BN51" s="147"/>
      <c r="BO51" s="147"/>
      <c r="BP51" s="147"/>
      <c r="BQ51" s="147"/>
      <c r="BR51" s="147"/>
      <c r="BS51" s="147"/>
      <c r="BT51" s="147"/>
      <c r="BU51" s="147"/>
      <c r="BV51" s="147"/>
      <c r="BW51" s="147"/>
      <c r="BX51" s="147"/>
      <c r="BY51" s="147"/>
      <c r="BZ51" s="147"/>
      <c r="CA51" s="147"/>
      <c r="CB51" s="147"/>
      <c r="CC51" s="147"/>
      <c r="CD51" s="147"/>
      <c r="CE51" s="147"/>
      <c r="CF51" s="147"/>
      <c r="CG51" s="147"/>
      <c r="CH51" s="147"/>
      <c r="CI51" s="147"/>
      <c r="CJ51" s="147"/>
      <c r="CK51" s="147"/>
      <c r="CL51" s="147"/>
      <c r="CM51" s="147"/>
      <c r="CN51" s="147"/>
      <c r="CO51" s="147"/>
      <c r="CP51" s="147"/>
      <c r="CQ51" s="147"/>
      <c r="CR51" s="147"/>
      <c r="CS51" s="147"/>
      <c r="CT51" s="147"/>
      <c r="CU51" s="147"/>
      <c r="CV51" s="147"/>
      <c r="CW51" s="147"/>
      <c r="CX51" s="147"/>
      <c r="CY51" s="148"/>
      <c r="CZ51" s="107"/>
      <c r="DA51" s="107"/>
      <c r="DB51" s="107"/>
      <c r="DC51" s="107"/>
      <c r="DD51" s="107"/>
      <c r="DE51" s="107"/>
      <c r="DF51" s="107"/>
      <c r="DG51" s="107"/>
      <c r="DH51" s="107"/>
    </row>
    <row r="52" spans="1:112" s="105" customFormat="1" ht="20.100000000000001" customHeight="1">
      <c r="A52" s="123"/>
      <c r="B52" s="149" t="str">
        <f>Calculations!A1155</f>
        <v>Liquefaction equipment</v>
      </c>
      <c r="C52" s="150">
        <f>Calculations!B1155</f>
        <v>16529705.046995105</v>
      </c>
      <c r="D52" s="133">
        <f>IF(D$50&lt;=$C$39,1/$C$39,0)</f>
        <v>1</v>
      </c>
      <c r="E52" s="133">
        <f t="shared" ref="E52:BP53" si="0">IF(E$50&lt;=$C$39,1/$C$39,0)</f>
        <v>0</v>
      </c>
      <c r="F52" s="133">
        <f t="shared" si="0"/>
        <v>0</v>
      </c>
      <c r="G52" s="133">
        <f t="shared" si="0"/>
        <v>0</v>
      </c>
      <c r="H52" s="133">
        <f t="shared" si="0"/>
        <v>0</v>
      </c>
      <c r="I52" s="133">
        <f t="shared" si="0"/>
        <v>0</v>
      </c>
      <c r="J52" s="133">
        <f t="shared" si="0"/>
        <v>0</v>
      </c>
      <c r="K52" s="133">
        <f t="shared" si="0"/>
        <v>0</v>
      </c>
      <c r="L52" s="133">
        <f t="shared" si="0"/>
        <v>0</v>
      </c>
      <c r="M52" s="133">
        <f t="shared" si="0"/>
        <v>0</v>
      </c>
      <c r="N52" s="133">
        <f t="shared" si="0"/>
        <v>0</v>
      </c>
      <c r="O52" s="133">
        <f t="shared" si="0"/>
        <v>0</v>
      </c>
      <c r="P52" s="133">
        <f t="shared" si="0"/>
        <v>0</v>
      </c>
      <c r="Q52" s="133">
        <f t="shared" si="0"/>
        <v>0</v>
      </c>
      <c r="R52" s="133">
        <f t="shared" si="0"/>
        <v>0</v>
      </c>
      <c r="S52" s="133">
        <f t="shared" si="0"/>
        <v>0</v>
      </c>
      <c r="T52" s="133">
        <f t="shared" si="0"/>
        <v>0</v>
      </c>
      <c r="U52" s="133">
        <f t="shared" si="0"/>
        <v>0</v>
      </c>
      <c r="V52" s="133">
        <f t="shared" si="0"/>
        <v>0</v>
      </c>
      <c r="W52" s="133">
        <f t="shared" si="0"/>
        <v>0</v>
      </c>
      <c r="X52" s="133">
        <f t="shared" si="0"/>
        <v>0</v>
      </c>
      <c r="Y52" s="133">
        <f t="shared" si="0"/>
        <v>0</v>
      </c>
      <c r="Z52" s="133">
        <f t="shared" si="0"/>
        <v>0</v>
      </c>
      <c r="AA52" s="133">
        <f t="shared" si="0"/>
        <v>0</v>
      </c>
      <c r="AB52" s="133">
        <f t="shared" si="0"/>
        <v>0</v>
      </c>
      <c r="AC52" s="133">
        <f t="shared" si="0"/>
        <v>0</v>
      </c>
      <c r="AD52" s="133">
        <f t="shared" si="0"/>
        <v>0</v>
      </c>
      <c r="AE52" s="133">
        <f t="shared" si="0"/>
        <v>0</v>
      </c>
      <c r="AF52" s="133">
        <f t="shared" si="0"/>
        <v>0</v>
      </c>
      <c r="AG52" s="133">
        <f t="shared" si="0"/>
        <v>0</v>
      </c>
      <c r="AH52" s="133">
        <f t="shared" si="0"/>
        <v>0</v>
      </c>
      <c r="AI52" s="133">
        <f t="shared" si="0"/>
        <v>0</v>
      </c>
      <c r="AJ52" s="133">
        <f t="shared" si="0"/>
        <v>0</v>
      </c>
      <c r="AK52" s="133">
        <f t="shared" si="0"/>
        <v>0</v>
      </c>
      <c r="AL52" s="133">
        <f t="shared" si="0"/>
        <v>0</v>
      </c>
      <c r="AM52" s="133">
        <f t="shared" si="0"/>
        <v>0</v>
      </c>
      <c r="AN52" s="133">
        <f t="shared" si="0"/>
        <v>0</v>
      </c>
      <c r="AO52" s="133">
        <f t="shared" si="0"/>
        <v>0</v>
      </c>
      <c r="AP52" s="133">
        <f t="shared" si="0"/>
        <v>0</v>
      </c>
      <c r="AQ52" s="133">
        <f t="shared" si="0"/>
        <v>0</v>
      </c>
      <c r="AR52" s="133">
        <f t="shared" si="0"/>
        <v>0</v>
      </c>
      <c r="AS52" s="133">
        <f t="shared" si="0"/>
        <v>0</v>
      </c>
      <c r="AT52" s="133">
        <f t="shared" si="0"/>
        <v>0</v>
      </c>
      <c r="AU52" s="133">
        <f t="shared" si="0"/>
        <v>0</v>
      </c>
      <c r="AV52" s="133">
        <f t="shared" si="0"/>
        <v>0</v>
      </c>
      <c r="AW52" s="133">
        <f t="shared" si="0"/>
        <v>0</v>
      </c>
      <c r="AX52" s="133">
        <f t="shared" si="0"/>
        <v>0</v>
      </c>
      <c r="AY52" s="133">
        <f t="shared" si="0"/>
        <v>0</v>
      </c>
      <c r="AZ52" s="133">
        <f t="shared" si="0"/>
        <v>0</v>
      </c>
      <c r="BA52" s="133">
        <f t="shared" si="0"/>
        <v>0</v>
      </c>
      <c r="BB52" s="133">
        <f t="shared" si="0"/>
        <v>0</v>
      </c>
      <c r="BC52" s="133">
        <f t="shared" si="0"/>
        <v>0</v>
      </c>
      <c r="BD52" s="133">
        <f t="shared" si="0"/>
        <v>0</v>
      </c>
      <c r="BE52" s="133">
        <f t="shared" si="0"/>
        <v>0</v>
      </c>
      <c r="BF52" s="133">
        <f t="shared" si="0"/>
        <v>0</v>
      </c>
      <c r="BG52" s="133">
        <f t="shared" si="0"/>
        <v>0</v>
      </c>
      <c r="BH52" s="133">
        <f t="shared" si="0"/>
        <v>0</v>
      </c>
      <c r="BI52" s="133">
        <f t="shared" si="0"/>
        <v>0</v>
      </c>
      <c r="BJ52" s="133">
        <f t="shared" si="0"/>
        <v>0</v>
      </c>
      <c r="BK52" s="133">
        <f t="shared" si="0"/>
        <v>0</v>
      </c>
      <c r="BL52" s="133">
        <f t="shared" si="0"/>
        <v>0</v>
      </c>
      <c r="BM52" s="133">
        <f t="shared" si="0"/>
        <v>0</v>
      </c>
      <c r="BN52" s="133">
        <f t="shared" si="0"/>
        <v>0</v>
      </c>
      <c r="BO52" s="133">
        <f t="shared" si="0"/>
        <v>0</v>
      </c>
      <c r="BP52" s="133">
        <f t="shared" si="0"/>
        <v>0</v>
      </c>
      <c r="BQ52" s="133">
        <f t="shared" ref="BQ52:CY53" si="1">IF(BQ$50&lt;=$C$39,1/$C$39,0)</f>
        <v>0</v>
      </c>
      <c r="BR52" s="133">
        <f t="shared" si="1"/>
        <v>0</v>
      </c>
      <c r="BS52" s="133">
        <f t="shared" si="1"/>
        <v>0</v>
      </c>
      <c r="BT52" s="133">
        <f t="shared" si="1"/>
        <v>0</v>
      </c>
      <c r="BU52" s="133">
        <f t="shared" si="1"/>
        <v>0</v>
      </c>
      <c r="BV52" s="133">
        <f t="shared" si="1"/>
        <v>0</v>
      </c>
      <c r="BW52" s="133">
        <f t="shared" si="1"/>
        <v>0</v>
      </c>
      <c r="BX52" s="133">
        <f t="shared" si="1"/>
        <v>0</v>
      </c>
      <c r="BY52" s="133">
        <f t="shared" si="1"/>
        <v>0</v>
      </c>
      <c r="BZ52" s="133">
        <f t="shared" si="1"/>
        <v>0</v>
      </c>
      <c r="CA52" s="133">
        <f t="shared" si="1"/>
        <v>0</v>
      </c>
      <c r="CB52" s="133">
        <f t="shared" si="1"/>
        <v>0</v>
      </c>
      <c r="CC52" s="133">
        <f t="shared" si="1"/>
        <v>0</v>
      </c>
      <c r="CD52" s="133">
        <f t="shared" si="1"/>
        <v>0</v>
      </c>
      <c r="CE52" s="133">
        <f t="shared" si="1"/>
        <v>0</v>
      </c>
      <c r="CF52" s="133">
        <f t="shared" si="1"/>
        <v>0</v>
      </c>
      <c r="CG52" s="133">
        <f t="shared" si="1"/>
        <v>0</v>
      </c>
      <c r="CH52" s="133">
        <f t="shared" si="1"/>
        <v>0</v>
      </c>
      <c r="CI52" s="133">
        <f t="shared" si="1"/>
        <v>0</v>
      </c>
      <c r="CJ52" s="133">
        <f t="shared" si="1"/>
        <v>0</v>
      </c>
      <c r="CK52" s="133">
        <f t="shared" si="1"/>
        <v>0</v>
      </c>
      <c r="CL52" s="133">
        <f t="shared" si="1"/>
        <v>0</v>
      </c>
      <c r="CM52" s="133">
        <f t="shared" si="1"/>
        <v>0</v>
      </c>
      <c r="CN52" s="133">
        <f t="shared" si="1"/>
        <v>0</v>
      </c>
      <c r="CO52" s="133">
        <f t="shared" si="1"/>
        <v>0</v>
      </c>
      <c r="CP52" s="133">
        <f t="shared" si="1"/>
        <v>0</v>
      </c>
      <c r="CQ52" s="133">
        <f t="shared" si="1"/>
        <v>0</v>
      </c>
      <c r="CR52" s="133">
        <f t="shared" si="1"/>
        <v>0</v>
      </c>
      <c r="CS52" s="133">
        <f t="shared" si="1"/>
        <v>0</v>
      </c>
      <c r="CT52" s="133">
        <f t="shared" si="1"/>
        <v>0</v>
      </c>
      <c r="CU52" s="133">
        <f t="shared" si="1"/>
        <v>0</v>
      </c>
      <c r="CV52" s="133">
        <f t="shared" si="1"/>
        <v>0</v>
      </c>
      <c r="CW52" s="133">
        <f t="shared" si="1"/>
        <v>0</v>
      </c>
      <c r="CX52" s="133">
        <f t="shared" si="1"/>
        <v>0</v>
      </c>
      <c r="CY52" s="151">
        <f t="shared" si="1"/>
        <v>0</v>
      </c>
      <c r="CZ52" s="107"/>
      <c r="DA52" s="107"/>
      <c r="DB52" s="107"/>
      <c r="DC52" s="107"/>
      <c r="DD52" s="107"/>
      <c r="DE52" s="107"/>
      <c r="DF52" s="107"/>
      <c r="DG52" s="107"/>
      <c r="DH52" s="107"/>
    </row>
    <row r="53" spans="1:112" s="105" customFormat="1" ht="20.100000000000001" customHeight="1">
      <c r="A53" s="107"/>
      <c r="B53" s="149" t="str">
        <f>Calculations!A1156</f>
        <v>Buffer Storage (upstream)</v>
      </c>
      <c r="C53" s="150">
        <f>Calculations!B1156</f>
        <v>10545497.08946899</v>
      </c>
      <c r="D53" s="133">
        <f>IF(D$50&lt;=$C$39,1/$C$39,0)</f>
        <v>1</v>
      </c>
      <c r="E53" s="133">
        <f t="shared" si="0"/>
        <v>0</v>
      </c>
      <c r="F53" s="133">
        <f t="shared" si="0"/>
        <v>0</v>
      </c>
      <c r="G53" s="133">
        <f t="shared" si="0"/>
        <v>0</v>
      </c>
      <c r="H53" s="133">
        <f t="shared" si="0"/>
        <v>0</v>
      </c>
      <c r="I53" s="133">
        <f t="shared" si="0"/>
        <v>0</v>
      </c>
      <c r="J53" s="133">
        <f t="shared" si="0"/>
        <v>0</v>
      </c>
      <c r="K53" s="133">
        <f t="shared" si="0"/>
        <v>0</v>
      </c>
      <c r="L53" s="133">
        <f t="shared" si="0"/>
        <v>0</v>
      </c>
      <c r="M53" s="133">
        <f t="shared" si="0"/>
        <v>0</v>
      </c>
      <c r="N53" s="133">
        <f t="shared" si="0"/>
        <v>0</v>
      </c>
      <c r="O53" s="133">
        <f t="shared" si="0"/>
        <v>0</v>
      </c>
      <c r="P53" s="133">
        <f t="shared" si="0"/>
        <v>0</v>
      </c>
      <c r="Q53" s="133">
        <f t="shared" si="0"/>
        <v>0</v>
      </c>
      <c r="R53" s="133">
        <f t="shared" si="0"/>
        <v>0</v>
      </c>
      <c r="S53" s="133">
        <f t="shared" si="0"/>
        <v>0</v>
      </c>
      <c r="T53" s="133">
        <f t="shared" si="0"/>
        <v>0</v>
      </c>
      <c r="U53" s="133">
        <f t="shared" si="0"/>
        <v>0</v>
      </c>
      <c r="V53" s="133">
        <f t="shared" si="0"/>
        <v>0</v>
      </c>
      <c r="W53" s="133">
        <f t="shared" si="0"/>
        <v>0</v>
      </c>
      <c r="X53" s="133">
        <f t="shared" si="0"/>
        <v>0</v>
      </c>
      <c r="Y53" s="133">
        <f t="shared" si="0"/>
        <v>0</v>
      </c>
      <c r="Z53" s="133">
        <f t="shared" si="0"/>
        <v>0</v>
      </c>
      <c r="AA53" s="133">
        <f t="shared" si="0"/>
        <v>0</v>
      </c>
      <c r="AB53" s="133">
        <f t="shared" si="0"/>
        <v>0</v>
      </c>
      <c r="AC53" s="133">
        <f t="shared" si="0"/>
        <v>0</v>
      </c>
      <c r="AD53" s="133">
        <f t="shared" si="0"/>
        <v>0</v>
      </c>
      <c r="AE53" s="133">
        <f t="shared" si="0"/>
        <v>0</v>
      </c>
      <c r="AF53" s="133">
        <f t="shared" si="0"/>
        <v>0</v>
      </c>
      <c r="AG53" s="133">
        <f t="shared" si="0"/>
        <v>0</v>
      </c>
      <c r="AH53" s="133">
        <f t="shared" si="0"/>
        <v>0</v>
      </c>
      <c r="AI53" s="133">
        <f t="shared" si="0"/>
        <v>0</v>
      </c>
      <c r="AJ53" s="133">
        <f t="shared" si="0"/>
        <v>0</v>
      </c>
      <c r="AK53" s="133">
        <f t="shared" si="0"/>
        <v>0</v>
      </c>
      <c r="AL53" s="133">
        <f t="shared" si="0"/>
        <v>0</v>
      </c>
      <c r="AM53" s="133">
        <f t="shared" si="0"/>
        <v>0</v>
      </c>
      <c r="AN53" s="133">
        <f t="shared" si="0"/>
        <v>0</v>
      </c>
      <c r="AO53" s="133">
        <f t="shared" si="0"/>
        <v>0</v>
      </c>
      <c r="AP53" s="133">
        <f t="shared" si="0"/>
        <v>0</v>
      </c>
      <c r="AQ53" s="133">
        <f t="shared" si="0"/>
        <v>0</v>
      </c>
      <c r="AR53" s="133">
        <f t="shared" si="0"/>
        <v>0</v>
      </c>
      <c r="AS53" s="133">
        <f t="shared" si="0"/>
        <v>0</v>
      </c>
      <c r="AT53" s="133">
        <f t="shared" si="0"/>
        <v>0</v>
      </c>
      <c r="AU53" s="133">
        <f t="shared" si="0"/>
        <v>0</v>
      </c>
      <c r="AV53" s="133">
        <f t="shared" si="0"/>
        <v>0</v>
      </c>
      <c r="AW53" s="133">
        <f t="shared" si="0"/>
        <v>0</v>
      </c>
      <c r="AX53" s="133">
        <f t="shared" si="0"/>
        <v>0</v>
      </c>
      <c r="AY53" s="133">
        <f t="shared" si="0"/>
        <v>0</v>
      </c>
      <c r="AZ53" s="133">
        <f t="shared" si="0"/>
        <v>0</v>
      </c>
      <c r="BA53" s="133">
        <f t="shared" si="0"/>
        <v>0</v>
      </c>
      <c r="BB53" s="133">
        <f t="shared" si="0"/>
        <v>0</v>
      </c>
      <c r="BC53" s="133">
        <f t="shared" si="0"/>
        <v>0</v>
      </c>
      <c r="BD53" s="133">
        <f t="shared" si="0"/>
        <v>0</v>
      </c>
      <c r="BE53" s="133">
        <f t="shared" si="0"/>
        <v>0</v>
      </c>
      <c r="BF53" s="133">
        <f t="shared" si="0"/>
        <v>0</v>
      </c>
      <c r="BG53" s="133">
        <f t="shared" si="0"/>
        <v>0</v>
      </c>
      <c r="BH53" s="133">
        <f t="shared" si="0"/>
        <v>0</v>
      </c>
      <c r="BI53" s="133">
        <f t="shared" si="0"/>
        <v>0</v>
      </c>
      <c r="BJ53" s="133">
        <f t="shared" si="0"/>
        <v>0</v>
      </c>
      <c r="BK53" s="133">
        <f t="shared" si="0"/>
        <v>0</v>
      </c>
      <c r="BL53" s="133">
        <f t="shared" si="0"/>
        <v>0</v>
      </c>
      <c r="BM53" s="133">
        <f t="shared" si="0"/>
        <v>0</v>
      </c>
      <c r="BN53" s="133">
        <f t="shared" si="0"/>
        <v>0</v>
      </c>
      <c r="BO53" s="133">
        <f t="shared" si="0"/>
        <v>0</v>
      </c>
      <c r="BP53" s="133">
        <f t="shared" si="0"/>
        <v>0</v>
      </c>
      <c r="BQ53" s="133">
        <f t="shared" si="1"/>
        <v>0</v>
      </c>
      <c r="BR53" s="133">
        <f t="shared" si="1"/>
        <v>0</v>
      </c>
      <c r="BS53" s="133">
        <f t="shared" si="1"/>
        <v>0</v>
      </c>
      <c r="BT53" s="133">
        <f t="shared" si="1"/>
        <v>0</v>
      </c>
      <c r="BU53" s="133">
        <f t="shared" si="1"/>
        <v>0</v>
      </c>
      <c r="BV53" s="133">
        <f t="shared" si="1"/>
        <v>0</v>
      </c>
      <c r="BW53" s="133">
        <f t="shared" si="1"/>
        <v>0</v>
      </c>
      <c r="BX53" s="133">
        <f t="shared" si="1"/>
        <v>0</v>
      </c>
      <c r="BY53" s="133">
        <f t="shared" si="1"/>
        <v>0</v>
      </c>
      <c r="BZ53" s="133">
        <f t="shared" si="1"/>
        <v>0</v>
      </c>
      <c r="CA53" s="133">
        <f t="shared" si="1"/>
        <v>0</v>
      </c>
      <c r="CB53" s="133">
        <f t="shared" si="1"/>
        <v>0</v>
      </c>
      <c r="CC53" s="133">
        <f t="shared" si="1"/>
        <v>0</v>
      </c>
      <c r="CD53" s="133">
        <f t="shared" si="1"/>
        <v>0</v>
      </c>
      <c r="CE53" s="133">
        <f t="shared" si="1"/>
        <v>0</v>
      </c>
      <c r="CF53" s="133">
        <f t="shared" si="1"/>
        <v>0</v>
      </c>
      <c r="CG53" s="133">
        <f t="shared" si="1"/>
        <v>0</v>
      </c>
      <c r="CH53" s="133">
        <f t="shared" si="1"/>
        <v>0</v>
      </c>
      <c r="CI53" s="133">
        <f t="shared" si="1"/>
        <v>0</v>
      </c>
      <c r="CJ53" s="133">
        <f t="shared" si="1"/>
        <v>0</v>
      </c>
      <c r="CK53" s="133">
        <f t="shared" si="1"/>
        <v>0</v>
      </c>
      <c r="CL53" s="133">
        <f t="shared" si="1"/>
        <v>0</v>
      </c>
      <c r="CM53" s="133">
        <f t="shared" si="1"/>
        <v>0</v>
      </c>
      <c r="CN53" s="133">
        <f t="shared" si="1"/>
        <v>0</v>
      </c>
      <c r="CO53" s="133">
        <f t="shared" si="1"/>
        <v>0</v>
      </c>
      <c r="CP53" s="133">
        <f t="shared" si="1"/>
        <v>0</v>
      </c>
      <c r="CQ53" s="133">
        <f t="shared" si="1"/>
        <v>0</v>
      </c>
      <c r="CR53" s="133">
        <f t="shared" si="1"/>
        <v>0</v>
      </c>
      <c r="CS53" s="133">
        <f t="shared" si="1"/>
        <v>0</v>
      </c>
      <c r="CT53" s="133">
        <f t="shared" si="1"/>
        <v>0</v>
      </c>
      <c r="CU53" s="133">
        <f t="shared" si="1"/>
        <v>0</v>
      </c>
      <c r="CV53" s="133">
        <f t="shared" si="1"/>
        <v>0</v>
      </c>
      <c r="CW53" s="133">
        <f t="shared" si="1"/>
        <v>0</v>
      </c>
      <c r="CX53" s="133">
        <f t="shared" si="1"/>
        <v>0</v>
      </c>
      <c r="CY53" s="152">
        <f t="shared" si="1"/>
        <v>0</v>
      </c>
      <c r="CZ53" s="107"/>
      <c r="DA53" s="107"/>
      <c r="DB53" s="107"/>
      <c r="DC53" s="107"/>
      <c r="DD53" s="107"/>
      <c r="DE53" s="107"/>
      <c r="DF53" s="107"/>
      <c r="DG53" s="107"/>
      <c r="DH53" s="107"/>
    </row>
    <row r="54" spans="1:112" s="105" customFormat="1" ht="20.100000000000001" customHeight="1">
      <c r="A54" s="107"/>
      <c r="B54" s="149" t="str">
        <f>Calculations!A1157</f>
        <v>Trucks</v>
      </c>
      <c r="C54" s="150">
        <f>Calculations!B1157</f>
        <v>42602170.110499993</v>
      </c>
      <c r="D54" s="133">
        <f>IF(D$50=$C$39,1,0)</f>
        <v>1</v>
      </c>
      <c r="E54" s="133">
        <f t="shared" ref="E54:BP55" si="2">IF(E$50=$C$39,1,0)</f>
        <v>0</v>
      </c>
      <c r="F54" s="133">
        <f t="shared" si="2"/>
        <v>0</v>
      </c>
      <c r="G54" s="133">
        <f t="shared" si="2"/>
        <v>0</v>
      </c>
      <c r="H54" s="133">
        <f t="shared" si="2"/>
        <v>0</v>
      </c>
      <c r="I54" s="133">
        <f t="shared" si="2"/>
        <v>0</v>
      </c>
      <c r="J54" s="133">
        <f t="shared" si="2"/>
        <v>0</v>
      </c>
      <c r="K54" s="133">
        <f t="shared" si="2"/>
        <v>0</v>
      </c>
      <c r="L54" s="133">
        <f t="shared" si="2"/>
        <v>0</v>
      </c>
      <c r="M54" s="133">
        <f t="shared" si="2"/>
        <v>0</v>
      </c>
      <c r="N54" s="133">
        <f t="shared" si="2"/>
        <v>0</v>
      </c>
      <c r="O54" s="133">
        <f t="shared" si="2"/>
        <v>0</v>
      </c>
      <c r="P54" s="133">
        <f t="shared" si="2"/>
        <v>0</v>
      </c>
      <c r="Q54" s="133">
        <f t="shared" si="2"/>
        <v>0</v>
      </c>
      <c r="R54" s="133">
        <f t="shared" si="2"/>
        <v>0</v>
      </c>
      <c r="S54" s="133">
        <f t="shared" si="2"/>
        <v>0</v>
      </c>
      <c r="T54" s="133">
        <f t="shared" si="2"/>
        <v>0</v>
      </c>
      <c r="U54" s="133">
        <f t="shared" si="2"/>
        <v>0</v>
      </c>
      <c r="V54" s="133">
        <f t="shared" si="2"/>
        <v>0</v>
      </c>
      <c r="W54" s="133">
        <f t="shared" si="2"/>
        <v>0</v>
      </c>
      <c r="X54" s="133">
        <f t="shared" si="2"/>
        <v>0</v>
      </c>
      <c r="Y54" s="133">
        <f t="shared" si="2"/>
        <v>0</v>
      </c>
      <c r="Z54" s="133">
        <f t="shared" si="2"/>
        <v>0</v>
      </c>
      <c r="AA54" s="133">
        <f t="shared" si="2"/>
        <v>0</v>
      </c>
      <c r="AB54" s="133">
        <f t="shared" si="2"/>
        <v>0</v>
      </c>
      <c r="AC54" s="133">
        <f t="shared" si="2"/>
        <v>0</v>
      </c>
      <c r="AD54" s="133">
        <f t="shared" si="2"/>
        <v>0</v>
      </c>
      <c r="AE54" s="133">
        <f t="shared" si="2"/>
        <v>0</v>
      </c>
      <c r="AF54" s="133">
        <f t="shared" si="2"/>
        <v>0</v>
      </c>
      <c r="AG54" s="133">
        <f t="shared" si="2"/>
        <v>0</v>
      </c>
      <c r="AH54" s="133">
        <f t="shared" si="2"/>
        <v>0</v>
      </c>
      <c r="AI54" s="133">
        <f t="shared" si="2"/>
        <v>0</v>
      </c>
      <c r="AJ54" s="133">
        <f t="shared" si="2"/>
        <v>0</v>
      </c>
      <c r="AK54" s="133">
        <f t="shared" si="2"/>
        <v>0</v>
      </c>
      <c r="AL54" s="133">
        <f t="shared" si="2"/>
        <v>0</v>
      </c>
      <c r="AM54" s="133">
        <f t="shared" si="2"/>
        <v>0</v>
      </c>
      <c r="AN54" s="133">
        <f t="shared" si="2"/>
        <v>0</v>
      </c>
      <c r="AO54" s="133">
        <f t="shared" si="2"/>
        <v>0</v>
      </c>
      <c r="AP54" s="133">
        <f t="shared" si="2"/>
        <v>0</v>
      </c>
      <c r="AQ54" s="133">
        <f t="shared" si="2"/>
        <v>0</v>
      </c>
      <c r="AR54" s="133">
        <f t="shared" si="2"/>
        <v>0</v>
      </c>
      <c r="AS54" s="133">
        <f t="shared" si="2"/>
        <v>0</v>
      </c>
      <c r="AT54" s="133">
        <f t="shared" si="2"/>
        <v>0</v>
      </c>
      <c r="AU54" s="133">
        <f t="shared" si="2"/>
        <v>0</v>
      </c>
      <c r="AV54" s="133">
        <f t="shared" si="2"/>
        <v>0</v>
      </c>
      <c r="AW54" s="133">
        <f t="shared" si="2"/>
        <v>0</v>
      </c>
      <c r="AX54" s="133">
        <f t="shared" si="2"/>
        <v>0</v>
      </c>
      <c r="AY54" s="133">
        <f t="shared" si="2"/>
        <v>0</v>
      </c>
      <c r="AZ54" s="133">
        <f t="shared" si="2"/>
        <v>0</v>
      </c>
      <c r="BA54" s="133">
        <f t="shared" si="2"/>
        <v>0</v>
      </c>
      <c r="BB54" s="133">
        <f t="shared" si="2"/>
        <v>0</v>
      </c>
      <c r="BC54" s="133">
        <f t="shared" si="2"/>
        <v>0</v>
      </c>
      <c r="BD54" s="133">
        <f t="shared" si="2"/>
        <v>0</v>
      </c>
      <c r="BE54" s="133">
        <f t="shared" si="2"/>
        <v>0</v>
      </c>
      <c r="BF54" s="133">
        <f t="shared" si="2"/>
        <v>0</v>
      </c>
      <c r="BG54" s="133">
        <f t="shared" si="2"/>
        <v>0</v>
      </c>
      <c r="BH54" s="133">
        <f t="shared" si="2"/>
        <v>0</v>
      </c>
      <c r="BI54" s="133">
        <f t="shared" si="2"/>
        <v>0</v>
      </c>
      <c r="BJ54" s="133">
        <f t="shared" si="2"/>
        <v>0</v>
      </c>
      <c r="BK54" s="133">
        <f t="shared" si="2"/>
        <v>0</v>
      </c>
      <c r="BL54" s="133">
        <f t="shared" si="2"/>
        <v>0</v>
      </c>
      <c r="BM54" s="133">
        <f t="shared" si="2"/>
        <v>0</v>
      </c>
      <c r="BN54" s="133">
        <f t="shared" si="2"/>
        <v>0</v>
      </c>
      <c r="BO54" s="133">
        <f t="shared" si="2"/>
        <v>0</v>
      </c>
      <c r="BP54" s="133">
        <f t="shared" si="2"/>
        <v>0</v>
      </c>
      <c r="BQ54" s="133">
        <f t="shared" ref="BQ54:CY56" si="3">IF(BQ$50=$C$39,1,0)</f>
        <v>0</v>
      </c>
      <c r="BR54" s="133">
        <f t="shared" si="3"/>
        <v>0</v>
      </c>
      <c r="BS54" s="133">
        <f t="shared" si="3"/>
        <v>0</v>
      </c>
      <c r="BT54" s="133">
        <f t="shared" si="3"/>
        <v>0</v>
      </c>
      <c r="BU54" s="133">
        <f t="shared" si="3"/>
        <v>0</v>
      </c>
      <c r="BV54" s="133">
        <f t="shared" si="3"/>
        <v>0</v>
      </c>
      <c r="BW54" s="133">
        <f t="shared" si="3"/>
        <v>0</v>
      </c>
      <c r="BX54" s="133">
        <f t="shared" si="3"/>
        <v>0</v>
      </c>
      <c r="BY54" s="133">
        <f t="shared" si="3"/>
        <v>0</v>
      </c>
      <c r="BZ54" s="133">
        <f t="shared" si="3"/>
        <v>0</v>
      </c>
      <c r="CA54" s="133">
        <f t="shared" si="3"/>
        <v>0</v>
      </c>
      <c r="CB54" s="133">
        <f t="shared" si="3"/>
        <v>0</v>
      </c>
      <c r="CC54" s="133">
        <f t="shared" si="3"/>
        <v>0</v>
      </c>
      <c r="CD54" s="133">
        <f t="shared" si="3"/>
        <v>0</v>
      </c>
      <c r="CE54" s="133">
        <f t="shared" si="3"/>
        <v>0</v>
      </c>
      <c r="CF54" s="133">
        <f t="shared" si="3"/>
        <v>0</v>
      </c>
      <c r="CG54" s="133">
        <f t="shared" si="3"/>
        <v>0</v>
      </c>
      <c r="CH54" s="133">
        <f t="shared" si="3"/>
        <v>0</v>
      </c>
      <c r="CI54" s="133">
        <f t="shared" si="3"/>
        <v>0</v>
      </c>
      <c r="CJ54" s="133">
        <f t="shared" si="3"/>
        <v>0</v>
      </c>
      <c r="CK54" s="133">
        <f t="shared" si="3"/>
        <v>0</v>
      </c>
      <c r="CL54" s="133">
        <f t="shared" si="3"/>
        <v>0</v>
      </c>
      <c r="CM54" s="133">
        <f t="shared" si="3"/>
        <v>0</v>
      </c>
      <c r="CN54" s="133">
        <f t="shared" si="3"/>
        <v>0</v>
      </c>
      <c r="CO54" s="133">
        <f t="shared" si="3"/>
        <v>0</v>
      </c>
      <c r="CP54" s="133">
        <f t="shared" si="3"/>
        <v>0</v>
      </c>
      <c r="CQ54" s="133">
        <f t="shared" si="3"/>
        <v>0</v>
      </c>
      <c r="CR54" s="133">
        <f t="shared" si="3"/>
        <v>0</v>
      </c>
      <c r="CS54" s="133">
        <f t="shared" si="3"/>
        <v>0</v>
      </c>
      <c r="CT54" s="133">
        <f t="shared" si="3"/>
        <v>0</v>
      </c>
      <c r="CU54" s="133">
        <f t="shared" si="3"/>
        <v>0</v>
      </c>
      <c r="CV54" s="133">
        <f t="shared" si="3"/>
        <v>0</v>
      </c>
      <c r="CW54" s="133">
        <f t="shared" si="3"/>
        <v>0</v>
      </c>
      <c r="CX54" s="133">
        <f t="shared" si="3"/>
        <v>0</v>
      </c>
      <c r="CY54" s="152">
        <f t="shared" si="3"/>
        <v>0</v>
      </c>
      <c r="CZ54" s="107"/>
      <c r="DA54" s="107"/>
      <c r="DB54" s="107"/>
      <c r="DC54" s="107"/>
      <c r="DD54" s="107"/>
      <c r="DE54" s="107"/>
      <c r="DF54" s="107"/>
      <c r="DG54" s="107"/>
      <c r="DH54" s="107"/>
    </row>
    <row r="55" spans="1:112" s="105" customFormat="1" ht="20.100000000000001" customHeight="1">
      <c r="A55" s="107"/>
      <c r="B55" s="149" t="str">
        <f>Calculations!A1158</f>
        <v>Flatbed Trailers</v>
      </c>
      <c r="C55" s="150">
        <f>Calculations!B1158</f>
        <v>0</v>
      </c>
      <c r="D55" s="133">
        <f t="shared" ref="D55:S56" si="4">IF(D$50=$C$39,1,0)</f>
        <v>1</v>
      </c>
      <c r="E55" s="133">
        <f t="shared" si="4"/>
        <v>0</v>
      </c>
      <c r="F55" s="133">
        <f t="shared" si="4"/>
        <v>0</v>
      </c>
      <c r="G55" s="133">
        <f t="shared" si="4"/>
        <v>0</v>
      </c>
      <c r="H55" s="133">
        <f t="shared" si="4"/>
        <v>0</v>
      </c>
      <c r="I55" s="133">
        <f t="shared" si="4"/>
        <v>0</v>
      </c>
      <c r="J55" s="133">
        <f t="shared" si="4"/>
        <v>0</v>
      </c>
      <c r="K55" s="133">
        <f t="shared" si="4"/>
        <v>0</v>
      </c>
      <c r="L55" s="133">
        <f t="shared" si="4"/>
        <v>0</v>
      </c>
      <c r="M55" s="133">
        <f t="shared" si="4"/>
        <v>0</v>
      </c>
      <c r="N55" s="133">
        <f t="shared" si="4"/>
        <v>0</v>
      </c>
      <c r="O55" s="133">
        <f t="shared" si="4"/>
        <v>0</v>
      </c>
      <c r="P55" s="133">
        <f t="shared" si="4"/>
        <v>0</v>
      </c>
      <c r="Q55" s="133">
        <f t="shared" si="4"/>
        <v>0</v>
      </c>
      <c r="R55" s="133">
        <f t="shared" si="4"/>
        <v>0</v>
      </c>
      <c r="S55" s="133">
        <f t="shared" si="4"/>
        <v>0</v>
      </c>
      <c r="T55" s="133">
        <f t="shared" si="2"/>
        <v>0</v>
      </c>
      <c r="U55" s="133">
        <f t="shared" si="2"/>
        <v>0</v>
      </c>
      <c r="V55" s="133">
        <f t="shared" si="2"/>
        <v>0</v>
      </c>
      <c r="W55" s="133">
        <f t="shared" si="2"/>
        <v>0</v>
      </c>
      <c r="X55" s="133">
        <f t="shared" si="2"/>
        <v>0</v>
      </c>
      <c r="Y55" s="133">
        <f t="shared" si="2"/>
        <v>0</v>
      </c>
      <c r="Z55" s="133">
        <f t="shared" si="2"/>
        <v>0</v>
      </c>
      <c r="AA55" s="133">
        <f t="shared" si="2"/>
        <v>0</v>
      </c>
      <c r="AB55" s="133">
        <f t="shared" si="2"/>
        <v>0</v>
      </c>
      <c r="AC55" s="133">
        <f t="shared" si="2"/>
        <v>0</v>
      </c>
      <c r="AD55" s="133">
        <f t="shared" si="2"/>
        <v>0</v>
      </c>
      <c r="AE55" s="133">
        <f t="shared" si="2"/>
        <v>0</v>
      </c>
      <c r="AF55" s="133">
        <f t="shared" si="2"/>
        <v>0</v>
      </c>
      <c r="AG55" s="133">
        <f t="shared" si="2"/>
        <v>0</v>
      </c>
      <c r="AH55" s="133">
        <f t="shared" si="2"/>
        <v>0</v>
      </c>
      <c r="AI55" s="133">
        <f t="shared" si="2"/>
        <v>0</v>
      </c>
      <c r="AJ55" s="133">
        <f t="shared" si="2"/>
        <v>0</v>
      </c>
      <c r="AK55" s="133">
        <f t="shared" si="2"/>
        <v>0</v>
      </c>
      <c r="AL55" s="133">
        <f t="shared" si="2"/>
        <v>0</v>
      </c>
      <c r="AM55" s="133">
        <f t="shared" si="2"/>
        <v>0</v>
      </c>
      <c r="AN55" s="133">
        <f t="shared" si="2"/>
        <v>0</v>
      </c>
      <c r="AO55" s="133">
        <f t="shared" si="2"/>
        <v>0</v>
      </c>
      <c r="AP55" s="133">
        <f t="shared" si="2"/>
        <v>0</v>
      </c>
      <c r="AQ55" s="133">
        <f t="shared" si="2"/>
        <v>0</v>
      </c>
      <c r="AR55" s="133">
        <f t="shared" si="2"/>
        <v>0</v>
      </c>
      <c r="AS55" s="133">
        <f t="shared" si="2"/>
        <v>0</v>
      </c>
      <c r="AT55" s="133">
        <f t="shared" si="2"/>
        <v>0</v>
      </c>
      <c r="AU55" s="133">
        <f t="shared" si="2"/>
        <v>0</v>
      </c>
      <c r="AV55" s="133">
        <f t="shared" si="2"/>
        <v>0</v>
      </c>
      <c r="AW55" s="133">
        <f t="shared" si="2"/>
        <v>0</v>
      </c>
      <c r="AX55" s="133">
        <f t="shared" si="2"/>
        <v>0</v>
      </c>
      <c r="AY55" s="133">
        <f t="shared" si="2"/>
        <v>0</v>
      </c>
      <c r="AZ55" s="133">
        <f t="shared" si="2"/>
        <v>0</v>
      </c>
      <c r="BA55" s="133">
        <f t="shared" si="2"/>
        <v>0</v>
      </c>
      <c r="BB55" s="133">
        <f t="shared" si="2"/>
        <v>0</v>
      </c>
      <c r="BC55" s="133">
        <f t="shared" si="2"/>
        <v>0</v>
      </c>
      <c r="BD55" s="133">
        <f t="shared" si="2"/>
        <v>0</v>
      </c>
      <c r="BE55" s="133">
        <f t="shared" si="2"/>
        <v>0</v>
      </c>
      <c r="BF55" s="133">
        <f t="shared" si="2"/>
        <v>0</v>
      </c>
      <c r="BG55" s="133">
        <f t="shared" si="2"/>
        <v>0</v>
      </c>
      <c r="BH55" s="133">
        <f t="shared" si="2"/>
        <v>0</v>
      </c>
      <c r="BI55" s="133">
        <f t="shared" si="2"/>
        <v>0</v>
      </c>
      <c r="BJ55" s="133">
        <f t="shared" si="2"/>
        <v>0</v>
      </c>
      <c r="BK55" s="133">
        <f t="shared" si="2"/>
        <v>0</v>
      </c>
      <c r="BL55" s="133">
        <f t="shared" si="2"/>
        <v>0</v>
      </c>
      <c r="BM55" s="133">
        <f t="shared" si="2"/>
        <v>0</v>
      </c>
      <c r="BN55" s="133">
        <f t="shared" si="2"/>
        <v>0</v>
      </c>
      <c r="BO55" s="133">
        <f t="shared" si="2"/>
        <v>0</v>
      </c>
      <c r="BP55" s="133">
        <f t="shared" si="2"/>
        <v>0</v>
      </c>
      <c r="BQ55" s="133">
        <f t="shared" si="3"/>
        <v>0</v>
      </c>
      <c r="BR55" s="133">
        <f t="shared" si="3"/>
        <v>0</v>
      </c>
      <c r="BS55" s="133">
        <f t="shared" si="3"/>
        <v>0</v>
      </c>
      <c r="BT55" s="133">
        <f t="shared" si="3"/>
        <v>0</v>
      </c>
      <c r="BU55" s="133">
        <f t="shared" si="3"/>
        <v>0</v>
      </c>
      <c r="BV55" s="133">
        <f t="shared" si="3"/>
        <v>0</v>
      </c>
      <c r="BW55" s="133">
        <f t="shared" si="3"/>
        <v>0</v>
      </c>
      <c r="BX55" s="133">
        <f t="shared" si="3"/>
        <v>0</v>
      </c>
      <c r="BY55" s="133">
        <f t="shared" si="3"/>
        <v>0</v>
      </c>
      <c r="BZ55" s="133">
        <f t="shared" si="3"/>
        <v>0</v>
      </c>
      <c r="CA55" s="133">
        <f t="shared" si="3"/>
        <v>0</v>
      </c>
      <c r="CB55" s="133">
        <f t="shared" si="3"/>
        <v>0</v>
      </c>
      <c r="CC55" s="133">
        <f t="shared" si="3"/>
        <v>0</v>
      </c>
      <c r="CD55" s="133">
        <f t="shared" si="3"/>
        <v>0</v>
      </c>
      <c r="CE55" s="133">
        <f t="shared" si="3"/>
        <v>0</v>
      </c>
      <c r="CF55" s="133">
        <f t="shared" si="3"/>
        <v>0</v>
      </c>
      <c r="CG55" s="133">
        <f t="shared" si="3"/>
        <v>0</v>
      </c>
      <c r="CH55" s="133">
        <f t="shared" si="3"/>
        <v>0</v>
      </c>
      <c r="CI55" s="133">
        <f t="shared" si="3"/>
        <v>0</v>
      </c>
      <c r="CJ55" s="133">
        <f t="shared" si="3"/>
        <v>0</v>
      </c>
      <c r="CK55" s="133">
        <f t="shared" si="3"/>
        <v>0</v>
      </c>
      <c r="CL55" s="133">
        <f t="shared" si="3"/>
        <v>0</v>
      </c>
      <c r="CM55" s="133">
        <f t="shared" si="3"/>
        <v>0</v>
      </c>
      <c r="CN55" s="133">
        <f t="shared" si="3"/>
        <v>0</v>
      </c>
      <c r="CO55" s="133">
        <f t="shared" si="3"/>
        <v>0</v>
      </c>
      <c r="CP55" s="133">
        <f t="shared" si="3"/>
        <v>0</v>
      </c>
      <c r="CQ55" s="133">
        <f t="shared" si="3"/>
        <v>0</v>
      </c>
      <c r="CR55" s="133">
        <f t="shared" si="3"/>
        <v>0</v>
      </c>
      <c r="CS55" s="133">
        <f t="shared" si="3"/>
        <v>0</v>
      </c>
      <c r="CT55" s="133">
        <f t="shared" si="3"/>
        <v>0</v>
      </c>
      <c r="CU55" s="133">
        <f t="shared" si="3"/>
        <v>0</v>
      </c>
      <c r="CV55" s="133">
        <f t="shared" si="3"/>
        <v>0</v>
      </c>
      <c r="CW55" s="133">
        <f t="shared" si="3"/>
        <v>0</v>
      </c>
      <c r="CX55" s="133">
        <f t="shared" si="3"/>
        <v>0</v>
      </c>
      <c r="CY55" s="152">
        <f t="shared" si="3"/>
        <v>0</v>
      </c>
      <c r="CZ55" s="107"/>
      <c r="DA55" s="107"/>
      <c r="DB55" s="107"/>
      <c r="DC55" s="107"/>
      <c r="DD55" s="107"/>
      <c r="DE55" s="107"/>
      <c r="DF55" s="107"/>
      <c r="DG55" s="107"/>
      <c r="DH55" s="107"/>
    </row>
    <row r="56" spans="1:112" s="105" customFormat="1" ht="20.100000000000001" customHeight="1">
      <c r="A56" s="107"/>
      <c r="B56" s="149" t="str">
        <f>Calculations!A1159</f>
        <v>LCO2 Containers</v>
      </c>
      <c r="C56" s="150">
        <f>Calculations!B1159</f>
        <v>8114738.6033999994</v>
      </c>
      <c r="D56" s="133">
        <f t="shared" si="4"/>
        <v>1</v>
      </c>
      <c r="E56" s="133">
        <f t="shared" si="4"/>
        <v>0</v>
      </c>
      <c r="F56" s="133">
        <f t="shared" si="4"/>
        <v>0</v>
      </c>
      <c r="G56" s="133">
        <f t="shared" si="4"/>
        <v>0</v>
      </c>
      <c r="H56" s="133">
        <f t="shared" si="4"/>
        <v>0</v>
      </c>
      <c r="I56" s="133">
        <f t="shared" ref="I56:BT56" si="5">IF(I$50=$C$39,1,0)</f>
        <v>0</v>
      </c>
      <c r="J56" s="133">
        <f t="shared" si="5"/>
        <v>0</v>
      </c>
      <c r="K56" s="133">
        <f t="shared" si="5"/>
        <v>0</v>
      </c>
      <c r="L56" s="133">
        <f t="shared" si="5"/>
        <v>0</v>
      </c>
      <c r="M56" s="133">
        <f t="shared" si="5"/>
        <v>0</v>
      </c>
      <c r="N56" s="133">
        <f t="shared" si="5"/>
        <v>0</v>
      </c>
      <c r="O56" s="133">
        <f t="shared" si="5"/>
        <v>0</v>
      </c>
      <c r="P56" s="133">
        <f t="shared" si="5"/>
        <v>0</v>
      </c>
      <c r="Q56" s="133">
        <f t="shared" si="5"/>
        <v>0</v>
      </c>
      <c r="R56" s="133">
        <f t="shared" si="5"/>
        <v>0</v>
      </c>
      <c r="S56" s="133">
        <f t="shared" si="5"/>
        <v>0</v>
      </c>
      <c r="T56" s="133">
        <f t="shared" si="5"/>
        <v>0</v>
      </c>
      <c r="U56" s="133">
        <f t="shared" si="5"/>
        <v>0</v>
      </c>
      <c r="V56" s="133">
        <f t="shared" si="5"/>
        <v>0</v>
      </c>
      <c r="W56" s="133">
        <f t="shared" si="5"/>
        <v>0</v>
      </c>
      <c r="X56" s="133">
        <f t="shared" si="5"/>
        <v>0</v>
      </c>
      <c r="Y56" s="133">
        <f t="shared" si="5"/>
        <v>0</v>
      </c>
      <c r="Z56" s="133">
        <f t="shared" si="5"/>
        <v>0</v>
      </c>
      <c r="AA56" s="133">
        <f t="shared" si="5"/>
        <v>0</v>
      </c>
      <c r="AB56" s="133">
        <f t="shared" si="5"/>
        <v>0</v>
      </c>
      <c r="AC56" s="133">
        <f t="shared" si="5"/>
        <v>0</v>
      </c>
      <c r="AD56" s="133">
        <f t="shared" si="5"/>
        <v>0</v>
      </c>
      <c r="AE56" s="133">
        <f t="shared" si="5"/>
        <v>0</v>
      </c>
      <c r="AF56" s="133">
        <f t="shared" si="5"/>
        <v>0</v>
      </c>
      <c r="AG56" s="133">
        <f t="shared" si="5"/>
        <v>0</v>
      </c>
      <c r="AH56" s="133">
        <f t="shared" si="5"/>
        <v>0</v>
      </c>
      <c r="AI56" s="133">
        <f t="shared" si="5"/>
        <v>0</v>
      </c>
      <c r="AJ56" s="133">
        <f t="shared" si="5"/>
        <v>0</v>
      </c>
      <c r="AK56" s="133">
        <f t="shared" si="5"/>
        <v>0</v>
      </c>
      <c r="AL56" s="133">
        <f t="shared" si="5"/>
        <v>0</v>
      </c>
      <c r="AM56" s="133">
        <f t="shared" si="5"/>
        <v>0</v>
      </c>
      <c r="AN56" s="133">
        <f t="shared" si="5"/>
        <v>0</v>
      </c>
      <c r="AO56" s="133">
        <f t="shared" si="5"/>
        <v>0</v>
      </c>
      <c r="AP56" s="133">
        <f t="shared" si="5"/>
        <v>0</v>
      </c>
      <c r="AQ56" s="133">
        <f t="shared" si="5"/>
        <v>0</v>
      </c>
      <c r="AR56" s="133">
        <f t="shared" si="5"/>
        <v>0</v>
      </c>
      <c r="AS56" s="133">
        <f t="shared" si="5"/>
        <v>0</v>
      </c>
      <c r="AT56" s="133">
        <f t="shared" si="5"/>
        <v>0</v>
      </c>
      <c r="AU56" s="133">
        <f t="shared" si="5"/>
        <v>0</v>
      </c>
      <c r="AV56" s="133">
        <f t="shared" si="5"/>
        <v>0</v>
      </c>
      <c r="AW56" s="133">
        <f t="shared" si="5"/>
        <v>0</v>
      </c>
      <c r="AX56" s="133">
        <f t="shared" si="5"/>
        <v>0</v>
      </c>
      <c r="AY56" s="133">
        <f t="shared" si="5"/>
        <v>0</v>
      </c>
      <c r="AZ56" s="133">
        <f t="shared" si="5"/>
        <v>0</v>
      </c>
      <c r="BA56" s="133">
        <f t="shared" si="5"/>
        <v>0</v>
      </c>
      <c r="BB56" s="133">
        <f t="shared" si="5"/>
        <v>0</v>
      </c>
      <c r="BC56" s="133">
        <f t="shared" si="5"/>
        <v>0</v>
      </c>
      <c r="BD56" s="133">
        <f t="shared" si="5"/>
        <v>0</v>
      </c>
      <c r="BE56" s="133">
        <f t="shared" si="5"/>
        <v>0</v>
      </c>
      <c r="BF56" s="133">
        <f t="shared" si="5"/>
        <v>0</v>
      </c>
      <c r="BG56" s="133">
        <f t="shared" si="5"/>
        <v>0</v>
      </c>
      <c r="BH56" s="133">
        <f t="shared" si="5"/>
        <v>0</v>
      </c>
      <c r="BI56" s="133">
        <f t="shared" si="5"/>
        <v>0</v>
      </c>
      <c r="BJ56" s="133">
        <f t="shared" si="5"/>
        <v>0</v>
      </c>
      <c r="BK56" s="133">
        <f t="shared" si="5"/>
        <v>0</v>
      </c>
      <c r="BL56" s="133">
        <f t="shared" si="5"/>
        <v>0</v>
      </c>
      <c r="BM56" s="133">
        <f t="shared" si="5"/>
        <v>0</v>
      </c>
      <c r="BN56" s="133">
        <f t="shared" si="5"/>
        <v>0</v>
      </c>
      <c r="BO56" s="133">
        <f t="shared" si="5"/>
        <v>0</v>
      </c>
      <c r="BP56" s="133">
        <f t="shared" si="5"/>
        <v>0</v>
      </c>
      <c r="BQ56" s="133">
        <f t="shared" si="5"/>
        <v>0</v>
      </c>
      <c r="BR56" s="133">
        <f t="shared" si="5"/>
        <v>0</v>
      </c>
      <c r="BS56" s="133">
        <f t="shared" si="5"/>
        <v>0</v>
      </c>
      <c r="BT56" s="133">
        <f t="shared" si="5"/>
        <v>0</v>
      </c>
      <c r="BU56" s="133">
        <f t="shared" si="3"/>
        <v>0</v>
      </c>
      <c r="BV56" s="133">
        <f t="shared" si="3"/>
        <v>0</v>
      </c>
      <c r="BW56" s="133">
        <f t="shared" si="3"/>
        <v>0</v>
      </c>
      <c r="BX56" s="133">
        <f t="shared" si="3"/>
        <v>0</v>
      </c>
      <c r="BY56" s="133">
        <f t="shared" si="3"/>
        <v>0</v>
      </c>
      <c r="BZ56" s="133">
        <f t="shared" si="3"/>
        <v>0</v>
      </c>
      <c r="CA56" s="133">
        <f t="shared" si="3"/>
        <v>0</v>
      </c>
      <c r="CB56" s="133">
        <f t="shared" si="3"/>
        <v>0</v>
      </c>
      <c r="CC56" s="133">
        <f t="shared" si="3"/>
        <v>0</v>
      </c>
      <c r="CD56" s="133">
        <f t="shared" si="3"/>
        <v>0</v>
      </c>
      <c r="CE56" s="133">
        <f t="shared" si="3"/>
        <v>0</v>
      </c>
      <c r="CF56" s="133">
        <f t="shared" si="3"/>
        <v>0</v>
      </c>
      <c r="CG56" s="133">
        <f t="shared" si="3"/>
        <v>0</v>
      </c>
      <c r="CH56" s="133">
        <f t="shared" si="3"/>
        <v>0</v>
      </c>
      <c r="CI56" s="133">
        <f t="shared" si="3"/>
        <v>0</v>
      </c>
      <c r="CJ56" s="133">
        <f t="shared" si="3"/>
        <v>0</v>
      </c>
      <c r="CK56" s="133">
        <f t="shared" si="3"/>
        <v>0</v>
      </c>
      <c r="CL56" s="133">
        <f t="shared" si="3"/>
        <v>0</v>
      </c>
      <c r="CM56" s="133">
        <f t="shared" si="3"/>
        <v>0</v>
      </c>
      <c r="CN56" s="133">
        <f t="shared" si="3"/>
        <v>0</v>
      </c>
      <c r="CO56" s="133">
        <f t="shared" si="3"/>
        <v>0</v>
      </c>
      <c r="CP56" s="133">
        <f t="shared" si="3"/>
        <v>0</v>
      </c>
      <c r="CQ56" s="133">
        <f t="shared" si="3"/>
        <v>0</v>
      </c>
      <c r="CR56" s="133">
        <f t="shared" si="3"/>
        <v>0</v>
      </c>
      <c r="CS56" s="133">
        <f t="shared" si="3"/>
        <v>0</v>
      </c>
      <c r="CT56" s="133">
        <f t="shared" si="3"/>
        <v>0</v>
      </c>
      <c r="CU56" s="133">
        <f t="shared" si="3"/>
        <v>0</v>
      </c>
      <c r="CV56" s="133">
        <f t="shared" si="3"/>
        <v>0</v>
      </c>
      <c r="CW56" s="133">
        <f t="shared" si="3"/>
        <v>0</v>
      </c>
      <c r="CX56" s="133">
        <f t="shared" si="3"/>
        <v>0</v>
      </c>
      <c r="CY56" s="152">
        <f t="shared" si="3"/>
        <v>0</v>
      </c>
      <c r="CZ56" s="107"/>
      <c r="DA56" s="107"/>
      <c r="DB56" s="107"/>
      <c r="DC56" s="107"/>
      <c r="DD56" s="107"/>
      <c r="DE56" s="107"/>
      <c r="DF56" s="107"/>
      <c r="DG56" s="107"/>
      <c r="DH56" s="107"/>
    </row>
    <row r="57" spans="1:112" s="105" customFormat="1" ht="20.100000000000001" customHeight="1">
      <c r="A57" s="107"/>
      <c r="B57" s="149" t="str">
        <f>Calculations!A1160</f>
        <v>Intermediate storage</v>
      </c>
      <c r="C57" s="150">
        <f>Calculations!B1160</f>
        <v>4037501.7249961253</v>
      </c>
      <c r="D57" s="133">
        <f t="shared" ref="D57:S59" si="6">IF(D$50&lt;=$C$39,1/$C$39,0)</f>
        <v>1</v>
      </c>
      <c r="E57" s="133">
        <f t="shared" si="6"/>
        <v>0</v>
      </c>
      <c r="F57" s="133">
        <f t="shared" si="6"/>
        <v>0</v>
      </c>
      <c r="G57" s="133">
        <f t="shared" si="6"/>
        <v>0</v>
      </c>
      <c r="H57" s="133">
        <f t="shared" si="6"/>
        <v>0</v>
      </c>
      <c r="I57" s="133">
        <f t="shared" si="6"/>
        <v>0</v>
      </c>
      <c r="J57" s="133">
        <f t="shared" si="6"/>
        <v>0</v>
      </c>
      <c r="K57" s="133">
        <f t="shared" si="6"/>
        <v>0</v>
      </c>
      <c r="L57" s="133">
        <f t="shared" si="6"/>
        <v>0</v>
      </c>
      <c r="M57" s="133">
        <f t="shared" si="6"/>
        <v>0</v>
      </c>
      <c r="N57" s="133">
        <f t="shared" si="6"/>
        <v>0</v>
      </c>
      <c r="O57" s="133">
        <f t="shared" si="6"/>
        <v>0</v>
      </c>
      <c r="P57" s="133">
        <f t="shared" si="6"/>
        <v>0</v>
      </c>
      <c r="Q57" s="133">
        <f t="shared" si="6"/>
        <v>0</v>
      </c>
      <c r="R57" s="133">
        <f t="shared" si="6"/>
        <v>0</v>
      </c>
      <c r="S57" s="133">
        <f t="shared" si="6"/>
        <v>0</v>
      </c>
      <c r="T57" s="133">
        <f t="shared" ref="T57:CE59" si="7">IF(T$50&lt;=$C$39,1/$C$39,0)</f>
        <v>0</v>
      </c>
      <c r="U57" s="133">
        <f t="shared" si="7"/>
        <v>0</v>
      </c>
      <c r="V57" s="133">
        <f t="shared" si="7"/>
        <v>0</v>
      </c>
      <c r="W57" s="133">
        <f t="shared" si="7"/>
        <v>0</v>
      </c>
      <c r="X57" s="133">
        <f t="shared" si="7"/>
        <v>0</v>
      </c>
      <c r="Y57" s="133">
        <f t="shared" si="7"/>
        <v>0</v>
      </c>
      <c r="Z57" s="133">
        <f t="shared" si="7"/>
        <v>0</v>
      </c>
      <c r="AA57" s="133">
        <f t="shared" si="7"/>
        <v>0</v>
      </c>
      <c r="AB57" s="133">
        <f t="shared" si="7"/>
        <v>0</v>
      </c>
      <c r="AC57" s="133">
        <f t="shared" si="7"/>
        <v>0</v>
      </c>
      <c r="AD57" s="133">
        <f t="shared" si="7"/>
        <v>0</v>
      </c>
      <c r="AE57" s="133">
        <f t="shared" si="7"/>
        <v>0</v>
      </c>
      <c r="AF57" s="133">
        <f t="shared" si="7"/>
        <v>0</v>
      </c>
      <c r="AG57" s="133">
        <f t="shared" si="7"/>
        <v>0</v>
      </c>
      <c r="AH57" s="133">
        <f t="shared" si="7"/>
        <v>0</v>
      </c>
      <c r="AI57" s="133">
        <f t="shared" si="7"/>
        <v>0</v>
      </c>
      <c r="AJ57" s="133">
        <f t="shared" si="7"/>
        <v>0</v>
      </c>
      <c r="AK57" s="133">
        <f t="shared" si="7"/>
        <v>0</v>
      </c>
      <c r="AL57" s="133">
        <f t="shared" si="7"/>
        <v>0</v>
      </c>
      <c r="AM57" s="133">
        <f t="shared" si="7"/>
        <v>0</v>
      </c>
      <c r="AN57" s="133">
        <f t="shared" si="7"/>
        <v>0</v>
      </c>
      <c r="AO57" s="133">
        <f t="shared" si="7"/>
        <v>0</v>
      </c>
      <c r="AP57" s="133">
        <f t="shared" si="7"/>
        <v>0</v>
      </c>
      <c r="AQ57" s="133">
        <f t="shared" si="7"/>
        <v>0</v>
      </c>
      <c r="AR57" s="133">
        <f t="shared" si="7"/>
        <v>0</v>
      </c>
      <c r="AS57" s="133">
        <f t="shared" si="7"/>
        <v>0</v>
      </c>
      <c r="AT57" s="133">
        <f t="shared" si="7"/>
        <v>0</v>
      </c>
      <c r="AU57" s="133">
        <f t="shared" si="7"/>
        <v>0</v>
      </c>
      <c r="AV57" s="133">
        <f t="shared" si="7"/>
        <v>0</v>
      </c>
      <c r="AW57" s="133">
        <f t="shared" si="7"/>
        <v>0</v>
      </c>
      <c r="AX57" s="133">
        <f t="shared" si="7"/>
        <v>0</v>
      </c>
      <c r="AY57" s="133">
        <f t="shared" si="7"/>
        <v>0</v>
      </c>
      <c r="AZ57" s="133">
        <f t="shared" si="7"/>
        <v>0</v>
      </c>
      <c r="BA57" s="133">
        <f t="shared" si="7"/>
        <v>0</v>
      </c>
      <c r="BB57" s="133">
        <f t="shared" si="7"/>
        <v>0</v>
      </c>
      <c r="BC57" s="133">
        <f t="shared" si="7"/>
        <v>0</v>
      </c>
      <c r="BD57" s="133">
        <f t="shared" si="7"/>
        <v>0</v>
      </c>
      <c r="BE57" s="133">
        <f t="shared" si="7"/>
        <v>0</v>
      </c>
      <c r="BF57" s="133">
        <f t="shared" si="7"/>
        <v>0</v>
      </c>
      <c r="BG57" s="133">
        <f t="shared" si="7"/>
        <v>0</v>
      </c>
      <c r="BH57" s="133">
        <f t="shared" si="7"/>
        <v>0</v>
      </c>
      <c r="BI57" s="133">
        <f t="shared" si="7"/>
        <v>0</v>
      </c>
      <c r="BJ57" s="133">
        <f t="shared" si="7"/>
        <v>0</v>
      </c>
      <c r="BK57" s="133">
        <f t="shared" si="7"/>
        <v>0</v>
      </c>
      <c r="BL57" s="133">
        <f t="shared" si="7"/>
        <v>0</v>
      </c>
      <c r="BM57" s="133">
        <f t="shared" si="7"/>
        <v>0</v>
      </c>
      <c r="BN57" s="133">
        <f t="shared" si="7"/>
        <v>0</v>
      </c>
      <c r="BO57" s="133">
        <f t="shared" si="7"/>
        <v>0</v>
      </c>
      <c r="BP57" s="133">
        <f t="shared" si="7"/>
        <v>0</v>
      </c>
      <c r="BQ57" s="133">
        <f t="shared" si="7"/>
        <v>0</v>
      </c>
      <c r="BR57" s="133">
        <f t="shared" si="7"/>
        <v>0</v>
      </c>
      <c r="BS57" s="133">
        <f t="shared" si="7"/>
        <v>0</v>
      </c>
      <c r="BT57" s="133">
        <f t="shared" si="7"/>
        <v>0</v>
      </c>
      <c r="BU57" s="133">
        <f t="shared" si="7"/>
        <v>0</v>
      </c>
      <c r="BV57" s="133">
        <f t="shared" si="7"/>
        <v>0</v>
      </c>
      <c r="BW57" s="133">
        <f t="shared" si="7"/>
        <v>0</v>
      </c>
      <c r="BX57" s="133">
        <f t="shared" si="7"/>
        <v>0</v>
      </c>
      <c r="BY57" s="133">
        <f t="shared" si="7"/>
        <v>0</v>
      </c>
      <c r="BZ57" s="133">
        <f t="shared" si="7"/>
        <v>0</v>
      </c>
      <c r="CA57" s="133">
        <f t="shared" si="7"/>
        <v>0</v>
      </c>
      <c r="CB57" s="133">
        <f t="shared" si="7"/>
        <v>0</v>
      </c>
      <c r="CC57" s="133">
        <f t="shared" si="7"/>
        <v>0</v>
      </c>
      <c r="CD57" s="133">
        <f t="shared" si="7"/>
        <v>0</v>
      </c>
      <c r="CE57" s="133">
        <f t="shared" si="7"/>
        <v>0</v>
      </c>
      <c r="CF57" s="133">
        <f t="shared" ref="CF57:CY59" si="8">IF(CF$50&lt;=$C$39,1/$C$39,0)</f>
        <v>0</v>
      </c>
      <c r="CG57" s="133">
        <f t="shared" si="8"/>
        <v>0</v>
      </c>
      <c r="CH57" s="133">
        <f t="shared" si="8"/>
        <v>0</v>
      </c>
      <c r="CI57" s="133">
        <f t="shared" si="8"/>
        <v>0</v>
      </c>
      <c r="CJ57" s="133">
        <f t="shared" si="8"/>
        <v>0</v>
      </c>
      <c r="CK57" s="133">
        <f t="shared" si="8"/>
        <v>0</v>
      </c>
      <c r="CL57" s="133">
        <f t="shared" si="8"/>
        <v>0</v>
      </c>
      <c r="CM57" s="133">
        <f t="shared" si="8"/>
        <v>0</v>
      </c>
      <c r="CN57" s="133">
        <f t="shared" si="8"/>
        <v>0</v>
      </c>
      <c r="CO57" s="133">
        <f t="shared" si="8"/>
        <v>0</v>
      </c>
      <c r="CP57" s="133">
        <f t="shared" si="8"/>
        <v>0</v>
      </c>
      <c r="CQ57" s="133">
        <f t="shared" si="8"/>
        <v>0</v>
      </c>
      <c r="CR57" s="133">
        <f t="shared" si="8"/>
        <v>0</v>
      </c>
      <c r="CS57" s="133">
        <f t="shared" si="8"/>
        <v>0</v>
      </c>
      <c r="CT57" s="133">
        <f t="shared" si="8"/>
        <v>0</v>
      </c>
      <c r="CU57" s="133">
        <f t="shared" si="8"/>
        <v>0</v>
      </c>
      <c r="CV57" s="133">
        <f t="shared" si="8"/>
        <v>0</v>
      </c>
      <c r="CW57" s="133">
        <f t="shared" si="8"/>
        <v>0</v>
      </c>
      <c r="CX57" s="133">
        <f t="shared" si="8"/>
        <v>0</v>
      </c>
      <c r="CY57" s="152">
        <f t="shared" si="8"/>
        <v>0</v>
      </c>
      <c r="CZ57" s="107"/>
      <c r="DA57" s="107"/>
      <c r="DB57" s="107"/>
      <c r="DC57" s="107"/>
      <c r="DD57" s="107"/>
      <c r="DE57" s="107"/>
      <c r="DF57" s="107"/>
      <c r="DG57" s="107"/>
      <c r="DH57" s="107"/>
    </row>
    <row r="58" spans="1:112" s="105" customFormat="1" ht="20.100000000000001" customHeight="1">
      <c r="A58" s="107"/>
      <c r="B58" s="149" t="str">
        <f>Calculations!A1161</f>
        <v>Buffer Storage (downstream)</v>
      </c>
      <c r="C58" s="150">
        <f>Calculations!B1161</f>
        <v>10041227.646046534</v>
      </c>
      <c r="D58" s="133">
        <f t="shared" si="6"/>
        <v>1</v>
      </c>
      <c r="E58" s="133">
        <f t="shared" ref="E58:BP59" si="9">IF(E$50&lt;=$C$39,1/$C$39,0)</f>
        <v>0</v>
      </c>
      <c r="F58" s="133">
        <f t="shared" si="9"/>
        <v>0</v>
      </c>
      <c r="G58" s="133">
        <f t="shared" si="9"/>
        <v>0</v>
      </c>
      <c r="H58" s="133">
        <f t="shared" si="9"/>
        <v>0</v>
      </c>
      <c r="I58" s="133">
        <f t="shared" si="9"/>
        <v>0</v>
      </c>
      <c r="J58" s="133">
        <f t="shared" si="9"/>
        <v>0</v>
      </c>
      <c r="K58" s="133">
        <f t="shared" si="9"/>
        <v>0</v>
      </c>
      <c r="L58" s="133">
        <f t="shared" si="9"/>
        <v>0</v>
      </c>
      <c r="M58" s="133">
        <f t="shared" si="9"/>
        <v>0</v>
      </c>
      <c r="N58" s="133">
        <f t="shared" si="9"/>
        <v>0</v>
      </c>
      <c r="O58" s="133">
        <f t="shared" si="9"/>
        <v>0</v>
      </c>
      <c r="P58" s="133">
        <f t="shared" si="9"/>
        <v>0</v>
      </c>
      <c r="Q58" s="133">
        <f t="shared" si="9"/>
        <v>0</v>
      </c>
      <c r="R58" s="133">
        <f t="shared" si="9"/>
        <v>0</v>
      </c>
      <c r="S58" s="133">
        <f t="shared" si="9"/>
        <v>0</v>
      </c>
      <c r="T58" s="133">
        <f t="shared" si="9"/>
        <v>0</v>
      </c>
      <c r="U58" s="133">
        <f t="shared" si="9"/>
        <v>0</v>
      </c>
      <c r="V58" s="133">
        <f t="shared" si="9"/>
        <v>0</v>
      </c>
      <c r="W58" s="133">
        <f t="shared" si="9"/>
        <v>0</v>
      </c>
      <c r="X58" s="133">
        <f t="shared" si="9"/>
        <v>0</v>
      </c>
      <c r="Y58" s="133">
        <f t="shared" si="9"/>
        <v>0</v>
      </c>
      <c r="Z58" s="133">
        <f t="shared" si="9"/>
        <v>0</v>
      </c>
      <c r="AA58" s="133">
        <f t="shared" si="9"/>
        <v>0</v>
      </c>
      <c r="AB58" s="133">
        <f t="shared" si="9"/>
        <v>0</v>
      </c>
      <c r="AC58" s="133">
        <f t="shared" si="9"/>
        <v>0</v>
      </c>
      <c r="AD58" s="133">
        <f t="shared" si="9"/>
        <v>0</v>
      </c>
      <c r="AE58" s="133">
        <f t="shared" si="9"/>
        <v>0</v>
      </c>
      <c r="AF58" s="133">
        <f t="shared" si="9"/>
        <v>0</v>
      </c>
      <c r="AG58" s="133">
        <f t="shared" si="9"/>
        <v>0</v>
      </c>
      <c r="AH58" s="133">
        <f t="shared" si="9"/>
        <v>0</v>
      </c>
      <c r="AI58" s="133">
        <f t="shared" si="9"/>
        <v>0</v>
      </c>
      <c r="AJ58" s="133">
        <f t="shared" si="9"/>
        <v>0</v>
      </c>
      <c r="AK58" s="133">
        <f t="shared" si="9"/>
        <v>0</v>
      </c>
      <c r="AL58" s="133">
        <f t="shared" si="9"/>
        <v>0</v>
      </c>
      <c r="AM58" s="133">
        <f t="shared" si="9"/>
        <v>0</v>
      </c>
      <c r="AN58" s="133">
        <f t="shared" si="9"/>
        <v>0</v>
      </c>
      <c r="AO58" s="133">
        <f t="shared" si="9"/>
        <v>0</v>
      </c>
      <c r="AP58" s="133">
        <f t="shared" si="9"/>
        <v>0</v>
      </c>
      <c r="AQ58" s="133">
        <f t="shared" si="9"/>
        <v>0</v>
      </c>
      <c r="AR58" s="133">
        <f t="shared" si="9"/>
        <v>0</v>
      </c>
      <c r="AS58" s="133">
        <f t="shared" si="9"/>
        <v>0</v>
      </c>
      <c r="AT58" s="133">
        <f t="shared" si="9"/>
        <v>0</v>
      </c>
      <c r="AU58" s="133">
        <f t="shared" si="9"/>
        <v>0</v>
      </c>
      <c r="AV58" s="133">
        <f t="shared" si="9"/>
        <v>0</v>
      </c>
      <c r="AW58" s="133">
        <f t="shared" si="9"/>
        <v>0</v>
      </c>
      <c r="AX58" s="133">
        <f t="shared" si="9"/>
        <v>0</v>
      </c>
      <c r="AY58" s="133">
        <f t="shared" si="9"/>
        <v>0</v>
      </c>
      <c r="AZ58" s="133">
        <f t="shared" si="9"/>
        <v>0</v>
      </c>
      <c r="BA58" s="133">
        <f t="shared" si="9"/>
        <v>0</v>
      </c>
      <c r="BB58" s="133">
        <f t="shared" si="9"/>
        <v>0</v>
      </c>
      <c r="BC58" s="133">
        <f t="shared" si="9"/>
        <v>0</v>
      </c>
      <c r="BD58" s="133">
        <f t="shared" si="9"/>
        <v>0</v>
      </c>
      <c r="BE58" s="133">
        <f t="shared" si="9"/>
        <v>0</v>
      </c>
      <c r="BF58" s="133">
        <f t="shared" si="9"/>
        <v>0</v>
      </c>
      <c r="BG58" s="133">
        <f t="shared" si="9"/>
        <v>0</v>
      </c>
      <c r="BH58" s="133">
        <f t="shared" si="9"/>
        <v>0</v>
      </c>
      <c r="BI58" s="133">
        <f t="shared" si="9"/>
        <v>0</v>
      </c>
      <c r="BJ58" s="133">
        <f t="shared" si="9"/>
        <v>0</v>
      </c>
      <c r="BK58" s="133">
        <f t="shared" si="9"/>
        <v>0</v>
      </c>
      <c r="BL58" s="133">
        <f t="shared" si="9"/>
        <v>0</v>
      </c>
      <c r="BM58" s="133">
        <f t="shared" si="9"/>
        <v>0</v>
      </c>
      <c r="BN58" s="133">
        <f t="shared" si="9"/>
        <v>0</v>
      </c>
      <c r="BO58" s="133">
        <f t="shared" si="9"/>
        <v>0</v>
      </c>
      <c r="BP58" s="133">
        <f t="shared" si="9"/>
        <v>0</v>
      </c>
      <c r="BQ58" s="133">
        <f t="shared" si="7"/>
        <v>0</v>
      </c>
      <c r="BR58" s="133">
        <f t="shared" si="7"/>
        <v>0</v>
      </c>
      <c r="BS58" s="133">
        <f t="shared" si="7"/>
        <v>0</v>
      </c>
      <c r="BT58" s="133">
        <f t="shared" si="7"/>
        <v>0</v>
      </c>
      <c r="BU58" s="133">
        <f t="shared" si="7"/>
        <v>0</v>
      </c>
      <c r="BV58" s="133">
        <f t="shared" si="7"/>
        <v>0</v>
      </c>
      <c r="BW58" s="133">
        <f t="shared" si="7"/>
        <v>0</v>
      </c>
      <c r="BX58" s="133">
        <f t="shared" si="7"/>
        <v>0</v>
      </c>
      <c r="BY58" s="133">
        <f t="shared" si="7"/>
        <v>0</v>
      </c>
      <c r="BZ58" s="133">
        <f t="shared" si="7"/>
        <v>0</v>
      </c>
      <c r="CA58" s="133">
        <f t="shared" si="7"/>
        <v>0</v>
      </c>
      <c r="CB58" s="133">
        <f t="shared" si="7"/>
        <v>0</v>
      </c>
      <c r="CC58" s="133">
        <f t="shared" si="7"/>
        <v>0</v>
      </c>
      <c r="CD58" s="133">
        <f t="shared" si="7"/>
        <v>0</v>
      </c>
      <c r="CE58" s="133">
        <f t="shared" si="7"/>
        <v>0</v>
      </c>
      <c r="CF58" s="133">
        <f t="shared" si="8"/>
        <v>0</v>
      </c>
      <c r="CG58" s="133">
        <f t="shared" si="8"/>
        <v>0</v>
      </c>
      <c r="CH58" s="133">
        <f t="shared" si="8"/>
        <v>0</v>
      </c>
      <c r="CI58" s="133">
        <f t="shared" si="8"/>
        <v>0</v>
      </c>
      <c r="CJ58" s="133">
        <f t="shared" si="8"/>
        <v>0</v>
      </c>
      <c r="CK58" s="133">
        <f t="shared" si="8"/>
        <v>0</v>
      </c>
      <c r="CL58" s="133">
        <f t="shared" si="8"/>
        <v>0</v>
      </c>
      <c r="CM58" s="133">
        <f t="shared" si="8"/>
        <v>0</v>
      </c>
      <c r="CN58" s="133">
        <f t="shared" si="8"/>
        <v>0</v>
      </c>
      <c r="CO58" s="133">
        <f t="shared" si="8"/>
        <v>0</v>
      </c>
      <c r="CP58" s="133">
        <f t="shared" si="8"/>
        <v>0</v>
      </c>
      <c r="CQ58" s="133">
        <f t="shared" si="8"/>
        <v>0</v>
      </c>
      <c r="CR58" s="133">
        <f t="shared" si="8"/>
        <v>0</v>
      </c>
      <c r="CS58" s="133">
        <f t="shared" si="8"/>
        <v>0</v>
      </c>
      <c r="CT58" s="133">
        <f t="shared" si="8"/>
        <v>0</v>
      </c>
      <c r="CU58" s="133">
        <f t="shared" si="8"/>
        <v>0</v>
      </c>
      <c r="CV58" s="133">
        <f t="shared" si="8"/>
        <v>0</v>
      </c>
      <c r="CW58" s="133">
        <f t="shared" si="8"/>
        <v>0</v>
      </c>
      <c r="CX58" s="133">
        <f t="shared" si="8"/>
        <v>0</v>
      </c>
      <c r="CY58" s="152">
        <f t="shared" si="8"/>
        <v>0</v>
      </c>
      <c r="CZ58" s="107"/>
      <c r="DA58" s="107"/>
      <c r="DB58" s="107"/>
      <c r="DC58" s="107"/>
      <c r="DD58" s="107"/>
      <c r="DE58" s="107"/>
      <c r="DF58" s="107"/>
      <c r="DG58" s="107"/>
      <c r="DH58" s="107"/>
    </row>
    <row r="59" spans="1:112" s="105" customFormat="1" ht="20.100000000000001" customHeight="1">
      <c r="A59" s="107"/>
      <c r="B59" s="153" t="str">
        <f>Calculations!A1162</f>
        <v>Reconditioning equipment</v>
      </c>
      <c r="C59" s="154">
        <f>Calculations!B1162</f>
        <v>4659928.6785793267</v>
      </c>
      <c r="D59" s="155">
        <f t="shared" si="6"/>
        <v>1</v>
      </c>
      <c r="E59" s="155">
        <f t="shared" si="9"/>
        <v>0</v>
      </c>
      <c r="F59" s="155">
        <f t="shared" si="9"/>
        <v>0</v>
      </c>
      <c r="G59" s="155">
        <f t="shared" si="9"/>
        <v>0</v>
      </c>
      <c r="H59" s="155">
        <f t="shared" si="9"/>
        <v>0</v>
      </c>
      <c r="I59" s="155">
        <f t="shared" si="9"/>
        <v>0</v>
      </c>
      <c r="J59" s="155">
        <f t="shared" si="9"/>
        <v>0</v>
      </c>
      <c r="K59" s="155">
        <f t="shared" si="9"/>
        <v>0</v>
      </c>
      <c r="L59" s="155">
        <f t="shared" si="9"/>
        <v>0</v>
      </c>
      <c r="M59" s="155">
        <f t="shared" si="9"/>
        <v>0</v>
      </c>
      <c r="N59" s="155">
        <f t="shared" si="9"/>
        <v>0</v>
      </c>
      <c r="O59" s="155">
        <f t="shared" si="9"/>
        <v>0</v>
      </c>
      <c r="P59" s="155">
        <f t="shared" si="9"/>
        <v>0</v>
      </c>
      <c r="Q59" s="155">
        <f t="shared" si="9"/>
        <v>0</v>
      </c>
      <c r="R59" s="155">
        <f t="shared" si="9"/>
        <v>0</v>
      </c>
      <c r="S59" s="155">
        <f t="shared" si="9"/>
        <v>0</v>
      </c>
      <c r="T59" s="155">
        <f t="shared" si="9"/>
        <v>0</v>
      </c>
      <c r="U59" s="155">
        <f t="shared" si="9"/>
        <v>0</v>
      </c>
      <c r="V59" s="155">
        <f t="shared" si="9"/>
        <v>0</v>
      </c>
      <c r="W59" s="155">
        <f t="shared" si="9"/>
        <v>0</v>
      </c>
      <c r="X59" s="155">
        <f t="shared" si="9"/>
        <v>0</v>
      </c>
      <c r="Y59" s="155">
        <f t="shared" si="9"/>
        <v>0</v>
      </c>
      <c r="Z59" s="155">
        <f t="shared" si="9"/>
        <v>0</v>
      </c>
      <c r="AA59" s="155">
        <f t="shared" si="9"/>
        <v>0</v>
      </c>
      <c r="AB59" s="155">
        <f t="shared" si="9"/>
        <v>0</v>
      </c>
      <c r="AC59" s="155">
        <f t="shared" si="9"/>
        <v>0</v>
      </c>
      <c r="AD59" s="155">
        <f t="shared" si="9"/>
        <v>0</v>
      </c>
      <c r="AE59" s="155">
        <f t="shared" si="9"/>
        <v>0</v>
      </c>
      <c r="AF59" s="155">
        <f t="shared" si="9"/>
        <v>0</v>
      </c>
      <c r="AG59" s="155">
        <f t="shared" si="9"/>
        <v>0</v>
      </c>
      <c r="AH59" s="155">
        <f t="shared" si="9"/>
        <v>0</v>
      </c>
      <c r="AI59" s="155">
        <f t="shared" si="9"/>
        <v>0</v>
      </c>
      <c r="AJ59" s="155">
        <f t="shared" si="9"/>
        <v>0</v>
      </c>
      <c r="AK59" s="155">
        <f t="shared" si="9"/>
        <v>0</v>
      </c>
      <c r="AL59" s="155">
        <f t="shared" si="9"/>
        <v>0</v>
      </c>
      <c r="AM59" s="155">
        <f t="shared" si="9"/>
        <v>0</v>
      </c>
      <c r="AN59" s="155">
        <f t="shared" si="9"/>
        <v>0</v>
      </c>
      <c r="AO59" s="155">
        <f t="shared" si="9"/>
        <v>0</v>
      </c>
      <c r="AP59" s="155">
        <f t="shared" si="9"/>
        <v>0</v>
      </c>
      <c r="AQ59" s="155">
        <f t="shared" si="9"/>
        <v>0</v>
      </c>
      <c r="AR59" s="155">
        <f t="shared" si="9"/>
        <v>0</v>
      </c>
      <c r="AS59" s="155">
        <f t="shared" si="9"/>
        <v>0</v>
      </c>
      <c r="AT59" s="155">
        <f t="shared" si="9"/>
        <v>0</v>
      </c>
      <c r="AU59" s="155">
        <f t="shared" si="9"/>
        <v>0</v>
      </c>
      <c r="AV59" s="155">
        <f t="shared" si="9"/>
        <v>0</v>
      </c>
      <c r="AW59" s="155">
        <f t="shared" si="9"/>
        <v>0</v>
      </c>
      <c r="AX59" s="155">
        <f t="shared" si="9"/>
        <v>0</v>
      </c>
      <c r="AY59" s="155">
        <f t="shared" si="9"/>
        <v>0</v>
      </c>
      <c r="AZ59" s="155">
        <f t="shared" si="9"/>
        <v>0</v>
      </c>
      <c r="BA59" s="155">
        <f t="shared" si="9"/>
        <v>0</v>
      </c>
      <c r="BB59" s="155">
        <f t="shared" si="9"/>
        <v>0</v>
      </c>
      <c r="BC59" s="155">
        <f t="shared" si="9"/>
        <v>0</v>
      </c>
      <c r="BD59" s="155">
        <f t="shared" si="9"/>
        <v>0</v>
      </c>
      <c r="BE59" s="155">
        <f t="shared" si="9"/>
        <v>0</v>
      </c>
      <c r="BF59" s="155">
        <f t="shared" si="9"/>
        <v>0</v>
      </c>
      <c r="BG59" s="155">
        <f t="shared" si="9"/>
        <v>0</v>
      </c>
      <c r="BH59" s="155">
        <f t="shared" si="9"/>
        <v>0</v>
      </c>
      <c r="BI59" s="155">
        <f t="shared" si="9"/>
        <v>0</v>
      </c>
      <c r="BJ59" s="155">
        <f t="shared" si="9"/>
        <v>0</v>
      </c>
      <c r="BK59" s="155">
        <f t="shared" si="9"/>
        <v>0</v>
      </c>
      <c r="BL59" s="155">
        <f t="shared" si="9"/>
        <v>0</v>
      </c>
      <c r="BM59" s="155">
        <f t="shared" si="9"/>
        <v>0</v>
      </c>
      <c r="BN59" s="155">
        <f t="shared" si="9"/>
        <v>0</v>
      </c>
      <c r="BO59" s="155">
        <f t="shared" si="9"/>
        <v>0</v>
      </c>
      <c r="BP59" s="155">
        <f t="shared" si="9"/>
        <v>0</v>
      </c>
      <c r="BQ59" s="155">
        <f t="shared" si="7"/>
        <v>0</v>
      </c>
      <c r="BR59" s="155">
        <f t="shared" si="7"/>
        <v>0</v>
      </c>
      <c r="BS59" s="155">
        <f t="shared" si="7"/>
        <v>0</v>
      </c>
      <c r="BT59" s="155">
        <f t="shared" si="7"/>
        <v>0</v>
      </c>
      <c r="BU59" s="155">
        <f t="shared" si="7"/>
        <v>0</v>
      </c>
      <c r="BV59" s="155">
        <f t="shared" si="7"/>
        <v>0</v>
      </c>
      <c r="BW59" s="155">
        <f t="shared" si="7"/>
        <v>0</v>
      </c>
      <c r="BX59" s="155">
        <f t="shared" si="7"/>
        <v>0</v>
      </c>
      <c r="BY59" s="155">
        <f t="shared" si="7"/>
        <v>0</v>
      </c>
      <c r="BZ59" s="155">
        <f t="shared" si="7"/>
        <v>0</v>
      </c>
      <c r="CA59" s="155">
        <f t="shared" si="7"/>
        <v>0</v>
      </c>
      <c r="CB59" s="155">
        <f t="shared" si="7"/>
        <v>0</v>
      </c>
      <c r="CC59" s="155">
        <f t="shared" si="7"/>
        <v>0</v>
      </c>
      <c r="CD59" s="155">
        <f t="shared" si="7"/>
        <v>0</v>
      </c>
      <c r="CE59" s="155">
        <f t="shared" si="7"/>
        <v>0</v>
      </c>
      <c r="CF59" s="155">
        <f t="shared" si="8"/>
        <v>0</v>
      </c>
      <c r="CG59" s="155">
        <f t="shared" si="8"/>
        <v>0</v>
      </c>
      <c r="CH59" s="155">
        <f t="shared" si="8"/>
        <v>0</v>
      </c>
      <c r="CI59" s="155">
        <f t="shared" si="8"/>
        <v>0</v>
      </c>
      <c r="CJ59" s="155">
        <f t="shared" si="8"/>
        <v>0</v>
      </c>
      <c r="CK59" s="155">
        <f t="shared" si="8"/>
        <v>0</v>
      </c>
      <c r="CL59" s="155">
        <f t="shared" si="8"/>
        <v>0</v>
      </c>
      <c r="CM59" s="155">
        <f t="shared" si="8"/>
        <v>0</v>
      </c>
      <c r="CN59" s="155">
        <f t="shared" si="8"/>
        <v>0</v>
      </c>
      <c r="CO59" s="155">
        <f t="shared" si="8"/>
        <v>0</v>
      </c>
      <c r="CP59" s="155">
        <f t="shared" si="8"/>
        <v>0</v>
      </c>
      <c r="CQ59" s="155">
        <f t="shared" si="8"/>
        <v>0</v>
      </c>
      <c r="CR59" s="155">
        <f t="shared" si="8"/>
        <v>0</v>
      </c>
      <c r="CS59" s="155">
        <f t="shared" si="8"/>
        <v>0</v>
      </c>
      <c r="CT59" s="155">
        <f t="shared" si="8"/>
        <v>0</v>
      </c>
      <c r="CU59" s="155">
        <f t="shared" si="8"/>
        <v>0</v>
      </c>
      <c r="CV59" s="155">
        <f t="shared" si="8"/>
        <v>0</v>
      </c>
      <c r="CW59" s="155">
        <f t="shared" si="8"/>
        <v>0</v>
      </c>
      <c r="CX59" s="155">
        <f t="shared" si="8"/>
        <v>0</v>
      </c>
      <c r="CY59" s="156">
        <f t="shared" si="8"/>
        <v>0</v>
      </c>
      <c r="CZ59" s="107"/>
      <c r="DA59" s="107"/>
      <c r="DB59" s="107"/>
      <c r="DC59" s="107"/>
      <c r="DD59" s="107"/>
      <c r="DE59" s="107"/>
      <c r="DF59" s="107"/>
      <c r="DG59" s="107"/>
      <c r="DH59" s="107"/>
    </row>
    <row r="60" spans="1:112" s="105" customFormat="1" ht="20.100000000000001" customHeight="1">
      <c r="A60" s="107"/>
      <c r="B60" s="117" t="s">
        <v>143</v>
      </c>
      <c r="C60" s="157">
        <f>SUM(C52:C59)</f>
        <v>96530768.899986073</v>
      </c>
      <c r="D60" s="133"/>
      <c r="E60" s="133"/>
      <c r="F60" s="133"/>
      <c r="G60" s="133"/>
      <c r="H60" s="133"/>
      <c r="I60" s="133"/>
      <c r="J60" s="158"/>
      <c r="X60" s="107"/>
      <c r="Y60" s="107"/>
      <c r="Z60" s="107"/>
      <c r="AA60" s="107"/>
      <c r="AB60" s="107"/>
      <c r="AC60" s="107"/>
      <c r="AD60" s="107"/>
      <c r="AE60" s="107"/>
      <c r="AF60" s="107"/>
      <c r="AG60" s="107"/>
      <c r="AH60" s="107"/>
      <c r="AI60" s="107"/>
      <c r="AJ60" s="107"/>
      <c r="AK60" s="107"/>
      <c r="AL60" s="107"/>
      <c r="AM60" s="107"/>
      <c r="AN60" s="107"/>
      <c r="AO60" s="107"/>
      <c r="AP60" s="107"/>
      <c r="AQ60" s="107"/>
      <c r="AR60" s="107"/>
      <c r="AS60" s="107"/>
      <c r="AT60" s="107"/>
      <c r="AU60" s="107"/>
      <c r="AV60" s="107"/>
      <c r="AW60" s="107"/>
      <c r="AX60" s="107"/>
      <c r="AY60" s="107"/>
      <c r="AZ60" s="107"/>
      <c r="BA60" s="107"/>
      <c r="BB60" s="107"/>
      <c r="BC60" s="107"/>
      <c r="BD60" s="107"/>
      <c r="BE60" s="107"/>
      <c r="BF60" s="107"/>
      <c r="BG60" s="107"/>
      <c r="BH60" s="107"/>
      <c r="BI60" s="107"/>
      <c r="BJ60" s="107"/>
      <c r="BK60" s="107"/>
      <c r="BL60" s="107"/>
      <c r="BM60" s="107"/>
      <c r="BN60" s="107"/>
      <c r="BO60" s="107"/>
      <c r="BP60" s="107"/>
      <c r="BQ60" s="107"/>
      <c r="BR60" s="107"/>
      <c r="BS60" s="107"/>
      <c r="BT60" s="107"/>
      <c r="BU60" s="107"/>
      <c r="BV60" s="107"/>
      <c r="BW60" s="107"/>
      <c r="BX60" s="107"/>
      <c r="BY60" s="107"/>
      <c r="BZ60" s="107"/>
      <c r="CA60" s="107"/>
      <c r="CB60" s="107"/>
      <c r="CC60" s="107"/>
      <c r="CD60" s="107"/>
      <c r="CE60" s="107"/>
      <c r="CF60" s="107"/>
      <c r="CG60" s="107"/>
      <c r="CH60" s="107"/>
      <c r="CI60" s="107"/>
      <c r="CJ60" s="107"/>
      <c r="CK60" s="107"/>
      <c r="CL60" s="107"/>
      <c r="CM60" s="107"/>
      <c r="CN60" s="107"/>
      <c r="CO60" s="107"/>
      <c r="CP60" s="107"/>
      <c r="CQ60" s="107"/>
      <c r="CR60" s="107"/>
      <c r="CS60" s="107"/>
      <c r="CT60" s="107"/>
      <c r="CU60" s="107"/>
      <c r="CV60" s="107"/>
      <c r="CW60" s="107"/>
      <c r="CX60" s="107"/>
      <c r="CY60" s="107"/>
      <c r="CZ60" s="107"/>
      <c r="DA60" s="107"/>
      <c r="DB60" s="107"/>
      <c r="DC60" s="107"/>
      <c r="DD60" s="107"/>
      <c r="DE60" s="107"/>
      <c r="DF60" s="107"/>
      <c r="DG60" s="107"/>
      <c r="DH60" s="107"/>
    </row>
    <row r="61" spans="1:112" s="105" customFormat="1" ht="20.100000000000001" customHeight="1">
      <c r="A61" s="107"/>
      <c r="B61" s="117"/>
      <c r="C61" s="157"/>
      <c r="D61" s="133"/>
      <c r="E61" s="133"/>
      <c r="F61" s="133"/>
      <c r="G61" s="133"/>
      <c r="H61" s="133"/>
      <c r="I61" s="133"/>
      <c r="J61" s="158"/>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107"/>
      <c r="AY61" s="107"/>
      <c r="AZ61" s="107"/>
      <c r="BA61" s="107"/>
      <c r="BB61" s="107"/>
      <c r="BC61" s="107"/>
      <c r="BD61" s="107"/>
      <c r="BE61" s="107"/>
      <c r="BF61" s="107"/>
      <c r="BG61" s="107"/>
      <c r="BH61" s="107"/>
      <c r="BI61" s="107"/>
      <c r="BJ61" s="107"/>
      <c r="BK61" s="107"/>
      <c r="BL61" s="107"/>
      <c r="BM61" s="107"/>
      <c r="BN61" s="107"/>
      <c r="BO61" s="107"/>
      <c r="BP61" s="107"/>
      <c r="BQ61" s="107"/>
      <c r="BR61" s="107"/>
      <c r="BS61" s="107"/>
      <c r="BT61" s="107"/>
      <c r="BU61" s="107"/>
      <c r="BV61" s="107"/>
      <c r="BW61" s="107"/>
      <c r="BX61" s="107"/>
      <c r="BY61" s="107"/>
      <c r="BZ61" s="107"/>
      <c r="CA61" s="107"/>
      <c r="CB61" s="107"/>
      <c r="CC61" s="107"/>
      <c r="CD61" s="107"/>
      <c r="CE61" s="107"/>
      <c r="CF61" s="107"/>
      <c r="CG61" s="107"/>
      <c r="CH61" s="107"/>
      <c r="CI61" s="107"/>
      <c r="CJ61" s="107"/>
      <c r="CK61" s="107"/>
      <c r="CL61" s="107"/>
      <c r="CM61" s="107"/>
      <c r="CN61" s="107"/>
      <c r="CO61" s="107"/>
      <c r="CP61" s="107"/>
      <c r="CQ61" s="107"/>
      <c r="CR61" s="107"/>
      <c r="CS61" s="107"/>
      <c r="CT61" s="107"/>
      <c r="CU61" s="107"/>
      <c r="CV61" s="107"/>
      <c r="CW61" s="107"/>
      <c r="CX61" s="107"/>
      <c r="CY61" s="107"/>
      <c r="CZ61" s="107"/>
      <c r="DA61" s="107"/>
      <c r="DB61" s="107"/>
      <c r="DC61" s="107"/>
      <c r="DD61" s="107"/>
      <c r="DE61" s="107"/>
      <c r="DF61" s="107"/>
      <c r="DG61" s="107"/>
      <c r="DH61" s="107"/>
    </row>
    <row r="62" spans="1:112" s="105" customFormat="1" ht="20.100000000000001" customHeight="1">
      <c r="A62" s="107"/>
      <c r="B62" s="159" t="s">
        <v>114</v>
      </c>
      <c r="C62" s="160" t="s">
        <v>144</v>
      </c>
      <c r="D62" s="116"/>
      <c r="E62" s="133"/>
      <c r="F62" s="133"/>
      <c r="X62" s="107"/>
      <c r="Y62" s="107"/>
      <c r="Z62" s="107"/>
      <c r="AA62" s="107"/>
      <c r="AB62" s="107"/>
      <c r="AC62" s="107"/>
      <c r="AD62" s="107"/>
      <c r="AE62" s="107"/>
      <c r="AF62" s="107"/>
      <c r="AG62" s="107"/>
      <c r="AH62" s="107"/>
      <c r="AI62" s="107"/>
      <c r="AJ62" s="107"/>
      <c r="AK62" s="107"/>
      <c r="AL62" s="107"/>
      <c r="AM62" s="107"/>
      <c r="AN62" s="107"/>
      <c r="AO62" s="107"/>
      <c r="AP62" s="107"/>
      <c r="AQ62" s="107"/>
      <c r="AR62" s="107"/>
      <c r="AS62" s="107"/>
      <c r="AT62" s="107"/>
      <c r="AU62" s="107"/>
      <c r="AV62" s="107"/>
      <c r="AW62" s="107"/>
      <c r="AX62" s="107"/>
      <c r="AY62" s="107"/>
      <c r="AZ62" s="107"/>
      <c r="BA62" s="107"/>
      <c r="BB62" s="107"/>
      <c r="BC62" s="107"/>
      <c r="BD62" s="107"/>
      <c r="BE62" s="107"/>
      <c r="BF62" s="107"/>
      <c r="BG62" s="107"/>
      <c r="BH62" s="107"/>
      <c r="BI62" s="107"/>
      <c r="BJ62" s="107"/>
      <c r="BK62" s="107"/>
      <c r="BL62" s="107"/>
      <c r="BM62" s="107"/>
      <c r="BN62" s="107"/>
      <c r="BO62" s="107"/>
      <c r="BP62" s="107"/>
      <c r="BQ62" s="107"/>
      <c r="BR62" s="107"/>
      <c r="BS62" s="107"/>
      <c r="BT62" s="107"/>
      <c r="BU62" s="107"/>
      <c r="BV62" s="107"/>
      <c r="BW62" s="107"/>
      <c r="BX62" s="107"/>
      <c r="BY62" s="107"/>
      <c r="BZ62" s="107"/>
      <c r="CA62" s="107"/>
      <c r="CB62" s="107"/>
      <c r="CC62" s="107"/>
      <c r="CD62" s="107"/>
      <c r="CE62" s="107"/>
      <c r="CF62" s="107"/>
      <c r="CG62" s="107"/>
      <c r="CH62" s="107"/>
      <c r="CI62" s="107"/>
      <c r="CJ62" s="107"/>
      <c r="CK62" s="107"/>
      <c r="CL62" s="107"/>
      <c r="CM62" s="107"/>
      <c r="CN62" s="107"/>
      <c r="CO62" s="107"/>
      <c r="CP62" s="107"/>
      <c r="CQ62" s="107"/>
      <c r="CR62" s="107"/>
      <c r="CS62" s="107"/>
      <c r="CT62" s="107"/>
      <c r="CU62" s="107"/>
      <c r="CV62" s="107"/>
      <c r="CW62" s="107"/>
      <c r="CX62" s="107"/>
      <c r="CY62" s="107"/>
      <c r="CZ62" s="107"/>
      <c r="DA62" s="107"/>
      <c r="DB62" s="107"/>
      <c r="DC62" s="107"/>
      <c r="DD62" s="107"/>
      <c r="DE62" s="107"/>
      <c r="DF62" s="107"/>
      <c r="DG62" s="107"/>
      <c r="DH62" s="107"/>
    </row>
    <row r="63" spans="1:112" ht="20.100000000000001" customHeight="1">
      <c r="B63" s="161"/>
      <c r="C63" s="162" t="str">
        <f>C37&amp;"$/yr"</f>
        <v>2024$/yr</v>
      </c>
      <c r="D63" s="133"/>
      <c r="E63" s="133"/>
      <c r="F63" s="133"/>
    </row>
    <row r="64" spans="1:112" ht="20.100000000000001" customHeight="1">
      <c r="B64" s="163" t="str">
        <f>Calculations!A1174</f>
        <v>Electricity</v>
      </c>
      <c r="C64" s="164">
        <f>Calculations!B1174</f>
        <v>6066571.439196622</v>
      </c>
      <c r="D64" s="105"/>
      <c r="E64" s="116"/>
      <c r="J64" s="158"/>
    </row>
    <row r="65" spans="1:102" ht="20.100000000000001" customHeight="1">
      <c r="B65" s="163" t="str">
        <f>Calculations!A1175</f>
        <v>Fuel</v>
      </c>
      <c r="C65" s="164">
        <f>Calculations!B1175</f>
        <v>4515593.8564752815</v>
      </c>
      <c r="D65" s="105"/>
      <c r="E65" s="116"/>
      <c r="J65" s="158"/>
    </row>
    <row r="66" spans="1:102" ht="20.100000000000001" customHeight="1">
      <c r="B66" s="163" t="str">
        <f>Calculations!A1176</f>
        <v>Makeup Water</v>
      </c>
      <c r="C66" s="164">
        <f>Calculations!B1176</f>
        <v>39810.774826721747</v>
      </c>
      <c r="D66" s="105"/>
      <c r="E66" s="116"/>
      <c r="J66" s="158"/>
    </row>
    <row r="67" spans="1:102" ht="20.100000000000001" customHeight="1">
      <c r="B67" s="163" t="str">
        <f>Calculations!A1177</f>
        <v>Base rate</v>
      </c>
      <c r="C67" s="164">
        <f>Calculations!B1177</f>
        <v>0</v>
      </c>
      <c r="D67" s="105"/>
      <c r="E67" s="116"/>
      <c r="J67" s="158"/>
    </row>
    <row r="68" spans="1:102" ht="20.100000000000001" customHeight="1">
      <c r="B68" s="163" t="str">
        <f>Calculations!A1178</f>
        <v>Fuel surcharge</v>
      </c>
      <c r="C68" s="164">
        <f>Calculations!B1178</f>
        <v>0</v>
      </c>
      <c r="D68" s="105"/>
      <c r="E68" s="116"/>
      <c r="J68" s="158"/>
    </row>
    <row r="69" spans="1:102" ht="20.100000000000001" customHeight="1">
      <c r="B69" s="163" t="str">
        <f>Calculations!A1179</f>
        <v>Maintenance</v>
      </c>
      <c r="C69" s="164">
        <f>Calculations!B1179</f>
        <v>3511527.1642870195</v>
      </c>
      <c r="D69" s="105"/>
      <c r="E69" s="116"/>
      <c r="J69" s="158"/>
    </row>
    <row r="70" spans="1:102" ht="20.100000000000001" customHeight="1">
      <c r="B70" s="163" t="str">
        <f>Calculations!A1180</f>
        <v>Insurance, Permits, Fees</v>
      </c>
      <c r="C70" s="164">
        <f>Calculations!B1180</f>
        <v>1390901.2445517362</v>
      </c>
      <c r="D70" s="105"/>
      <c r="E70" s="105"/>
      <c r="J70" s="158"/>
    </row>
    <row r="71" spans="1:102" ht="20.100000000000001" customHeight="1">
      <c r="B71" s="163" t="str">
        <f>Calculations!A1181</f>
        <v>Labor</v>
      </c>
      <c r="C71" s="164">
        <f>Calculations!B1181</f>
        <v>7978089.8350771237</v>
      </c>
      <c r="D71" s="105"/>
      <c r="E71" s="105"/>
      <c r="J71" s="158"/>
    </row>
    <row r="72" spans="1:102" ht="20.100000000000001" customHeight="1">
      <c r="B72" s="165" t="str">
        <f>Calculations!A1182</f>
        <v>End of life</v>
      </c>
      <c r="C72" s="166">
        <f>Calculations!B1182</f>
        <v>-6240696.2842989592</v>
      </c>
      <c r="D72" s="105"/>
      <c r="E72" s="105"/>
      <c r="J72" s="158"/>
    </row>
    <row r="73" spans="1:102" ht="20.100000000000001" customHeight="1">
      <c r="B73" s="117" t="s">
        <v>145</v>
      </c>
      <c r="C73" s="157">
        <f>SUM(C64:C72)</f>
        <v>17261798.030115545</v>
      </c>
      <c r="D73" s="105"/>
      <c r="E73" s="105"/>
      <c r="J73" s="158"/>
    </row>
    <row r="74" spans="1:102" ht="20.100000000000001" customHeight="1">
      <c r="B74" s="117"/>
      <c r="C74" s="157"/>
      <c r="D74" s="105"/>
      <c r="E74" s="105"/>
      <c r="J74" s="158"/>
    </row>
    <row r="75" spans="1:102" s="99" customFormat="1" ht="20.100000000000001" customHeight="1">
      <c r="A75" s="101" t="s">
        <v>146</v>
      </c>
      <c r="B75" s="167"/>
      <c r="C75" s="168"/>
      <c r="D75" s="100"/>
      <c r="E75" s="100"/>
      <c r="F75" s="100"/>
      <c r="G75" s="100"/>
      <c r="H75" s="100"/>
      <c r="I75" s="100"/>
      <c r="J75" s="100"/>
      <c r="K75" s="100"/>
      <c r="L75" s="100"/>
      <c r="M75" s="100"/>
      <c r="N75" s="100"/>
      <c r="O75" s="100"/>
      <c r="P75" s="100"/>
      <c r="Q75" s="100"/>
      <c r="R75" s="100"/>
      <c r="S75" s="100"/>
      <c r="T75" s="100"/>
      <c r="U75" s="100"/>
      <c r="V75" s="100"/>
      <c r="W75" s="100"/>
    </row>
    <row r="76" spans="1:102" ht="20.100000000000001" customHeight="1">
      <c r="B76" s="169" t="s">
        <v>147</v>
      </c>
      <c r="C76" s="137">
        <f>$C$38</f>
        <v>2024</v>
      </c>
      <c r="D76" s="137">
        <f>C76+1</f>
        <v>2025</v>
      </c>
      <c r="E76" s="137">
        <f t="shared" ref="E76:T77" si="10">D76+1</f>
        <v>2026</v>
      </c>
      <c r="F76" s="137">
        <f t="shared" si="10"/>
        <v>2027</v>
      </c>
      <c r="G76" s="137">
        <f t="shared" si="10"/>
        <v>2028</v>
      </c>
      <c r="H76" s="137">
        <f t="shared" si="10"/>
        <v>2029</v>
      </c>
      <c r="I76" s="137">
        <f t="shared" si="10"/>
        <v>2030</v>
      </c>
      <c r="J76" s="137">
        <f t="shared" si="10"/>
        <v>2031</v>
      </c>
      <c r="K76" s="137">
        <f t="shared" si="10"/>
        <v>2032</v>
      </c>
      <c r="L76" s="137">
        <f t="shared" si="10"/>
        <v>2033</v>
      </c>
      <c r="M76" s="137">
        <f t="shared" si="10"/>
        <v>2034</v>
      </c>
      <c r="N76" s="137">
        <f t="shared" si="10"/>
        <v>2035</v>
      </c>
      <c r="O76" s="137">
        <f t="shared" si="10"/>
        <v>2036</v>
      </c>
      <c r="P76" s="137">
        <f t="shared" si="10"/>
        <v>2037</v>
      </c>
      <c r="Q76" s="137">
        <f t="shared" si="10"/>
        <v>2038</v>
      </c>
      <c r="R76" s="137">
        <f t="shared" si="10"/>
        <v>2039</v>
      </c>
      <c r="S76" s="137">
        <f t="shared" si="10"/>
        <v>2040</v>
      </c>
      <c r="T76" s="137">
        <f t="shared" si="10"/>
        <v>2041</v>
      </c>
      <c r="U76" s="137">
        <f t="shared" ref="U76:AJ77" si="11">T76+1</f>
        <v>2042</v>
      </c>
      <c r="V76" s="137">
        <f t="shared" si="11"/>
        <v>2043</v>
      </c>
      <c r="W76" s="137">
        <f t="shared" si="11"/>
        <v>2044</v>
      </c>
      <c r="X76" s="137">
        <f t="shared" si="11"/>
        <v>2045</v>
      </c>
      <c r="Y76" s="137">
        <f t="shared" si="11"/>
        <v>2046</v>
      </c>
      <c r="Z76" s="137">
        <f t="shared" si="11"/>
        <v>2047</v>
      </c>
      <c r="AA76" s="137">
        <f t="shared" si="11"/>
        <v>2048</v>
      </c>
      <c r="AB76" s="137">
        <f t="shared" si="11"/>
        <v>2049</v>
      </c>
      <c r="AC76" s="137">
        <f t="shared" si="11"/>
        <v>2050</v>
      </c>
      <c r="AD76" s="137">
        <f t="shared" si="11"/>
        <v>2051</v>
      </c>
      <c r="AE76" s="137">
        <f t="shared" si="11"/>
        <v>2052</v>
      </c>
      <c r="AF76" s="137">
        <f t="shared" si="11"/>
        <v>2053</v>
      </c>
      <c r="AG76" s="137">
        <f t="shared" si="11"/>
        <v>2054</v>
      </c>
      <c r="AH76" s="137">
        <f t="shared" si="11"/>
        <v>2055</v>
      </c>
      <c r="AI76" s="137">
        <f t="shared" si="11"/>
        <v>2056</v>
      </c>
      <c r="AJ76" s="137">
        <f t="shared" si="11"/>
        <v>2057</v>
      </c>
      <c r="AK76" s="137">
        <f t="shared" ref="AK76:AZ77" si="12">AJ76+1</f>
        <v>2058</v>
      </c>
      <c r="AL76" s="137">
        <f t="shared" si="12"/>
        <v>2059</v>
      </c>
      <c r="AM76" s="137">
        <f t="shared" si="12"/>
        <v>2060</v>
      </c>
      <c r="AN76" s="137">
        <f t="shared" si="12"/>
        <v>2061</v>
      </c>
      <c r="AO76" s="137">
        <f t="shared" si="12"/>
        <v>2062</v>
      </c>
      <c r="AP76" s="137">
        <f t="shared" si="12"/>
        <v>2063</v>
      </c>
      <c r="AQ76" s="137">
        <f t="shared" si="12"/>
        <v>2064</v>
      </c>
      <c r="AR76" s="137">
        <f t="shared" si="12"/>
        <v>2065</v>
      </c>
      <c r="AS76" s="137">
        <f t="shared" si="12"/>
        <v>2066</v>
      </c>
      <c r="AT76" s="137">
        <f t="shared" si="12"/>
        <v>2067</v>
      </c>
      <c r="AU76" s="137">
        <f t="shared" si="12"/>
        <v>2068</v>
      </c>
      <c r="AV76" s="137">
        <f t="shared" si="12"/>
        <v>2069</v>
      </c>
      <c r="AW76" s="137">
        <f t="shared" si="12"/>
        <v>2070</v>
      </c>
      <c r="AX76" s="137">
        <f t="shared" si="12"/>
        <v>2071</v>
      </c>
      <c r="AY76" s="137">
        <f t="shared" si="12"/>
        <v>2072</v>
      </c>
      <c r="AZ76" s="137">
        <f t="shared" si="12"/>
        <v>2073</v>
      </c>
      <c r="BA76" s="137">
        <f t="shared" ref="BA76:BP77" si="13">AZ76+1</f>
        <v>2074</v>
      </c>
      <c r="BB76" s="137">
        <f t="shared" si="13"/>
        <v>2075</v>
      </c>
      <c r="BC76" s="137">
        <f t="shared" si="13"/>
        <v>2076</v>
      </c>
      <c r="BD76" s="137">
        <f t="shared" si="13"/>
        <v>2077</v>
      </c>
      <c r="BE76" s="137">
        <f t="shared" si="13"/>
        <v>2078</v>
      </c>
      <c r="BF76" s="137">
        <f t="shared" si="13"/>
        <v>2079</v>
      </c>
      <c r="BG76" s="137">
        <f t="shared" si="13"/>
        <v>2080</v>
      </c>
      <c r="BH76" s="137">
        <f t="shared" si="13"/>
        <v>2081</v>
      </c>
      <c r="BI76" s="137">
        <f t="shared" si="13"/>
        <v>2082</v>
      </c>
      <c r="BJ76" s="137">
        <f t="shared" si="13"/>
        <v>2083</v>
      </c>
      <c r="BK76" s="137">
        <f t="shared" si="13"/>
        <v>2084</v>
      </c>
      <c r="BL76" s="137">
        <f t="shared" si="13"/>
        <v>2085</v>
      </c>
      <c r="BM76" s="137">
        <f t="shared" si="13"/>
        <v>2086</v>
      </c>
      <c r="BN76" s="137">
        <f t="shared" si="13"/>
        <v>2087</v>
      </c>
      <c r="BO76" s="137">
        <f t="shared" si="13"/>
        <v>2088</v>
      </c>
      <c r="BP76" s="137">
        <f t="shared" si="13"/>
        <v>2089</v>
      </c>
      <c r="BQ76" s="137">
        <f t="shared" ref="BQ76:CF77" si="14">BP76+1</f>
        <v>2090</v>
      </c>
      <c r="BR76" s="137">
        <f t="shared" si="14"/>
        <v>2091</v>
      </c>
      <c r="BS76" s="137">
        <f t="shared" si="14"/>
        <v>2092</v>
      </c>
      <c r="BT76" s="137">
        <f t="shared" si="14"/>
        <v>2093</v>
      </c>
      <c r="BU76" s="137">
        <f t="shared" si="14"/>
        <v>2094</v>
      </c>
      <c r="BV76" s="137">
        <f t="shared" si="14"/>
        <v>2095</v>
      </c>
      <c r="BW76" s="137">
        <f t="shared" si="14"/>
        <v>2096</v>
      </c>
      <c r="BX76" s="137">
        <f t="shared" si="14"/>
        <v>2097</v>
      </c>
      <c r="BY76" s="137">
        <f t="shared" si="14"/>
        <v>2098</v>
      </c>
      <c r="BZ76" s="137">
        <f t="shared" si="14"/>
        <v>2099</v>
      </c>
      <c r="CA76" s="137">
        <f t="shared" si="14"/>
        <v>2100</v>
      </c>
      <c r="CB76" s="137">
        <f t="shared" si="14"/>
        <v>2101</v>
      </c>
      <c r="CC76" s="137">
        <f t="shared" si="14"/>
        <v>2102</v>
      </c>
      <c r="CD76" s="137">
        <f t="shared" si="14"/>
        <v>2103</v>
      </c>
      <c r="CE76" s="137">
        <f t="shared" si="14"/>
        <v>2104</v>
      </c>
      <c r="CF76" s="137">
        <f t="shared" si="14"/>
        <v>2105</v>
      </c>
      <c r="CG76" s="137">
        <f t="shared" ref="CG76:CV77" si="15">CF76+1</f>
        <v>2106</v>
      </c>
      <c r="CH76" s="137">
        <f t="shared" si="15"/>
        <v>2107</v>
      </c>
      <c r="CI76" s="137">
        <f t="shared" si="15"/>
        <v>2108</v>
      </c>
      <c r="CJ76" s="137">
        <f t="shared" si="15"/>
        <v>2109</v>
      </c>
      <c r="CK76" s="137">
        <f t="shared" si="15"/>
        <v>2110</v>
      </c>
      <c r="CL76" s="137">
        <f t="shared" si="15"/>
        <v>2111</v>
      </c>
      <c r="CM76" s="137">
        <f t="shared" si="15"/>
        <v>2112</v>
      </c>
      <c r="CN76" s="137">
        <f t="shared" si="15"/>
        <v>2113</v>
      </c>
      <c r="CO76" s="137">
        <f t="shared" si="15"/>
        <v>2114</v>
      </c>
      <c r="CP76" s="137">
        <f t="shared" si="15"/>
        <v>2115</v>
      </c>
      <c r="CQ76" s="137">
        <f t="shared" si="15"/>
        <v>2116</v>
      </c>
      <c r="CR76" s="137">
        <f t="shared" si="15"/>
        <v>2117</v>
      </c>
      <c r="CS76" s="137">
        <f t="shared" si="15"/>
        <v>2118</v>
      </c>
      <c r="CT76" s="137">
        <f t="shared" si="15"/>
        <v>2119</v>
      </c>
      <c r="CU76" s="137">
        <f t="shared" si="15"/>
        <v>2120</v>
      </c>
      <c r="CV76" s="137">
        <f t="shared" si="15"/>
        <v>2121</v>
      </c>
      <c r="CW76" s="137">
        <f>CV76+1</f>
        <v>2122</v>
      </c>
      <c r="CX76" s="170">
        <f>CW76+1</f>
        <v>2123</v>
      </c>
    </row>
    <row r="77" spans="1:102" ht="20.100000000000001" customHeight="1">
      <c r="B77" s="171" t="s">
        <v>148</v>
      </c>
      <c r="C77" s="172">
        <v>1</v>
      </c>
      <c r="D77" s="172">
        <f>C77+1</f>
        <v>2</v>
      </c>
      <c r="E77" s="172">
        <f t="shared" si="10"/>
        <v>3</v>
      </c>
      <c r="F77" s="172">
        <f t="shared" si="10"/>
        <v>4</v>
      </c>
      <c r="G77" s="172">
        <f t="shared" si="10"/>
        <v>5</v>
      </c>
      <c r="H77" s="172">
        <f t="shared" si="10"/>
        <v>6</v>
      </c>
      <c r="I77" s="172">
        <f t="shared" si="10"/>
        <v>7</v>
      </c>
      <c r="J77" s="172">
        <f t="shared" si="10"/>
        <v>8</v>
      </c>
      <c r="K77" s="172">
        <f t="shared" si="10"/>
        <v>9</v>
      </c>
      <c r="L77" s="172">
        <f t="shared" si="10"/>
        <v>10</v>
      </c>
      <c r="M77" s="172">
        <f t="shared" si="10"/>
        <v>11</v>
      </c>
      <c r="N77" s="172">
        <f t="shared" si="10"/>
        <v>12</v>
      </c>
      <c r="O77" s="172">
        <f t="shared" si="10"/>
        <v>13</v>
      </c>
      <c r="P77" s="172">
        <f t="shared" si="10"/>
        <v>14</v>
      </c>
      <c r="Q77" s="172">
        <f t="shared" si="10"/>
        <v>15</v>
      </c>
      <c r="R77" s="172">
        <f t="shared" si="10"/>
        <v>16</v>
      </c>
      <c r="S77" s="172">
        <f t="shared" si="10"/>
        <v>17</v>
      </c>
      <c r="T77" s="172">
        <f t="shared" si="10"/>
        <v>18</v>
      </c>
      <c r="U77" s="172">
        <f t="shared" si="11"/>
        <v>19</v>
      </c>
      <c r="V77" s="172">
        <f t="shared" si="11"/>
        <v>20</v>
      </c>
      <c r="W77" s="172">
        <f t="shared" si="11"/>
        <v>21</v>
      </c>
      <c r="X77" s="172">
        <f t="shared" si="11"/>
        <v>22</v>
      </c>
      <c r="Y77" s="172">
        <f t="shared" si="11"/>
        <v>23</v>
      </c>
      <c r="Z77" s="172">
        <f t="shared" si="11"/>
        <v>24</v>
      </c>
      <c r="AA77" s="172">
        <f t="shared" si="11"/>
        <v>25</v>
      </c>
      <c r="AB77" s="172">
        <f t="shared" si="11"/>
        <v>26</v>
      </c>
      <c r="AC77" s="172">
        <f t="shared" si="11"/>
        <v>27</v>
      </c>
      <c r="AD77" s="172">
        <f t="shared" si="11"/>
        <v>28</v>
      </c>
      <c r="AE77" s="172">
        <f t="shared" si="11"/>
        <v>29</v>
      </c>
      <c r="AF77" s="172">
        <f t="shared" si="11"/>
        <v>30</v>
      </c>
      <c r="AG77" s="172">
        <f t="shared" si="11"/>
        <v>31</v>
      </c>
      <c r="AH77" s="172">
        <f t="shared" si="11"/>
        <v>32</v>
      </c>
      <c r="AI77" s="172">
        <f t="shared" si="11"/>
        <v>33</v>
      </c>
      <c r="AJ77" s="172">
        <f t="shared" si="11"/>
        <v>34</v>
      </c>
      <c r="AK77" s="172">
        <f t="shared" si="12"/>
        <v>35</v>
      </c>
      <c r="AL77" s="172">
        <f t="shared" si="12"/>
        <v>36</v>
      </c>
      <c r="AM77" s="172">
        <f t="shared" si="12"/>
        <v>37</v>
      </c>
      <c r="AN77" s="172">
        <f t="shared" si="12"/>
        <v>38</v>
      </c>
      <c r="AO77" s="172">
        <f t="shared" si="12"/>
        <v>39</v>
      </c>
      <c r="AP77" s="172">
        <f t="shared" si="12"/>
        <v>40</v>
      </c>
      <c r="AQ77" s="172">
        <f t="shared" si="12"/>
        <v>41</v>
      </c>
      <c r="AR77" s="172">
        <f t="shared" si="12"/>
        <v>42</v>
      </c>
      <c r="AS77" s="172">
        <f t="shared" si="12"/>
        <v>43</v>
      </c>
      <c r="AT77" s="172">
        <f t="shared" si="12"/>
        <v>44</v>
      </c>
      <c r="AU77" s="172">
        <f t="shared" si="12"/>
        <v>45</v>
      </c>
      <c r="AV77" s="172">
        <f t="shared" si="12"/>
        <v>46</v>
      </c>
      <c r="AW77" s="172">
        <f t="shared" si="12"/>
        <v>47</v>
      </c>
      <c r="AX77" s="172">
        <f t="shared" si="12"/>
        <v>48</v>
      </c>
      <c r="AY77" s="172">
        <f t="shared" si="12"/>
        <v>49</v>
      </c>
      <c r="AZ77" s="172">
        <f t="shared" si="12"/>
        <v>50</v>
      </c>
      <c r="BA77" s="172">
        <f t="shared" si="13"/>
        <v>51</v>
      </c>
      <c r="BB77" s="172">
        <f t="shared" si="13"/>
        <v>52</v>
      </c>
      <c r="BC77" s="172">
        <f t="shared" si="13"/>
        <v>53</v>
      </c>
      <c r="BD77" s="172">
        <f t="shared" si="13"/>
        <v>54</v>
      </c>
      <c r="BE77" s="172">
        <f t="shared" si="13"/>
        <v>55</v>
      </c>
      <c r="BF77" s="172">
        <f t="shared" si="13"/>
        <v>56</v>
      </c>
      <c r="BG77" s="172">
        <f t="shared" si="13"/>
        <v>57</v>
      </c>
      <c r="BH77" s="172">
        <f t="shared" si="13"/>
        <v>58</v>
      </c>
      <c r="BI77" s="172">
        <f t="shared" si="13"/>
        <v>59</v>
      </c>
      <c r="BJ77" s="172">
        <f t="shared" si="13"/>
        <v>60</v>
      </c>
      <c r="BK77" s="172">
        <f t="shared" si="13"/>
        <v>61</v>
      </c>
      <c r="BL77" s="172">
        <f t="shared" si="13"/>
        <v>62</v>
      </c>
      <c r="BM77" s="172">
        <f t="shared" si="13"/>
        <v>63</v>
      </c>
      <c r="BN77" s="172">
        <f t="shared" si="13"/>
        <v>64</v>
      </c>
      <c r="BO77" s="172">
        <f t="shared" si="13"/>
        <v>65</v>
      </c>
      <c r="BP77" s="172">
        <f t="shared" si="13"/>
        <v>66</v>
      </c>
      <c r="BQ77" s="172">
        <f t="shared" si="14"/>
        <v>67</v>
      </c>
      <c r="BR77" s="172">
        <f t="shared" si="14"/>
        <v>68</v>
      </c>
      <c r="BS77" s="172">
        <f t="shared" si="14"/>
        <v>69</v>
      </c>
      <c r="BT77" s="172">
        <f t="shared" si="14"/>
        <v>70</v>
      </c>
      <c r="BU77" s="172">
        <f t="shared" si="14"/>
        <v>71</v>
      </c>
      <c r="BV77" s="172">
        <f t="shared" si="14"/>
        <v>72</v>
      </c>
      <c r="BW77" s="172">
        <f t="shared" si="14"/>
        <v>73</v>
      </c>
      <c r="BX77" s="172">
        <f t="shared" si="14"/>
        <v>74</v>
      </c>
      <c r="BY77" s="172">
        <f t="shared" si="14"/>
        <v>75</v>
      </c>
      <c r="BZ77" s="172">
        <f t="shared" si="14"/>
        <v>76</v>
      </c>
      <c r="CA77" s="172">
        <f t="shared" si="14"/>
        <v>77</v>
      </c>
      <c r="CB77" s="172">
        <f t="shared" si="14"/>
        <v>78</v>
      </c>
      <c r="CC77" s="172">
        <f t="shared" si="14"/>
        <v>79</v>
      </c>
      <c r="CD77" s="172">
        <f t="shared" si="14"/>
        <v>80</v>
      </c>
      <c r="CE77" s="172">
        <f t="shared" si="14"/>
        <v>81</v>
      </c>
      <c r="CF77" s="172">
        <f t="shared" si="14"/>
        <v>82</v>
      </c>
      <c r="CG77" s="172">
        <f t="shared" si="15"/>
        <v>83</v>
      </c>
      <c r="CH77" s="172">
        <f t="shared" si="15"/>
        <v>84</v>
      </c>
      <c r="CI77" s="172">
        <f t="shared" si="15"/>
        <v>85</v>
      </c>
      <c r="CJ77" s="172">
        <f t="shared" si="15"/>
        <v>86</v>
      </c>
      <c r="CK77" s="172">
        <f t="shared" si="15"/>
        <v>87</v>
      </c>
      <c r="CL77" s="172">
        <f t="shared" si="15"/>
        <v>88</v>
      </c>
      <c r="CM77" s="172">
        <f t="shared" si="15"/>
        <v>89</v>
      </c>
      <c r="CN77" s="172">
        <f t="shared" si="15"/>
        <v>90</v>
      </c>
      <c r="CO77" s="172">
        <f t="shared" si="15"/>
        <v>91</v>
      </c>
      <c r="CP77" s="172">
        <f t="shared" si="15"/>
        <v>92</v>
      </c>
      <c r="CQ77" s="172">
        <f t="shared" si="15"/>
        <v>93</v>
      </c>
      <c r="CR77" s="172">
        <f t="shared" si="15"/>
        <v>94</v>
      </c>
      <c r="CS77" s="172">
        <f t="shared" si="15"/>
        <v>95</v>
      </c>
      <c r="CT77" s="172">
        <f t="shared" si="15"/>
        <v>96</v>
      </c>
      <c r="CU77" s="172">
        <f t="shared" si="15"/>
        <v>97</v>
      </c>
      <c r="CV77" s="172">
        <f t="shared" si="15"/>
        <v>98</v>
      </c>
      <c r="CW77" s="172">
        <f>CV77+1</f>
        <v>99</v>
      </c>
      <c r="CX77" s="173">
        <f>CW77+1</f>
        <v>100</v>
      </c>
    </row>
    <row r="78" spans="1:102" ht="20.100000000000001" customHeight="1"/>
    <row r="79" spans="1:102" ht="20.100000000000001" customHeight="1">
      <c r="A79" s="174"/>
      <c r="B79" s="107" t="str">
        <f>"Escalation schedule from base year of "&amp;C37</f>
        <v>Escalation schedule from base year of 2024</v>
      </c>
      <c r="C79" s="175">
        <v>1</v>
      </c>
      <c r="D79" s="175">
        <f>C79*(1+Calculations!$B$127)</f>
        <v>1.0229999999999999</v>
      </c>
      <c r="E79" s="175">
        <f>D79*(1+Calculations!$B$127)</f>
        <v>1.0465289999999998</v>
      </c>
      <c r="F79" s="175">
        <f>E79*(1+Calculations!$B$127)</f>
        <v>1.0705991669999997</v>
      </c>
      <c r="G79" s="175">
        <f>F79*(1+Calculations!$B$127)</f>
        <v>1.0952229478409996</v>
      </c>
      <c r="H79" s="175">
        <f>G79*(1+Calculations!$B$127)</f>
        <v>1.1204130756413424</v>
      </c>
      <c r="I79" s="175">
        <f>H79*(1+Calculations!$B$127)</f>
        <v>1.1461825763810931</v>
      </c>
      <c r="J79" s="175">
        <f>I79*(1+Calculations!$B$127)</f>
        <v>1.1725447756378582</v>
      </c>
      <c r="K79" s="175">
        <f>J79*(1+Calculations!$B$127)</f>
        <v>1.1995133054775289</v>
      </c>
      <c r="L79" s="175">
        <f>K79*(1+Calculations!$B$127)</f>
        <v>1.2271021115035119</v>
      </c>
      <c r="M79" s="175">
        <f>L79*(1+Calculations!$B$127)</f>
        <v>1.2553254600680925</v>
      </c>
      <c r="N79" s="175">
        <f>M79*(1+Calculations!$B$127)</f>
        <v>1.2841979456496586</v>
      </c>
      <c r="O79" s="175">
        <f>N79*(1+Calculations!$B$127)</f>
        <v>1.3137344983996007</v>
      </c>
      <c r="P79" s="175">
        <f>O79*(1+Calculations!$B$127)</f>
        <v>1.3439503918627913</v>
      </c>
      <c r="Q79" s="175">
        <f>P79*(1+Calculations!$B$127)</f>
        <v>1.3748612508756355</v>
      </c>
      <c r="R79" s="175">
        <f>Q79*(1+Calculations!$B$127)</f>
        <v>1.4064830596457749</v>
      </c>
      <c r="S79" s="175">
        <f>R79*(1+Calculations!$B$127)</f>
        <v>1.4388321700176276</v>
      </c>
      <c r="T79" s="175">
        <f>S79*(1+Calculations!$B$127)</f>
        <v>1.4719253099280329</v>
      </c>
      <c r="U79" s="175">
        <f>T79*(1+Calculations!$B$127)</f>
        <v>1.5057795920563775</v>
      </c>
      <c r="V79" s="175">
        <f>U79*(1+Calculations!$B$127)</f>
        <v>1.540412522673674</v>
      </c>
      <c r="W79" s="175">
        <f>V79*(1+Calculations!$B$127)</f>
        <v>1.5758420106951683</v>
      </c>
      <c r="X79" s="175">
        <f>W79*(1+Calculations!$B$127)</f>
        <v>1.6120863769411571</v>
      </c>
      <c r="Y79" s="175">
        <f>X79*(1+Calculations!$B$127)</f>
        <v>1.6491643636108035</v>
      </c>
      <c r="Z79" s="175">
        <f>Y79*(1+Calculations!$B$127)</f>
        <v>1.687095143973852</v>
      </c>
      <c r="AA79" s="175">
        <f>Z79*(1+Calculations!$B$127)</f>
        <v>1.7258983322852504</v>
      </c>
      <c r="AB79" s="175">
        <f>AA79*(1+Calculations!$B$127)</f>
        <v>1.7655939939278109</v>
      </c>
      <c r="AC79" s="175">
        <f>AB79*(1+Calculations!$B$127)</f>
        <v>1.8062026557881503</v>
      </c>
      <c r="AD79" s="175">
        <f>AC79*(1+Calculations!$B$127)</f>
        <v>1.8477453168712776</v>
      </c>
      <c r="AE79" s="175">
        <f>AD79*(1+Calculations!$B$127)</f>
        <v>1.8902434591593169</v>
      </c>
      <c r="AF79" s="175">
        <f>AE79*(1+Calculations!$B$127)</f>
        <v>1.9337190587199811</v>
      </c>
      <c r="AG79" s="175">
        <f>AF79*(1+Calculations!$B$127)</f>
        <v>1.9781945970705404</v>
      </c>
      <c r="AH79" s="175">
        <f>AG79*(1+Calculations!$B$127)</f>
        <v>2.0236930728031628</v>
      </c>
      <c r="AI79" s="175">
        <f>AH79*(1+Calculations!$B$127)</f>
        <v>2.0702380134776353</v>
      </c>
      <c r="AJ79" s="175">
        <f>AI79*(1+Calculations!$B$127)</f>
        <v>2.1178534877876207</v>
      </c>
      <c r="AK79" s="175">
        <f>AJ79*(1+Calculations!$B$127)</f>
        <v>2.1665641180067357</v>
      </c>
      <c r="AL79" s="175">
        <f>AK79*(1+Calculations!$B$127)</f>
        <v>2.2163950927208904</v>
      </c>
      <c r="AM79" s="175">
        <f>AL79*(1+Calculations!$B$127)</f>
        <v>2.2673721798534707</v>
      </c>
      <c r="AN79" s="175">
        <f>AM79*(1+Calculations!$B$127)</f>
        <v>2.3195217399901003</v>
      </c>
      <c r="AO79" s="175">
        <f>AN79*(1+Calculations!$B$127)</f>
        <v>2.3728707400098723</v>
      </c>
      <c r="AP79" s="175">
        <f>AO79*(1+Calculations!$B$127)</f>
        <v>2.4274467670300992</v>
      </c>
      <c r="AQ79" s="175">
        <f>AP79*(1+Calculations!$B$127)</f>
        <v>2.4832780426717913</v>
      </c>
      <c r="AR79" s="175">
        <f>AQ79*(1+Calculations!$B$127)</f>
        <v>2.5403934376532424</v>
      </c>
      <c r="AS79" s="175">
        <f>AR79*(1+Calculations!$B$127)</f>
        <v>2.5988224867192669</v>
      </c>
      <c r="AT79" s="175">
        <f>AS79*(1+Calculations!$B$127)</f>
        <v>2.6585954039138096</v>
      </c>
      <c r="AU79" s="175">
        <f>AT79*(1+Calculations!$B$127)</f>
        <v>2.7197430982038271</v>
      </c>
      <c r="AV79" s="175">
        <f>AU79*(1+Calculations!$B$127)</f>
        <v>2.7822971894625148</v>
      </c>
      <c r="AW79" s="175">
        <f>AV79*(1+Calculations!$B$127)</f>
        <v>2.8462900248201524</v>
      </c>
      <c r="AX79" s="175">
        <f>AW79*(1+Calculations!$B$127)</f>
        <v>2.9117546953910156</v>
      </c>
      <c r="AY79" s="175">
        <f>AX79*(1+Calculations!$B$127)</f>
        <v>2.9787250533850087</v>
      </c>
      <c r="AZ79" s="175">
        <f>AY79*(1+Calculations!$B$127)</f>
        <v>3.0472357296128636</v>
      </c>
      <c r="BA79" s="175">
        <f>AZ79*(1+Calculations!$B$127)</f>
        <v>3.1173221513939593</v>
      </c>
      <c r="BB79" s="175">
        <f>BA79*(1+Calculations!$B$127)</f>
        <v>3.18902056087602</v>
      </c>
      <c r="BC79" s="175">
        <f>BB79*(1+Calculations!$B$127)</f>
        <v>3.262368033776168</v>
      </c>
      <c r="BD79" s="175">
        <f>BC79*(1+Calculations!$B$127)</f>
        <v>3.3374024985530197</v>
      </c>
      <c r="BE79" s="175">
        <f>BD79*(1+Calculations!$B$127)</f>
        <v>3.414162756019739</v>
      </c>
      <c r="BF79" s="175">
        <f>BE79*(1+Calculations!$B$127)</f>
        <v>3.4926884994081928</v>
      </c>
      <c r="BG79" s="175">
        <f>BF79*(1+Calculations!$B$127)</f>
        <v>3.573020334894581</v>
      </c>
      <c r="BH79" s="175">
        <f>BG79*(1+Calculations!$B$127)</f>
        <v>3.6551998025971559</v>
      </c>
      <c r="BI79" s="175">
        <f>BH79*(1+Calculations!$B$127)</f>
        <v>3.7392693980568903</v>
      </c>
      <c r="BJ79" s="175">
        <f>BI79*(1+Calculations!$B$127)</f>
        <v>3.8252725942121986</v>
      </c>
      <c r="BK79" s="175">
        <f>BJ79*(1+Calculations!$B$127)</f>
        <v>3.9132538638790786</v>
      </c>
      <c r="BL79" s="175">
        <f>BK79*(1+Calculations!$B$127)</f>
        <v>4.0032587027482966</v>
      </c>
      <c r="BM79" s="175">
        <f>BL79*(1+Calculations!$B$127)</f>
        <v>4.0953336529115072</v>
      </c>
      <c r="BN79" s="175">
        <f>BM79*(1+Calculations!$B$127)</f>
        <v>4.1895263269284717</v>
      </c>
      <c r="BO79" s="175">
        <f>BN79*(1+Calculations!$B$127)</f>
        <v>4.2858854324478264</v>
      </c>
      <c r="BP79" s="175">
        <f>BO79*(1+Calculations!$B$127)</f>
        <v>4.3844607973941256</v>
      </c>
      <c r="BQ79" s="175">
        <f>BP79*(1+Calculations!$B$127)</f>
        <v>4.4853033957341903</v>
      </c>
      <c r="BR79" s="175">
        <f>BQ79*(1+Calculations!$B$127)</f>
        <v>4.5884653738360761</v>
      </c>
      <c r="BS79" s="175">
        <f>BR79*(1+Calculations!$B$127)</f>
        <v>4.6940000774343051</v>
      </c>
      <c r="BT79" s="175">
        <f>BS79*(1+Calculations!$B$127)</f>
        <v>4.8019620792152935</v>
      </c>
      <c r="BU79" s="175">
        <f>BT79*(1+Calculations!$B$127)</f>
        <v>4.9124072070372451</v>
      </c>
      <c r="BV79" s="175">
        <f>BU79*(1+Calculations!$B$127)</f>
        <v>5.0253925727991016</v>
      </c>
      <c r="BW79" s="175">
        <f>BV79*(1+Calculations!$B$127)</f>
        <v>5.1409766019734802</v>
      </c>
      <c r="BX79" s="175">
        <f>BW79*(1+Calculations!$B$127)</f>
        <v>5.2592190638188701</v>
      </c>
      <c r="BY79" s="175">
        <f>BX79*(1+Calculations!$B$127)</f>
        <v>5.3801811022867039</v>
      </c>
      <c r="BZ79" s="175">
        <f>BY79*(1+Calculations!$B$127)</f>
        <v>5.503925267639298</v>
      </c>
      <c r="CA79" s="175">
        <f>BZ79*(1+Calculations!$B$127)</f>
        <v>5.6305155487950014</v>
      </c>
      <c r="CB79" s="175">
        <f>CA79*(1+Calculations!$B$127)</f>
        <v>5.760017406417286</v>
      </c>
      <c r="CC79" s="175">
        <f>CB79*(1+Calculations!$B$127)</f>
        <v>5.892497806764883</v>
      </c>
      <c r="CD79" s="175">
        <f>CC79*(1+Calculations!$B$127)</f>
        <v>6.0280252563204746</v>
      </c>
      <c r="CE79" s="175">
        <f>CD79*(1+Calculations!$B$127)</f>
        <v>6.1666698372158448</v>
      </c>
      <c r="CF79" s="175">
        <f>CE79*(1+Calculations!$B$127)</f>
        <v>6.3085032434718089</v>
      </c>
      <c r="CG79" s="175">
        <f>CF79*(1+Calculations!$B$127)</f>
        <v>6.4535988180716597</v>
      </c>
      <c r="CH79" s="175">
        <f>CG79*(1+Calculations!$B$127)</f>
        <v>6.6020315908873073</v>
      </c>
      <c r="CI79" s="175">
        <f>CH79*(1+Calculations!$B$127)</f>
        <v>6.7538783174777146</v>
      </c>
      <c r="CJ79" s="175">
        <f>CI79*(1+Calculations!$B$127)</f>
        <v>6.9092175187797018</v>
      </c>
      <c r="CK79" s="175">
        <f>CJ79*(1+Calculations!$B$127)</f>
        <v>7.0681295217116347</v>
      </c>
      <c r="CL79" s="175">
        <f>CK79*(1+Calculations!$B$127)</f>
        <v>7.2306965007110016</v>
      </c>
      <c r="CM79" s="175">
        <f>CL79*(1+Calculations!$B$127)</f>
        <v>7.3970025202273542</v>
      </c>
      <c r="CN79" s="175">
        <f>CM79*(1+Calculations!$B$127)</f>
        <v>7.5671335781925828</v>
      </c>
      <c r="CO79" s="175">
        <f>CN79*(1+Calculations!$B$127)</f>
        <v>7.7411776504910117</v>
      </c>
      <c r="CP79" s="175">
        <f>CO79*(1+Calculations!$B$127)</f>
        <v>7.9192247364523043</v>
      </c>
      <c r="CQ79" s="175">
        <f>CP79*(1+Calculations!$B$127)</f>
        <v>8.1013669053907069</v>
      </c>
      <c r="CR79" s="175">
        <f>CQ79*(1+Calculations!$B$127)</f>
        <v>8.287698344214693</v>
      </c>
      <c r="CS79" s="175">
        <f>CR79*(1+Calculations!$B$127)</f>
        <v>8.4783154061316299</v>
      </c>
      <c r="CT79" s="175">
        <f>CS79*(1+Calculations!$B$127)</f>
        <v>8.6733166604726559</v>
      </c>
      <c r="CU79" s="175">
        <f>CT79*(1+Calculations!$B$127)</f>
        <v>8.8728029436635261</v>
      </c>
      <c r="CV79" s="175">
        <f>CU79*(1+Calculations!$B$127)</f>
        <v>9.0768774113677857</v>
      </c>
      <c r="CW79" s="175">
        <f>CV79*(1+Calculations!$B$127)</f>
        <v>9.285645591829244</v>
      </c>
      <c r="CX79" s="175">
        <f>CW79*(1+Calculations!$B$127)</f>
        <v>9.4992154404413149</v>
      </c>
    </row>
    <row r="80" spans="1:102" ht="20.100000000000001" customHeight="1">
      <c r="A80" s="174"/>
      <c r="B80" s="107" t="s">
        <v>149</v>
      </c>
      <c r="C80" s="176">
        <f>(1+$C$35)^(C77-1)</f>
        <v>1</v>
      </c>
      <c r="D80" s="176">
        <f>(1+$C$35)^(D77-1)</f>
        <v>1.0638948374999999</v>
      </c>
      <c r="E80" s="176">
        <f>(1+$C$35)^(E77-1)</f>
        <v>1.1318722252591513</v>
      </c>
      <c r="F80" s="176">
        <f t="shared" ref="F80:BO80" si="16">(1+$C$35)^(F77-1)</f>
        <v>1.2041930171628481</v>
      </c>
      <c r="G80" s="176">
        <f t="shared" si="16"/>
        <v>1.281134734313103</v>
      </c>
      <c r="H80" s="176">
        <f t="shared" si="16"/>
        <v>1.3629926299776443</v>
      </c>
      <c r="I80" s="176">
        <f>(1+$C$35)^(I77-1)</f>
        <v>1.4500808225837636</v>
      </c>
      <c r="J80" s="176">
        <f t="shared" si="16"/>
        <v>1.5427335011046193</v>
      </c>
      <c r="K80" s="176">
        <f t="shared" si="16"/>
        <v>1.641306207463505</v>
      </c>
      <c r="L80" s="176">
        <f t="shared" si="16"/>
        <v>1.7461772008771268</v>
      </c>
      <c r="M80" s="176">
        <f t="shared" si="16"/>
        <v>1.8577489093733757</v>
      </c>
      <c r="N80" s="176">
        <f t="shared" si="16"/>
        <v>1.9764494740535896</v>
      </c>
      <c r="O80" s="176">
        <f t="shared" si="16"/>
        <v>2.1027343920252042</v>
      </c>
      <c r="P80" s="176">
        <f t="shared" si="16"/>
        <v>2.2370882643093157</v>
      </c>
      <c r="Q80" s="176">
        <f t="shared" si="16"/>
        <v>2.3800266554305165</v>
      </c>
      <c r="R80" s="176">
        <f t="shared" si="16"/>
        <v>2.5320980718249175</v>
      </c>
      <c r="S80" s="176">
        <f t="shared" si="16"/>
        <v>2.693886066658234</v>
      </c>
      <c r="T80" s="176">
        <f t="shared" si="16"/>
        <v>2.8660114791308757</v>
      </c>
      <c r="U80" s="176">
        <f t="shared" si="16"/>
        <v>3.0491348168630776</v>
      </c>
      <c r="V80" s="176">
        <f t="shared" si="16"/>
        <v>3.2439587905021363</v>
      </c>
      <c r="W80" s="176">
        <f t="shared" si="16"/>
        <v>3.4512310102779669</v>
      </c>
      <c r="X80" s="176">
        <f t="shared" si="16"/>
        <v>3.6717468548546379</v>
      </c>
      <c r="Y80" s="176">
        <f t="shared" si="16"/>
        <v>3.9063525234867114</v>
      </c>
      <c r="Z80" s="176">
        <f t="shared" si="16"/>
        <v>4.1559482831926093</v>
      </c>
      <c r="AA80" s="176">
        <f t="shared" si="16"/>
        <v>4.4214919234056049</v>
      </c>
      <c r="AB80" s="176">
        <f t="shared" si="16"/>
        <v>4.704002431359168</v>
      </c>
      <c r="AC80" s="176">
        <f t="shared" si="16"/>
        <v>5.0045639023104673</v>
      </c>
      <c r="AD80" s="176">
        <f t="shared" si="16"/>
        <v>5.3243296996069596</v>
      </c>
      <c r="AE80" s="176">
        <f t="shared" si="16"/>
        <v>5.6645268805597704</v>
      </c>
      <c r="AF80" s="176">
        <f t="shared" si="16"/>
        <v>6.0264609051075189</v>
      </c>
      <c r="AG80" s="176">
        <f t="shared" si="16"/>
        <v>6.4115206453394666</v>
      </c>
      <c r="AH80" s="176">
        <f t="shared" si="16"/>
        <v>6.8211837151013253</v>
      </c>
      <c r="AI80" s="176">
        <f t="shared" si="16"/>
        <v>7.2570221401353718</v>
      </c>
      <c r="AJ80" s="176">
        <f t="shared" si="16"/>
        <v>7.7207083905132228</v>
      </c>
      <c r="AK80" s="176">
        <f t="shared" si="16"/>
        <v>8.2140217985099522</v>
      </c>
      <c r="AL80" s="176">
        <f t="shared" si="16"/>
        <v>8.7388553865472023</v>
      </c>
      <c r="AM80" s="176">
        <f t="shared" si="16"/>
        <v>9.2972231314066356</v>
      </c>
      <c r="AN80" s="176">
        <f t="shared" si="16"/>
        <v>9.8912676925891034</v>
      </c>
      <c r="AO80" s="176">
        <f t="shared" si="16"/>
        <v>10.523268634476084</v>
      </c>
      <c r="AP80" s="176">
        <f t="shared" si="16"/>
        <v>11.195651173844778</v>
      </c>
      <c r="AQ80" s="176">
        <f t="shared" si="16"/>
        <v>11.910995486304275</v>
      </c>
      <c r="AR80" s="176">
        <f t="shared" si="16"/>
        <v>12.672046607364919</v>
      </c>
      <c r="AS80" s="176">
        <f t="shared" si="16"/>
        <v>13.481724966134928</v>
      </c>
      <c r="AT80" s="176">
        <f t="shared" si="16"/>
        <v>14.34313759206581</v>
      </c>
      <c r="AU80" s="176">
        <f t="shared" si="16"/>
        <v>15.259590037750996</v>
      </c>
      <c r="AV80" s="176">
        <f t="shared" si="16"/>
        <v>16.234599063529714</v>
      </c>
      <c r="AW80" s="176">
        <f t="shared" si="16"/>
        <v>17.271906132571598</v>
      </c>
      <c r="AX80" s="176">
        <f t="shared" si="16"/>
        <v>18.375491768227512</v>
      </c>
      <c r="AY80" s="176">
        <f t="shared" si="16"/>
        <v>19.549590828740996</v>
      </c>
      <c r="AZ80" s="176">
        <f t="shared" si="16"/>
        <v>20.798708757934889</v>
      </c>
      <c r="BA80" s="176">
        <f t="shared" si="16"/>
        <v>22.127638874232968</v>
      </c>
      <c r="BB80" s="176">
        <f t="shared" si="16"/>
        <v>23.541480764360767</v>
      </c>
      <c r="BC80" s="176">
        <f t="shared" si="16"/>
        <v>25.045659852308972</v>
      </c>
      <c r="BD80" s="176">
        <f t="shared" si="16"/>
        <v>26.645948218652524</v>
      </c>
      <c r="BE80" s="176">
        <f t="shared" si="16"/>
        <v>28.348486750116745</v>
      </c>
      <c r="BF80" s="176">
        <f t="shared" si="16"/>
        <v>30.159808704386354</v>
      </c>
      <c r="BG80" s="176">
        <f t="shared" si="16"/>
        <v>32.086864780584207</v>
      </c>
      <c r="BH80" s="176">
        <f t="shared" si="16"/>
        <v>34.137049791624101</v>
      </c>
      <c r="BI80" s="176">
        <f t="shared" si="16"/>
        <v>36.318231040789335</v>
      </c>
      <c r="BJ80" s="176">
        <f t="shared" si="16"/>
        <v>38.638778511428022</v>
      </c>
      <c r="BK80" s="176">
        <f t="shared" si="16"/>
        <v>41.107596985614208</v>
      </c>
      <c r="BL80" s="176">
        <f t="shared" si="16"/>
        <v>43.734160215025518</v>
      </c>
      <c r="BM80" s="176">
        <f t="shared" si="16"/>
        <v>46.52854727516354</v>
      </c>
      <c r="BN80" s="176">
        <f t="shared" si="16"/>
        <v>49.501481242421164</v>
      </c>
      <c r="BO80" s="176">
        <f t="shared" si="16"/>
        <v>52.664370342414969</v>
      </c>
      <c r="BP80" s="176">
        <f t="shared" ref="BP80:CX80" si="17">(1+$C$35)^(BP77-1)</f>
        <v>56.029351727483387</v>
      </c>
      <c r="BQ80" s="176">
        <f t="shared" si="17"/>
        <v>59.609338051341282</v>
      </c>
      <c r="BR80" s="176">
        <f t="shared" si="17"/>
        <v>63.418067019614298</v>
      </c>
      <c r="BS80" s="176">
        <f t="shared" si="17"/>
        <v>67.470154106396663</v>
      </c>
      <c r="BT80" s="176">
        <f t="shared" si="17"/>
        <v>71.781148639124822</v>
      </c>
      <c r="BU80" s="176">
        <f t="shared" si="17"/>
        <v>76.367593466985056</v>
      </c>
      <c r="BV80" s="176">
        <f t="shared" si="17"/>
        <v>81.247088441824118</v>
      </c>
      <c r="BW80" s="176">
        <f t="shared" si="17"/>
        <v>86.438357955162601</v>
      </c>
      <c r="BX80" s="176">
        <f t="shared" si="17"/>
        <v>91.96132279047454</v>
      </c>
      <c r="BY80" s="176">
        <f t="shared" si="17"/>
        <v>97.837176566456961</v>
      </c>
      <c r="BZ80" s="176">
        <f t="shared" si="17"/>
        <v>104.08846706462953</v>
      </c>
      <c r="CA80" s="176">
        <f t="shared" si="17"/>
        <v>110.73918275334813</v>
      </c>
      <c r="CB80" s="176">
        <f t="shared" si="17"/>
        <v>117.8148448402561</v>
      </c>
      <c r="CC80" s="176">
        <f t="shared" si="17"/>
        <v>125.34260520641199</v>
      </c>
      <c r="CD80" s="176">
        <f t="shared" si="17"/>
        <v>133.35135059790233</v>
      </c>
      <c r="CE80" s="176">
        <f t="shared" si="17"/>
        <v>141.87181347476081</v>
      </c>
      <c r="CF80" s="176">
        <f t="shared" si="17"/>
        <v>150.93668994256095</v>
      </c>
      <c r="CG80" s="176">
        <f t="shared" si="17"/>
        <v>160.58076521922877</v>
      </c>
      <c r="CH80" s="176">
        <f t="shared" si="17"/>
        <v>170.84104711853703</v>
      </c>
      <c r="CI80" s="176">
        <f t="shared" si="17"/>
        <v>181.7569080625058</v>
      </c>
      <c r="CJ80" s="176">
        <f t="shared" si="17"/>
        <v>193.37023616766203</v>
      </c>
      <c r="CK80" s="176">
        <f t="shared" si="17"/>
        <v>205.72559598493143</v>
      </c>
      <c r="CL80" s="176">
        <f t="shared" si="17"/>
        <v>218.87039950997925</v>
      </c>
      <c r="CM80" s="176">
        <f t="shared" si="17"/>
        <v>232.85508812022945</v>
      </c>
      <c r="CN80" s="176">
        <f t="shared" si="17"/>
        <v>247.73332613671968</v>
      </c>
      <c r="CO80" s="176">
        <f t="shared" si="17"/>
        <v>263.56220675355991</v>
      </c>
      <c r="CP80" s="176">
        <f t="shared" si="17"/>
        <v>280.40247112521996</v>
      </c>
      <c r="CQ80" s="176">
        <f t="shared" si="17"/>
        <v>298.31874145236435</v>
      </c>
      <c r="CR80" s="176">
        <f t="shared" si="17"/>
        <v>317.37976896066766</v>
      </c>
      <c r="CS80" s="176">
        <f t="shared" si="17"/>
        <v>337.65869772419711</v>
      </c>
      <c r="CT80" s="176">
        <f t="shared" si="17"/>
        <v>359.23334534574622</v>
      </c>
      <c r="CU80" s="176">
        <f t="shared" si="17"/>
        <v>382.18650157119407</v>
      </c>
      <c r="CV80" s="176">
        <f t="shared" si="17"/>
        <v>406.60624598377899</v>
      </c>
      <c r="CW80" s="176">
        <f t="shared" si="17"/>
        <v>432.58628599739757</v>
      </c>
      <c r="CX80" s="176">
        <f t="shared" si="17"/>
        <v>460.2263164459298</v>
      </c>
    </row>
    <row r="81" spans="1:102" ht="20.100000000000001" customHeight="1">
      <c r="A81" s="174"/>
      <c r="C81" s="176"/>
      <c r="D81" s="176"/>
      <c r="E81" s="176"/>
      <c r="F81" s="176"/>
      <c r="G81" s="176"/>
      <c r="H81" s="176"/>
      <c r="I81" s="176"/>
      <c r="J81" s="176"/>
      <c r="K81" s="176"/>
      <c r="L81" s="176"/>
      <c r="M81" s="176"/>
      <c r="N81" s="176"/>
      <c r="O81" s="176"/>
      <c r="P81" s="176"/>
      <c r="Q81" s="176"/>
      <c r="R81" s="176"/>
      <c r="S81" s="176"/>
      <c r="T81" s="176"/>
      <c r="U81" s="176"/>
      <c r="V81" s="176"/>
      <c r="W81" s="176"/>
      <c r="X81" s="176"/>
      <c r="Y81" s="176"/>
      <c r="Z81" s="176"/>
      <c r="AA81" s="176"/>
      <c r="AB81" s="176"/>
      <c r="AC81" s="176"/>
      <c r="AD81" s="176"/>
      <c r="AE81" s="176"/>
      <c r="AF81" s="176"/>
      <c r="AG81" s="176"/>
      <c r="AH81" s="176"/>
      <c r="AI81" s="176"/>
      <c r="AJ81" s="176"/>
      <c r="AK81" s="176"/>
      <c r="AL81" s="176"/>
      <c r="AM81" s="176"/>
      <c r="AN81" s="176"/>
      <c r="AO81" s="176"/>
      <c r="AP81" s="176"/>
      <c r="AQ81" s="176"/>
      <c r="AR81" s="176"/>
      <c r="AS81" s="176"/>
      <c r="AT81" s="176"/>
      <c r="AU81" s="176"/>
      <c r="AV81" s="176"/>
      <c r="AW81" s="176"/>
      <c r="AX81" s="176"/>
      <c r="AY81" s="176"/>
      <c r="AZ81" s="176"/>
      <c r="BA81" s="176"/>
      <c r="BB81" s="176"/>
      <c r="BC81" s="176"/>
      <c r="BD81" s="176"/>
      <c r="BE81" s="176"/>
      <c r="BF81" s="176"/>
      <c r="BG81" s="176"/>
      <c r="BH81" s="176"/>
      <c r="BI81" s="176"/>
      <c r="BJ81" s="176"/>
      <c r="BK81" s="176"/>
      <c r="BL81" s="176"/>
      <c r="BM81" s="176"/>
      <c r="BN81" s="176"/>
      <c r="BO81" s="176"/>
      <c r="BP81" s="176"/>
      <c r="BQ81" s="176"/>
      <c r="BR81" s="176"/>
      <c r="BS81" s="176"/>
      <c r="BT81" s="176"/>
      <c r="BU81" s="176"/>
      <c r="BV81" s="176"/>
      <c r="BW81" s="176"/>
      <c r="BX81" s="176"/>
      <c r="BY81" s="176"/>
      <c r="BZ81" s="176"/>
      <c r="CA81" s="176"/>
      <c r="CB81" s="176"/>
      <c r="CC81" s="176"/>
      <c r="CD81" s="176"/>
      <c r="CE81" s="176"/>
      <c r="CF81" s="176"/>
      <c r="CG81" s="176"/>
      <c r="CH81" s="176"/>
      <c r="CI81" s="176"/>
      <c r="CJ81" s="176"/>
      <c r="CK81" s="176"/>
      <c r="CL81" s="176"/>
      <c r="CM81" s="176"/>
      <c r="CN81" s="176"/>
      <c r="CO81" s="176"/>
      <c r="CP81" s="176"/>
      <c r="CQ81" s="176"/>
      <c r="CR81" s="176"/>
      <c r="CS81" s="176"/>
      <c r="CT81" s="176"/>
      <c r="CU81" s="176"/>
      <c r="CV81" s="176"/>
      <c r="CW81" s="176"/>
      <c r="CX81" s="176"/>
    </row>
    <row r="82" spans="1:102" s="99" customFormat="1" ht="20.100000000000001" customHeight="1">
      <c r="A82" s="101" t="s">
        <v>150</v>
      </c>
      <c r="C82" s="177"/>
      <c r="D82" s="177"/>
      <c r="E82" s="177"/>
      <c r="F82" s="178"/>
      <c r="G82" s="178"/>
      <c r="H82" s="178"/>
      <c r="I82" s="178"/>
      <c r="J82" s="178"/>
      <c r="K82" s="178"/>
      <c r="L82" s="178"/>
      <c r="M82" s="178"/>
      <c r="N82" s="178"/>
      <c r="O82" s="178"/>
      <c r="P82" s="178"/>
      <c r="Q82" s="178"/>
      <c r="R82" s="178"/>
      <c r="S82" s="178"/>
      <c r="T82" s="178"/>
      <c r="U82" s="178"/>
      <c r="V82" s="178"/>
      <c r="W82" s="178"/>
      <c r="X82" s="177"/>
      <c r="Y82" s="177"/>
      <c r="Z82" s="177"/>
      <c r="AA82" s="177"/>
      <c r="AB82" s="177"/>
      <c r="AC82" s="177"/>
      <c r="AD82" s="177"/>
      <c r="AE82" s="177"/>
      <c r="AF82" s="177"/>
      <c r="AG82" s="177"/>
      <c r="AH82" s="177"/>
      <c r="AI82" s="177"/>
      <c r="AJ82" s="177"/>
      <c r="AK82" s="177"/>
      <c r="AL82" s="177"/>
      <c r="AM82" s="177"/>
      <c r="AN82" s="177"/>
      <c r="AO82" s="177"/>
      <c r="AP82" s="177"/>
      <c r="AQ82" s="177"/>
      <c r="AR82" s="177"/>
      <c r="AS82" s="177"/>
      <c r="AT82" s="177"/>
      <c r="AU82" s="177"/>
      <c r="AV82" s="177"/>
      <c r="AW82" s="177"/>
      <c r="AX82" s="177"/>
      <c r="AY82" s="177"/>
      <c r="AZ82" s="177"/>
      <c r="BA82" s="177"/>
      <c r="BB82" s="177"/>
      <c r="BC82" s="177"/>
      <c r="BD82" s="177"/>
      <c r="BE82" s="177"/>
      <c r="BF82" s="177"/>
      <c r="BG82" s="177"/>
      <c r="BH82" s="177"/>
      <c r="BI82" s="177"/>
      <c r="BJ82" s="177"/>
      <c r="BK82" s="177"/>
      <c r="BL82" s="177"/>
      <c r="BM82" s="177"/>
      <c r="BN82" s="177"/>
      <c r="BO82" s="177"/>
      <c r="BP82" s="177"/>
      <c r="BQ82" s="177"/>
      <c r="BR82" s="177"/>
      <c r="BS82" s="177"/>
      <c r="BT82" s="177"/>
      <c r="BU82" s="177"/>
      <c r="BV82" s="177"/>
      <c r="BW82" s="177"/>
      <c r="BX82" s="177"/>
      <c r="BY82" s="177"/>
      <c r="BZ82" s="177"/>
      <c r="CA82" s="177"/>
      <c r="CB82" s="177"/>
      <c r="CC82" s="177"/>
      <c r="CD82" s="177"/>
      <c r="CE82" s="177"/>
      <c r="CF82" s="177"/>
      <c r="CG82" s="177"/>
      <c r="CH82" s="177"/>
      <c r="CI82" s="177"/>
      <c r="CJ82" s="177"/>
      <c r="CK82" s="177"/>
      <c r="CL82" s="177"/>
      <c r="CM82" s="177"/>
      <c r="CN82" s="177"/>
      <c r="CO82" s="177"/>
      <c r="CP82" s="177"/>
      <c r="CQ82" s="177"/>
      <c r="CR82" s="177"/>
      <c r="CS82" s="177"/>
      <c r="CT82" s="177"/>
      <c r="CU82" s="177"/>
      <c r="CV82" s="177"/>
      <c r="CW82" s="177"/>
      <c r="CX82" s="177"/>
    </row>
    <row r="83" spans="1:102" ht="20.100000000000001" customHeight="1">
      <c r="B83" s="169" t="s">
        <v>147</v>
      </c>
      <c r="C83" s="137">
        <f>$C$38</f>
        <v>2024</v>
      </c>
      <c r="D83" s="137">
        <f t="shared" ref="D83:BO84" si="18">C83+1</f>
        <v>2025</v>
      </c>
      <c r="E83" s="137">
        <f t="shared" si="18"/>
        <v>2026</v>
      </c>
      <c r="F83" s="137">
        <f t="shared" si="18"/>
        <v>2027</v>
      </c>
      <c r="G83" s="137">
        <f t="shared" si="18"/>
        <v>2028</v>
      </c>
      <c r="H83" s="137">
        <f t="shared" si="18"/>
        <v>2029</v>
      </c>
      <c r="I83" s="137">
        <f t="shared" si="18"/>
        <v>2030</v>
      </c>
      <c r="J83" s="137">
        <f t="shared" si="18"/>
        <v>2031</v>
      </c>
      <c r="K83" s="137">
        <f t="shared" si="18"/>
        <v>2032</v>
      </c>
      <c r="L83" s="137">
        <f t="shared" si="18"/>
        <v>2033</v>
      </c>
      <c r="M83" s="137">
        <f t="shared" si="18"/>
        <v>2034</v>
      </c>
      <c r="N83" s="137">
        <f t="shared" si="18"/>
        <v>2035</v>
      </c>
      <c r="O83" s="137">
        <f t="shared" si="18"/>
        <v>2036</v>
      </c>
      <c r="P83" s="137">
        <f t="shared" si="18"/>
        <v>2037</v>
      </c>
      <c r="Q83" s="137">
        <f t="shared" si="18"/>
        <v>2038</v>
      </c>
      <c r="R83" s="137">
        <f t="shared" si="18"/>
        <v>2039</v>
      </c>
      <c r="S83" s="137">
        <f t="shared" si="18"/>
        <v>2040</v>
      </c>
      <c r="T83" s="137">
        <f t="shared" si="18"/>
        <v>2041</v>
      </c>
      <c r="U83" s="137">
        <f t="shared" si="18"/>
        <v>2042</v>
      </c>
      <c r="V83" s="137">
        <f t="shared" si="18"/>
        <v>2043</v>
      </c>
      <c r="W83" s="137">
        <f t="shared" si="18"/>
        <v>2044</v>
      </c>
      <c r="X83" s="137">
        <f t="shared" si="18"/>
        <v>2045</v>
      </c>
      <c r="Y83" s="137">
        <f t="shared" si="18"/>
        <v>2046</v>
      </c>
      <c r="Z83" s="137">
        <f t="shared" si="18"/>
        <v>2047</v>
      </c>
      <c r="AA83" s="137">
        <f t="shared" si="18"/>
        <v>2048</v>
      </c>
      <c r="AB83" s="137">
        <f t="shared" si="18"/>
        <v>2049</v>
      </c>
      <c r="AC83" s="137">
        <f t="shared" si="18"/>
        <v>2050</v>
      </c>
      <c r="AD83" s="137">
        <f t="shared" si="18"/>
        <v>2051</v>
      </c>
      <c r="AE83" s="137">
        <f t="shared" si="18"/>
        <v>2052</v>
      </c>
      <c r="AF83" s="137">
        <f t="shared" si="18"/>
        <v>2053</v>
      </c>
      <c r="AG83" s="137">
        <f t="shared" si="18"/>
        <v>2054</v>
      </c>
      <c r="AH83" s="137">
        <f t="shared" si="18"/>
        <v>2055</v>
      </c>
      <c r="AI83" s="137">
        <f t="shared" si="18"/>
        <v>2056</v>
      </c>
      <c r="AJ83" s="137">
        <f t="shared" si="18"/>
        <v>2057</v>
      </c>
      <c r="AK83" s="137">
        <f t="shared" si="18"/>
        <v>2058</v>
      </c>
      <c r="AL83" s="137">
        <f t="shared" si="18"/>
        <v>2059</v>
      </c>
      <c r="AM83" s="137">
        <f t="shared" si="18"/>
        <v>2060</v>
      </c>
      <c r="AN83" s="137">
        <f t="shared" si="18"/>
        <v>2061</v>
      </c>
      <c r="AO83" s="137">
        <f t="shared" si="18"/>
        <v>2062</v>
      </c>
      <c r="AP83" s="137">
        <f t="shared" si="18"/>
        <v>2063</v>
      </c>
      <c r="AQ83" s="137">
        <f t="shared" si="18"/>
        <v>2064</v>
      </c>
      <c r="AR83" s="137">
        <f t="shared" si="18"/>
        <v>2065</v>
      </c>
      <c r="AS83" s="137">
        <f t="shared" si="18"/>
        <v>2066</v>
      </c>
      <c r="AT83" s="137">
        <f t="shared" si="18"/>
        <v>2067</v>
      </c>
      <c r="AU83" s="137">
        <f t="shared" si="18"/>
        <v>2068</v>
      </c>
      <c r="AV83" s="137">
        <f t="shared" si="18"/>
        <v>2069</v>
      </c>
      <c r="AW83" s="137">
        <f t="shared" si="18"/>
        <v>2070</v>
      </c>
      <c r="AX83" s="137">
        <f t="shared" si="18"/>
        <v>2071</v>
      </c>
      <c r="AY83" s="137">
        <f t="shared" si="18"/>
        <v>2072</v>
      </c>
      <c r="AZ83" s="137">
        <f t="shared" si="18"/>
        <v>2073</v>
      </c>
      <c r="BA83" s="137">
        <f t="shared" si="18"/>
        <v>2074</v>
      </c>
      <c r="BB83" s="137">
        <f t="shared" si="18"/>
        <v>2075</v>
      </c>
      <c r="BC83" s="137">
        <f t="shared" si="18"/>
        <v>2076</v>
      </c>
      <c r="BD83" s="137">
        <f t="shared" si="18"/>
        <v>2077</v>
      </c>
      <c r="BE83" s="137">
        <f t="shared" si="18"/>
        <v>2078</v>
      </c>
      <c r="BF83" s="137">
        <f t="shared" si="18"/>
        <v>2079</v>
      </c>
      <c r="BG83" s="137">
        <f t="shared" si="18"/>
        <v>2080</v>
      </c>
      <c r="BH83" s="137">
        <f t="shared" si="18"/>
        <v>2081</v>
      </c>
      <c r="BI83" s="137">
        <f t="shared" si="18"/>
        <v>2082</v>
      </c>
      <c r="BJ83" s="137">
        <f t="shared" si="18"/>
        <v>2083</v>
      </c>
      <c r="BK83" s="137">
        <f t="shared" si="18"/>
        <v>2084</v>
      </c>
      <c r="BL83" s="137">
        <f t="shared" si="18"/>
        <v>2085</v>
      </c>
      <c r="BM83" s="137">
        <f t="shared" si="18"/>
        <v>2086</v>
      </c>
      <c r="BN83" s="137">
        <f t="shared" si="18"/>
        <v>2087</v>
      </c>
      <c r="BO83" s="137">
        <f t="shared" si="18"/>
        <v>2088</v>
      </c>
      <c r="BP83" s="137">
        <f t="shared" ref="BP83:CX84" si="19">BO83+1</f>
        <v>2089</v>
      </c>
      <c r="BQ83" s="137">
        <f t="shared" si="19"/>
        <v>2090</v>
      </c>
      <c r="BR83" s="137">
        <f t="shared" si="19"/>
        <v>2091</v>
      </c>
      <c r="BS83" s="137">
        <f t="shared" si="19"/>
        <v>2092</v>
      </c>
      <c r="BT83" s="137">
        <f t="shared" si="19"/>
        <v>2093</v>
      </c>
      <c r="BU83" s="137">
        <f t="shared" si="19"/>
        <v>2094</v>
      </c>
      <c r="BV83" s="137">
        <f t="shared" si="19"/>
        <v>2095</v>
      </c>
      <c r="BW83" s="137">
        <f t="shared" si="19"/>
        <v>2096</v>
      </c>
      <c r="BX83" s="137">
        <f t="shared" si="19"/>
        <v>2097</v>
      </c>
      <c r="BY83" s="137">
        <f t="shared" si="19"/>
        <v>2098</v>
      </c>
      <c r="BZ83" s="137">
        <f t="shared" si="19"/>
        <v>2099</v>
      </c>
      <c r="CA83" s="137">
        <f t="shared" si="19"/>
        <v>2100</v>
      </c>
      <c r="CB83" s="137">
        <f t="shared" si="19"/>
        <v>2101</v>
      </c>
      <c r="CC83" s="137">
        <f t="shared" si="19"/>
        <v>2102</v>
      </c>
      <c r="CD83" s="137">
        <f t="shared" si="19"/>
        <v>2103</v>
      </c>
      <c r="CE83" s="137">
        <f t="shared" si="19"/>
        <v>2104</v>
      </c>
      <c r="CF83" s="137">
        <f t="shared" si="19"/>
        <v>2105</v>
      </c>
      <c r="CG83" s="137">
        <f t="shared" si="19"/>
        <v>2106</v>
      </c>
      <c r="CH83" s="137">
        <f t="shared" si="19"/>
        <v>2107</v>
      </c>
      <c r="CI83" s="137">
        <f t="shared" si="19"/>
        <v>2108</v>
      </c>
      <c r="CJ83" s="137">
        <f t="shared" si="19"/>
        <v>2109</v>
      </c>
      <c r="CK83" s="137">
        <f t="shared" si="19"/>
        <v>2110</v>
      </c>
      <c r="CL83" s="137">
        <f t="shared" si="19"/>
        <v>2111</v>
      </c>
      <c r="CM83" s="137">
        <f t="shared" si="19"/>
        <v>2112</v>
      </c>
      <c r="CN83" s="137">
        <f t="shared" si="19"/>
        <v>2113</v>
      </c>
      <c r="CO83" s="137">
        <f t="shared" si="19"/>
        <v>2114</v>
      </c>
      <c r="CP83" s="137">
        <f t="shared" si="19"/>
        <v>2115</v>
      </c>
      <c r="CQ83" s="137">
        <f t="shared" si="19"/>
        <v>2116</v>
      </c>
      <c r="CR83" s="137">
        <f t="shared" si="19"/>
        <v>2117</v>
      </c>
      <c r="CS83" s="137">
        <f t="shared" si="19"/>
        <v>2118</v>
      </c>
      <c r="CT83" s="137">
        <f t="shared" si="19"/>
        <v>2119</v>
      </c>
      <c r="CU83" s="137">
        <f t="shared" si="19"/>
        <v>2120</v>
      </c>
      <c r="CV83" s="137">
        <f t="shared" si="19"/>
        <v>2121</v>
      </c>
      <c r="CW83" s="137">
        <f t="shared" si="19"/>
        <v>2122</v>
      </c>
      <c r="CX83" s="170">
        <f t="shared" si="19"/>
        <v>2123</v>
      </c>
    </row>
    <row r="84" spans="1:102" ht="20.100000000000001" customHeight="1">
      <c r="B84" s="171" t="s">
        <v>148</v>
      </c>
      <c r="C84" s="172">
        <v>1</v>
      </c>
      <c r="D84" s="172">
        <f t="shared" si="18"/>
        <v>2</v>
      </c>
      <c r="E84" s="172">
        <f t="shared" si="18"/>
        <v>3</v>
      </c>
      <c r="F84" s="172">
        <f t="shared" si="18"/>
        <v>4</v>
      </c>
      <c r="G84" s="172">
        <f t="shared" si="18"/>
        <v>5</v>
      </c>
      <c r="H84" s="172">
        <f t="shared" si="18"/>
        <v>6</v>
      </c>
      <c r="I84" s="172">
        <f t="shared" si="18"/>
        <v>7</v>
      </c>
      <c r="J84" s="172">
        <f t="shared" si="18"/>
        <v>8</v>
      </c>
      <c r="K84" s="172">
        <f t="shared" si="18"/>
        <v>9</v>
      </c>
      <c r="L84" s="172">
        <f t="shared" si="18"/>
        <v>10</v>
      </c>
      <c r="M84" s="172">
        <f t="shared" si="18"/>
        <v>11</v>
      </c>
      <c r="N84" s="172">
        <f t="shared" si="18"/>
        <v>12</v>
      </c>
      <c r="O84" s="172">
        <f t="shared" si="18"/>
        <v>13</v>
      </c>
      <c r="P84" s="172">
        <f t="shared" si="18"/>
        <v>14</v>
      </c>
      <c r="Q84" s="172">
        <f t="shared" si="18"/>
        <v>15</v>
      </c>
      <c r="R84" s="172">
        <f t="shared" si="18"/>
        <v>16</v>
      </c>
      <c r="S84" s="172">
        <f t="shared" si="18"/>
        <v>17</v>
      </c>
      <c r="T84" s="172">
        <f t="shared" si="18"/>
        <v>18</v>
      </c>
      <c r="U84" s="172">
        <f t="shared" si="18"/>
        <v>19</v>
      </c>
      <c r="V84" s="172">
        <f t="shared" si="18"/>
        <v>20</v>
      </c>
      <c r="W84" s="172">
        <f t="shared" si="18"/>
        <v>21</v>
      </c>
      <c r="X84" s="172">
        <f t="shared" si="18"/>
        <v>22</v>
      </c>
      <c r="Y84" s="172">
        <f t="shared" si="18"/>
        <v>23</v>
      </c>
      <c r="Z84" s="172">
        <f t="shared" si="18"/>
        <v>24</v>
      </c>
      <c r="AA84" s="172">
        <f t="shared" si="18"/>
        <v>25</v>
      </c>
      <c r="AB84" s="172">
        <f t="shared" si="18"/>
        <v>26</v>
      </c>
      <c r="AC84" s="172">
        <f t="shared" si="18"/>
        <v>27</v>
      </c>
      <c r="AD84" s="172">
        <f t="shared" si="18"/>
        <v>28</v>
      </c>
      <c r="AE84" s="172">
        <f t="shared" si="18"/>
        <v>29</v>
      </c>
      <c r="AF84" s="172">
        <f t="shared" si="18"/>
        <v>30</v>
      </c>
      <c r="AG84" s="172">
        <f t="shared" si="18"/>
        <v>31</v>
      </c>
      <c r="AH84" s="172">
        <f t="shared" si="18"/>
        <v>32</v>
      </c>
      <c r="AI84" s="172">
        <f t="shared" si="18"/>
        <v>33</v>
      </c>
      <c r="AJ84" s="172">
        <f t="shared" si="18"/>
        <v>34</v>
      </c>
      <c r="AK84" s="172">
        <f t="shared" si="18"/>
        <v>35</v>
      </c>
      <c r="AL84" s="172">
        <f t="shared" si="18"/>
        <v>36</v>
      </c>
      <c r="AM84" s="172">
        <f t="shared" si="18"/>
        <v>37</v>
      </c>
      <c r="AN84" s="172">
        <f t="shared" si="18"/>
        <v>38</v>
      </c>
      <c r="AO84" s="172">
        <f t="shared" si="18"/>
        <v>39</v>
      </c>
      <c r="AP84" s="172">
        <f t="shared" si="18"/>
        <v>40</v>
      </c>
      <c r="AQ84" s="172">
        <f t="shared" si="18"/>
        <v>41</v>
      </c>
      <c r="AR84" s="172">
        <f t="shared" si="18"/>
        <v>42</v>
      </c>
      <c r="AS84" s="172">
        <f t="shared" si="18"/>
        <v>43</v>
      </c>
      <c r="AT84" s="172">
        <f t="shared" si="18"/>
        <v>44</v>
      </c>
      <c r="AU84" s="172">
        <f t="shared" si="18"/>
        <v>45</v>
      </c>
      <c r="AV84" s="172">
        <f t="shared" si="18"/>
        <v>46</v>
      </c>
      <c r="AW84" s="172">
        <f t="shared" si="18"/>
        <v>47</v>
      </c>
      <c r="AX84" s="172">
        <f t="shared" si="18"/>
        <v>48</v>
      </c>
      <c r="AY84" s="172">
        <f t="shared" si="18"/>
        <v>49</v>
      </c>
      <c r="AZ84" s="172">
        <f t="shared" si="18"/>
        <v>50</v>
      </c>
      <c r="BA84" s="172">
        <f t="shared" si="18"/>
        <v>51</v>
      </c>
      <c r="BB84" s="172">
        <f t="shared" si="18"/>
        <v>52</v>
      </c>
      <c r="BC84" s="172">
        <f t="shared" si="18"/>
        <v>53</v>
      </c>
      <c r="BD84" s="172">
        <f t="shared" si="18"/>
        <v>54</v>
      </c>
      <c r="BE84" s="172">
        <f t="shared" si="18"/>
        <v>55</v>
      </c>
      <c r="BF84" s="172">
        <f t="shared" si="18"/>
        <v>56</v>
      </c>
      <c r="BG84" s="172">
        <f t="shared" si="18"/>
        <v>57</v>
      </c>
      <c r="BH84" s="172">
        <f t="shared" si="18"/>
        <v>58</v>
      </c>
      <c r="BI84" s="172">
        <f t="shared" si="18"/>
        <v>59</v>
      </c>
      <c r="BJ84" s="172">
        <f t="shared" si="18"/>
        <v>60</v>
      </c>
      <c r="BK84" s="172">
        <f t="shared" si="18"/>
        <v>61</v>
      </c>
      <c r="BL84" s="172">
        <f t="shared" si="18"/>
        <v>62</v>
      </c>
      <c r="BM84" s="172">
        <f t="shared" si="18"/>
        <v>63</v>
      </c>
      <c r="BN84" s="172">
        <f t="shared" si="18"/>
        <v>64</v>
      </c>
      <c r="BO84" s="172">
        <f t="shared" si="18"/>
        <v>65</v>
      </c>
      <c r="BP84" s="172">
        <f t="shared" si="19"/>
        <v>66</v>
      </c>
      <c r="BQ84" s="172">
        <f t="shared" si="19"/>
        <v>67</v>
      </c>
      <c r="BR84" s="172">
        <f t="shared" si="19"/>
        <v>68</v>
      </c>
      <c r="BS84" s="172">
        <f t="shared" si="19"/>
        <v>69</v>
      </c>
      <c r="BT84" s="172">
        <f t="shared" si="19"/>
        <v>70</v>
      </c>
      <c r="BU84" s="172">
        <f t="shared" si="19"/>
        <v>71</v>
      </c>
      <c r="BV84" s="172">
        <f t="shared" si="19"/>
        <v>72</v>
      </c>
      <c r="BW84" s="172">
        <f t="shared" si="19"/>
        <v>73</v>
      </c>
      <c r="BX84" s="172">
        <f t="shared" si="19"/>
        <v>74</v>
      </c>
      <c r="BY84" s="172">
        <f t="shared" si="19"/>
        <v>75</v>
      </c>
      <c r="BZ84" s="172">
        <f t="shared" si="19"/>
        <v>76</v>
      </c>
      <c r="CA84" s="172">
        <f t="shared" si="19"/>
        <v>77</v>
      </c>
      <c r="CB84" s="172">
        <f t="shared" si="19"/>
        <v>78</v>
      </c>
      <c r="CC84" s="172">
        <f t="shared" si="19"/>
        <v>79</v>
      </c>
      <c r="CD84" s="172">
        <f t="shared" si="19"/>
        <v>80</v>
      </c>
      <c r="CE84" s="172">
        <f t="shared" si="19"/>
        <v>81</v>
      </c>
      <c r="CF84" s="172">
        <f t="shared" si="19"/>
        <v>82</v>
      </c>
      <c r="CG84" s="172">
        <f t="shared" si="19"/>
        <v>83</v>
      </c>
      <c r="CH84" s="172">
        <f t="shared" si="19"/>
        <v>84</v>
      </c>
      <c r="CI84" s="172">
        <f t="shared" si="19"/>
        <v>85</v>
      </c>
      <c r="CJ84" s="172">
        <f t="shared" si="19"/>
        <v>86</v>
      </c>
      <c r="CK84" s="172">
        <f t="shared" si="19"/>
        <v>87</v>
      </c>
      <c r="CL84" s="172">
        <f t="shared" si="19"/>
        <v>88</v>
      </c>
      <c r="CM84" s="172">
        <f t="shared" si="19"/>
        <v>89</v>
      </c>
      <c r="CN84" s="172">
        <f t="shared" si="19"/>
        <v>90</v>
      </c>
      <c r="CO84" s="172">
        <f t="shared" si="19"/>
        <v>91</v>
      </c>
      <c r="CP84" s="172">
        <f t="shared" si="19"/>
        <v>92</v>
      </c>
      <c r="CQ84" s="172">
        <f t="shared" si="19"/>
        <v>93</v>
      </c>
      <c r="CR84" s="172">
        <f t="shared" si="19"/>
        <v>94</v>
      </c>
      <c r="CS84" s="172">
        <f t="shared" si="19"/>
        <v>95</v>
      </c>
      <c r="CT84" s="172">
        <f t="shared" si="19"/>
        <v>96</v>
      </c>
      <c r="CU84" s="172">
        <f t="shared" si="19"/>
        <v>97</v>
      </c>
      <c r="CV84" s="172">
        <f t="shared" si="19"/>
        <v>98</v>
      </c>
      <c r="CW84" s="172">
        <f t="shared" si="19"/>
        <v>99</v>
      </c>
      <c r="CX84" s="173">
        <f t="shared" si="19"/>
        <v>100</v>
      </c>
    </row>
    <row r="85" spans="1:102" ht="20.100000000000001" customHeight="1"/>
    <row r="86" spans="1:102" ht="20.100000000000001" customHeight="1">
      <c r="B86" s="103"/>
      <c r="D86" s="179"/>
    </row>
    <row r="87" spans="1:102" ht="20.100000000000001" customHeight="1">
      <c r="B87" s="180" t="str">
        <f>"Capital Costs in Real "&amp;C37&amp;"$"</f>
        <v>Capital Costs in Real 2024$</v>
      </c>
      <c r="C87" s="181"/>
      <c r="D87" s="181"/>
      <c r="E87" s="181"/>
      <c r="F87" s="182"/>
      <c r="G87" s="182"/>
      <c r="H87" s="182"/>
      <c r="I87" s="182"/>
      <c r="J87" s="182"/>
      <c r="K87" s="182"/>
      <c r="L87" s="182"/>
      <c r="M87" s="182"/>
      <c r="N87" s="182"/>
      <c r="O87" s="182"/>
      <c r="P87" s="182"/>
      <c r="Q87" s="182"/>
      <c r="R87" s="182"/>
      <c r="S87" s="182"/>
      <c r="T87" s="182"/>
      <c r="U87" s="182"/>
      <c r="V87" s="182"/>
      <c r="W87" s="182"/>
      <c r="X87" s="182"/>
      <c r="Y87" s="182"/>
      <c r="Z87" s="182"/>
      <c r="AA87" s="182"/>
      <c r="AB87" s="182"/>
      <c r="AC87" s="182"/>
      <c r="AD87" s="182"/>
      <c r="AE87" s="182"/>
      <c r="AF87" s="182"/>
      <c r="AG87" s="182"/>
      <c r="AH87" s="182"/>
      <c r="AI87" s="182"/>
      <c r="AJ87" s="182"/>
      <c r="AK87" s="182"/>
      <c r="AL87" s="182"/>
      <c r="AM87" s="182"/>
      <c r="AN87" s="182"/>
      <c r="AO87" s="182"/>
      <c r="AP87" s="182"/>
      <c r="AQ87" s="182"/>
      <c r="AR87" s="182"/>
      <c r="AS87" s="182"/>
      <c r="AT87" s="182"/>
      <c r="AU87" s="182"/>
      <c r="AV87" s="182"/>
      <c r="AW87" s="182"/>
      <c r="AX87" s="182"/>
      <c r="AY87" s="182"/>
      <c r="AZ87" s="182"/>
      <c r="BA87" s="182"/>
      <c r="BB87" s="182"/>
      <c r="BC87" s="182"/>
      <c r="BD87" s="182"/>
      <c r="BE87" s="182"/>
      <c r="BF87" s="182"/>
      <c r="BG87" s="182"/>
      <c r="BH87" s="182"/>
      <c r="BI87" s="182"/>
      <c r="BJ87" s="182"/>
      <c r="BK87" s="182"/>
      <c r="BL87" s="182"/>
      <c r="BM87" s="182"/>
      <c r="BN87" s="182"/>
      <c r="BO87" s="182"/>
      <c r="BP87" s="182"/>
      <c r="BQ87" s="182"/>
      <c r="BR87" s="182"/>
      <c r="BS87" s="182"/>
      <c r="BT87" s="182"/>
      <c r="BU87" s="182"/>
      <c r="BV87" s="182"/>
      <c r="BW87" s="182"/>
      <c r="BX87" s="182"/>
      <c r="BY87" s="182"/>
      <c r="BZ87" s="182"/>
      <c r="CA87" s="182"/>
      <c r="CB87" s="182"/>
      <c r="CC87" s="182"/>
      <c r="CD87" s="182"/>
      <c r="CE87" s="182"/>
      <c r="CF87" s="182"/>
      <c r="CG87" s="182"/>
      <c r="CH87" s="182"/>
      <c r="CI87" s="182"/>
      <c r="CJ87" s="182"/>
      <c r="CK87" s="182"/>
      <c r="CL87" s="182"/>
      <c r="CM87" s="182"/>
      <c r="CN87" s="182"/>
      <c r="CO87" s="182"/>
      <c r="CP87" s="182"/>
      <c r="CQ87" s="182"/>
      <c r="CR87" s="182"/>
      <c r="CS87" s="182"/>
      <c r="CT87" s="182"/>
      <c r="CU87" s="182"/>
      <c r="CV87" s="182"/>
      <c r="CW87" s="182"/>
      <c r="CX87" s="183"/>
    </row>
    <row r="88" spans="1:102" ht="20.100000000000001" customHeight="1">
      <c r="A88" s="184">
        <f>SUM(C88:CX88)</f>
        <v>16529705.046995105</v>
      </c>
      <c r="B88" s="185" t="str">
        <f t="shared" ref="B88:B95" si="20">B52</f>
        <v>Liquefaction equipment</v>
      </c>
      <c r="C88" s="123">
        <f t="shared" ref="C88:AH88" si="21">$C52*D52</f>
        <v>16529705.046995105</v>
      </c>
      <c r="D88" s="123">
        <f t="shared" si="21"/>
        <v>0</v>
      </c>
      <c r="E88" s="123">
        <f t="shared" si="21"/>
        <v>0</v>
      </c>
      <c r="F88" s="123">
        <f t="shared" si="21"/>
        <v>0</v>
      </c>
      <c r="G88" s="123">
        <f t="shared" si="21"/>
        <v>0</v>
      </c>
      <c r="H88" s="123">
        <f t="shared" si="21"/>
        <v>0</v>
      </c>
      <c r="I88" s="123">
        <f t="shared" si="21"/>
        <v>0</v>
      </c>
      <c r="J88" s="123">
        <f t="shared" si="21"/>
        <v>0</v>
      </c>
      <c r="K88" s="123">
        <f t="shared" si="21"/>
        <v>0</v>
      </c>
      <c r="L88" s="123">
        <f t="shared" si="21"/>
        <v>0</v>
      </c>
      <c r="M88" s="123">
        <f t="shared" si="21"/>
        <v>0</v>
      </c>
      <c r="N88" s="123">
        <f t="shared" si="21"/>
        <v>0</v>
      </c>
      <c r="O88" s="123">
        <f t="shared" si="21"/>
        <v>0</v>
      </c>
      <c r="P88" s="123">
        <f t="shared" si="21"/>
        <v>0</v>
      </c>
      <c r="Q88" s="123">
        <f t="shared" si="21"/>
        <v>0</v>
      </c>
      <c r="R88" s="123">
        <f t="shared" si="21"/>
        <v>0</v>
      </c>
      <c r="S88" s="123">
        <f t="shared" si="21"/>
        <v>0</v>
      </c>
      <c r="T88" s="123">
        <f t="shared" si="21"/>
        <v>0</v>
      </c>
      <c r="U88" s="123">
        <f t="shared" si="21"/>
        <v>0</v>
      </c>
      <c r="V88" s="123">
        <f t="shared" si="21"/>
        <v>0</v>
      </c>
      <c r="W88" s="123">
        <f t="shared" si="21"/>
        <v>0</v>
      </c>
      <c r="X88" s="123">
        <f t="shared" si="21"/>
        <v>0</v>
      </c>
      <c r="Y88" s="123">
        <f t="shared" si="21"/>
        <v>0</v>
      </c>
      <c r="Z88" s="123">
        <f t="shared" si="21"/>
        <v>0</v>
      </c>
      <c r="AA88" s="123">
        <f t="shared" si="21"/>
        <v>0</v>
      </c>
      <c r="AB88" s="123">
        <f t="shared" si="21"/>
        <v>0</v>
      </c>
      <c r="AC88" s="123">
        <f t="shared" si="21"/>
        <v>0</v>
      </c>
      <c r="AD88" s="123">
        <f t="shared" si="21"/>
        <v>0</v>
      </c>
      <c r="AE88" s="123">
        <f t="shared" si="21"/>
        <v>0</v>
      </c>
      <c r="AF88" s="123">
        <f t="shared" si="21"/>
        <v>0</v>
      </c>
      <c r="AG88" s="123">
        <f t="shared" si="21"/>
        <v>0</v>
      </c>
      <c r="AH88" s="123">
        <f t="shared" si="21"/>
        <v>0</v>
      </c>
      <c r="AI88" s="123">
        <f t="shared" ref="AI88:BN88" si="22">$C52*AJ52</f>
        <v>0</v>
      </c>
      <c r="AJ88" s="123">
        <f t="shared" si="22"/>
        <v>0</v>
      </c>
      <c r="AK88" s="123">
        <f t="shared" si="22"/>
        <v>0</v>
      </c>
      <c r="AL88" s="123">
        <f t="shared" si="22"/>
        <v>0</v>
      </c>
      <c r="AM88" s="123">
        <f t="shared" si="22"/>
        <v>0</v>
      </c>
      <c r="AN88" s="123">
        <f t="shared" si="22"/>
        <v>0</v>
      </c>
      <c r="AO88" s="123">
        <f t="shared" si="22"/>
        <v>0</v>
      </c>
      <c r="AP88" s="123">
        <f t="shared" si="22"/>
        <v>0</v>
      </c>
      <c r="AQ88" s="123">
        <f t="shared" si="22"/>
        <v>0</v>
      </c>
      <c r="AR88" s="123">
        <f t="shared" si="22"/>
        <v>0</v>
      </c>
      <c r="AS88" s="123">
        <f t="shared" si="22"/>
        <v>0</v>
      </c>
      <c r="AT88" s="123">
        <f t="shared" si="22"/>
        <v>0</v>
      </c>
      <c r="AU88" s="123">
        <f t="shared" si="22"/>
        <v>0</v>
      </c>
      <c r="AV88" s="123">
        <f t="shared" si="22"/>
        <v>0</v>
      </c>
      <c r="AW88" s="123">
        <f t="shared" si="22"/>
        <v>0</v>
      </c>
      <c r="AX88" s="123">
        <f t="shared" si="22"/>
        <v>0</v>
      </c>
      <c r="AY88" s="123">
        <f t="shared" si="22"/>
        <v>0</v>
      </c>
      <c r="AZ88" s="123">
        <f t="shared" si="22"/>
        <v>0</v>
      </c>
      <c r="BA88" s="123">
        <f t="shared" si="22"/>
        <v>0</v>
      </c>
      <c r="BB88" s="123">
        <f t="shared" si="22"/>
        <v>0</v>
      </c>
      <c r="BC88" s="123">
        <f t="shared" si="22"/>
        <v>0</v>
      </c>
      <c r="BD88" s="123">
        <f t="shared" si="22"/>
        <v>0</v>
      </c>
      <c r="BE88" s="123">
        <f t="shared" si="22"/>
        <v>0</v>
      </c>
      <c r="BF88" s="123">
        <f t="shared" si="22"/>
        <v>0</v>
      </c>
      <c r="BG88" s="123">
        <f t="shared" si="22"/>
        <v>0</v>
      </c>
      <c r="BH88" s="123">
        <f t="shared" si="22"/>
        <v>0</v>
      </c>
      <c r="BI88" s="123">
        <f t="shared" si="22"/>
        <v>0</v>
      </c>
      <c r="BJ88" s="123">
        <f t="shared" si="22"/>
        <v>0</v>
      </c>
      <c r="BK88" s="123">
        <f t="shared" si="22"/>
        <v>0</v>
      </c>
      <c r="BL88" s="123">
        <f t="shared" si="22"/>
        <v>0</v>
      </c>
      <c r="BM88" s="123">
        <f t="shared" si="22"/>
        <v>0</v>
      </c>
      <c r="BN88" s="123">
        <f t="shared" si="22"/>
        <v>0</v>
      </c>
      <c r="BO88" s="123">
        <f t="shared" ref="BO88:CX88" si="23">$C52*BP52</f>
        <v>0</v>
      </c>
      <c r="BP88" s="123">
        <f t="shared" si="23"/>
        <v>0</v>
      </c>
      <c r="BQ88" s="123">
        <f t="shared" si="23"/>
        <v>0</v>
      </c>
      <c r="BR88" s="123">
        <f t="shared" si="23"/>
        <v>0</v>
      </c>
      <c r="BS88" s="123">
        <f t="shared" si="23"/>
        <v>0</v>
      </c>
      <c r="BT88" s="123">
        <f t="shared" si="23"/>
        <v>0</v>
      </c>
      <c r="BU88" s="123">
        <f t="shared" si="23"/>
        <v>0</v>
      </c>
      <c r="BV88" s="123">
        <f t="shared" si="23"/>
        <v>0</v>
      </c>
      <c r="BW88" s="123">
        <f t="shared" si="23"/>
        <v>0</v>
      </c>
      <c r="BX88" s="123">
        <f t="shared" si="23"/>
        <v>0</v>
      </c>
      <c r="BY88" s="123">
        <f t="shared" si="23"/>
        <v>0</v>
      </c>
      <c r="BZ88" s="123">
        <f t="shared" si="23"/>
        <v>0</v>
      </c>
      <c r="CA88" s="123">
        <f t="shared" si="23"/>
        <v>0</v>
      </c>
      <c r="CB88" s="123">
        <f t="shared" si="23"/>
        <v>0</v>
      </c>
      <c r="CC88" s="123">
        <f t="shared" si="23"/>
        <v>0</v>
      </c>
      <c r="CD88" s="123">
        <f t="shared" si="23"/>
        <v>0</v>
      </c>
      <c r="CE88" s="123">
        <f t="shared" si="23"/>
        <v>0</v>
      </c>
      <c r="CF88" s="123">
        <f t="shared" si="23"/>
        <v>0</v>
      </c>
      <c r="CG88" s="123">
        <f t="shared" si="23"/>
        <v>0</v>
      </c>
      <c r="CH88" s="123">
        <f t="shared" si="23"/>
        <v>0</v>
      </c>
      <c r="CI88" s="123">
        <f t="shared" si="23"/>
        <v>0</v>
      </c>
      <c r="CJ88" s="123">
        <f t="shared" si="23"/>
        <v>0</v>
      </c>
      <c r="CK88" s="123">
        <f t="shared" si="23"/>
        <v>0</v>
      </c>
      <c r="CL88" s="123">
        <f t="shared" si="23"/>
        <v>0</v>
      </c>
      <c r="CM88" s="123">
        <f t="shared" si="23"/>
        <v>0</v>
      </c>
      <c r="CN88" s="123">
        <f t="shared" si="23"/>
        <v>0</v>
      </c>
      <c r="CO88" s="123">
        <f t="shared" si="23"/>
        <v>0</v>
      </c>
      <c r="CP88" s="123">
        <f t="shared" si="23"/>
        <v>0</v>
      </c>
      <c r="CQ88" s="123">
        <f t="shared" si="23"/>
        <v>0</v>
      </c>
      <c r="CR88" s="123">
        <f t="shared" si="23"/>
        <v>0</v>
      </c>
      <c r="CS88" s="123">
        <f t="shared" si="23"/>
        <v>0</v>
      </c>
      <c r="CT88" s="123">
        <f t="shared" si="23"/>
        <v>0</v>
      </c>
      <c r="CU88" s="123">
        <f t="shared" si="23"/>
        <v>0</v>
      </c>
      <c r="CV88" s="123">
        <f t="shared" si="23"/>
        <v>0</v>
      </c>
      <c r="CW88" s="123">
        <f t="shared" si="23"/>
        <v>0</v>
      </c>
      <c r="CX88" s="186">
        <f t="shared" si="23"/>
        <v>0</v>
      </c>
    </row>
    <row r="89" spans="1:102" ht="20.100000000000001" customHeight="1">
      <c r="A89" s="184">
        <f t="shared" ref="A89:A95" si="24">SUM(C89:CX89)</f>
        <v>10545497.08946899</v>
      </c>
      <c r="B89" s="185" t="str">
        <f t="shared" si="20"/>
        <v>Buffer Storage (upstream)</v>
      </c>
      <c r="C89" s="123">
        <f t="shared" ref="C89:AH89" si="25">$C53*D53</f>
        <v>10545497.08946899</v>
      </c>
      <c r="D89" s="123">
        <f t="shared" si="25"/>
        <v>0</v>
      </c>
      <c r="E89" s="123">
        <f t="shared" si="25"/>
        <v>0</v>
      </c>
      <c r="F89" s="123">
        <f t="shared" si="25"/>
        <v>0</v>
      </c>
      <c r="G89" s="123">
        <f t="shared" si="25"/>
        <v>0</v>
      </c>
      <c r="H89" s="123">
        <f t="shared" si="25"/>
        <v>0</v>
      </c>
      <c r="I89" s="123">
        <f t="shared" si="25"/>
        <v>0</v>
      </c>
      <c r="J89" s="123">
        <f t="shared" si="25"/>
        <v>0</v>
      </c>
      <c r="K89" s="123">
        <f t="shared" si="25"/>
        <v>0</v>
      </c>
      <c r="L89" s="123">
        <f t="shared" si="25"/>
        <v>0</v>
      </c>
      <c r="M89" s="123">
        <f t="shared" si="25"/>
        <v>0</v>
      </c>
      <c r="N89" s="123">
        <f t="shared" si="25"/>
        <v>0</v>
      </c>
      <c r="O89" s="123">
        <f t="shared" si="25"/>
        <v>0</v>
      </c>
      <c r="P89" s="123">
        <f t="shared" si="25"/>
        <v>0</v>
      </c>
      <c r="Q89" s="123">
        <f t="shared" si="25"/>
        <v>0</v>
      </c>
      <c r="R89" s="123">
        <f t="shared" si="25"/>
        <v>0</v>
      </c>
      <c r="S89" s="123">
        <f t="shared" si="25"/>
        <v>0</v>
      </c>
      <c r="T89" s="123">
        <f t="shared" si="25"/>
        <v>0</v>
      </c>
      <c r="U89" s="123">
        <f t="shared" si="25"/>
        <v>0</v>
      </c>
      <c r="V89" s="123">
        <f t="shared" si="25"/>
        <v>0</v>
      </c>
      <c r="W89" s="123">
        <f t="shared" si="25"/>
        <v>0</v>
      </c>
      <c r="X89" s="123">
        <f t="shared" si="25"/>
        <v>0</v>
      </c>
      <c r="Y89" s="123">
        <f t="shared" si="25"/>
        <v>0</v>
      </c>
      <c r="Z89" s="123">
        <f t="shared" si="25"/>
        <v>0</v>
      </c>
      <c r="AA89" s="123">
        <f t="shared" si="25"/>
        <v>0</v>
      </c>
      <c r="AB89" s="123">
        <f t="shared" si="25"/>
        <v>0</v>
      </c>
      <c r="AC89" s="123">
        <f t="shared" si="25"/>
        <v>0</v>
      </c>
      <c r="AD89" s="123">
        <f t="shared" si="25"/>
        <v>0</v>
      </c>
      <c r="AE89" s="123">
        <f t="shared" si="25"/>
        <v>0</v>
      </c>
      <c r="AF89" s="123">
        <f t="shared" si="25"/>
        <v>0</v>
      </c>
      <c r="AG89" s="123">
        <f t="shared" si="25"/>
        <v>0</v>
      </c>
      <c r="AH89" s="123">
        <f t="shared" si="25"/>
        <v>0</v>
      </c>
      <c r="AI89" s="123">
        <f t="shared" ref="AI89:BN89" si="26">$C53*AJ53</f>
        <v>0</v>
      </c>
      <c r="AJ89" s="123">
        <f t="shared" si="26"/>
        <v>0</v>
      </c>
      <c r="AK89" s="123">
        <f t="shared" si="26"/>
        <v>0</v>
      </c>
      <c r="AL89" s="123">
        <f t="shared" si="26"/>
        <v>0</v>
      </c>
      <c r="AM89" s="123">
        <f t="shared" si="26"/>
        <v>0</v>
      </c>
      <c r="AN89" s="123">
        <f t="shared" si="26"/>
        <v>0</v>
      </c>
      <c r="AO89" s="123">
        <f t="shared" si="26"/>
        <v>0</v>
      </c>
      <c r="AP89" s="123">
        <f t="shared" si="26"/>
        <v>0</v>
      </c>
      <c r="AQ89" s="123">
        <f t="shared" si="26"/>
        <v>0</v>
      </c>
      <c r="AR89" s="123">
        <f t="shared" si="26"/>
        <v>0</v>
      </c>
      <c r="AS89" s="123">
        <f t="shared" si="26"/>
        <v>0</v>
      </c>
      <c r="AT89" s="123">
        <f t="shared" si="26"/>
        <v>0</v>
      </c>
      <c r="AU89" s="123">
        <f t="shared" si="26"/>
        <v>0</v>
      </c>
      <c r="AV89" s="123">
        <f t="shared" si="26"/>
        <v>0</v>
      </c>
      <c r="AW89" s="123">
        <f t="shared" si="26"/>
        <v>0</v>
      </c>
      <c r="AX89" s="123">
        <f t="shared" si="26"/>
        <v>0</v>
      </c>
      <c r="AY89" s="123">
        <f t="shared" si="26"/>
        <v>0</v>
      </c>
      <c r="AZ89" s="123">
        <f t="shared" si="26"/>
        <v>0</v>
      </c>
      <c r="BA89" s="123">
        <f t="shared" si="26"/>
        <v>0</v>
      </c>
      <c r="BB89" s="123">
        <f t="shared" si="26"/>
        <v>0</v>
      </c>
      <c r="BC89" s="123">
        <f t="shared" si="26"/>
        <v>0</v>
      </c>
      <c r="BD89" s="123">
        <f t="shared" si="26"/>
        <v>0</v>
      </c>
      <c r="BE89" s="123">
        <f t="shared" si="26"/>
        <v>0</v>
      </c>
      <c r="BF89" s="123">
        <f t="shared" si="26"/>
        <v>0</v>
      </c>
      <c r="BG89" s="123">
        <f t="shared" si="26"/>
        <v>0</v>
      </c>
      <c r="BH89" s="123">
        <f t="shared" si="26"/>
        <v>0</v>
      </c>
      <c r="BI89" s="123">
        <f t="shared" si="26"/>
        <v>0</v>
      </c>
      <c r="BJ89" s="123">
        <f t="shared" si="26"/>
        <v>0</v>
      </c>
      <c r="BK89" s="123">
        <f t="shared" si="26"/>
        <v>0</v>
      </c>
      <c r="BL89" s="123">
        <f t="shared" si="26"/>
        <v>0</v>
      </c>
      <c r="BM89" s="123">
        <f t="shared" si="26"/>
        <v>0</v>
      </c>
      <c r="BN89" s="123">
        <f t="shared" si="26"/>
        <v>0</v>
      </c>
      <c r="BO89" s="123">
        <f t="shared" ref="BO89:CX89" si="27">$C53*BP53</f>
        <v>0</v>
      </c>
      <c r="BP89" s="123">
        <f t="shared" si="27"/>
        <v>0</v>
      </c>
      <c r="BQ89" s="123">
        <f t="shared" si="27"/>
        <v>0</v>
      </c>
      <c r="BR89" s="123">
        <f t="shared" si="27"/>
        <v>0</v>
      </c>
      <c r="BS89" s="123">
        <f t="shared" si="27"/>
        <v>0</v>
      </c>
      <c r="BT89" s="123">
        <f t="shared" si="27"/>
        <v>0</v>
      </c>
      <c r="BU89" s="123">
        <f t="shared" si="27"/>
        <v>0</v>
      </c>
      <c r="BV89" s="123">
        <f t="shared" si="27"/>
        <v>0</v>
      </c>
      <c r="BW89" s="123">
        <f t="shared" si="27"/>
        <v>0</v>
      </c>
      <c r="BX89" s="123">
        <f t="shared" si="27"/>
        <v>0</v>
      </c>
      <c r="BY89" s="123">
        <f t="shared" si="27"/>
        <v>0</v>
      </c>
      <c r="BZ89" s="123">
        <f t="shared" si="27"/>
        <v>0</v>
      </c>
      <c r="CA89" s="123">
        <f t="shared" si="27"/>
        <v>0</v>
      </c>
      <c r="CB89" s="123">
        <f t="shared" si="27"/>
        <v>0</v>
      </c>
      <c r="CC89" s="123">
        <f t="shared" si="27"/>
        <v>0</v>
      </c>
      <c r="CD89" s="123">
        <f t="shared" si="27"/>
        <v>0</v>
      </c>
      <c r="CE89" s="123">
        <f t="shared" si="27"/>
        <v>0</v>
      </c>
      <c r="CF89" s="123">
        <f t="shared" si="27"/>
        <v>0</v>
      </c>
      <c r="CG89" s="123">
        <f t="shared" si="27"/>
        <v>0</v>
      </c>
      <c r="CH89" s="123">
        <f t="shared" si="27"/>
        <v>0</v>
      </c>
      <c r="CI89" s="123">
        <f t="shared" si="27"/>
        <v>0</v>
      </c>
      <c r="CJ89" s="123">
        <f t="shared" si="27"/>
        <v>0</v>
      </c>
      <c r="CK89" s="123">
        <f t="shared" si="27"/>
        <v>0</v>
      </c>
      <c r="CL89" s="123">
        <f t="shared" si="27"/>
        <v>0</v>
      </c>
      <c r="CM89" s="123">
        <f t="shared" si="27"/>
        <v>0</v>
      </c>
      <c r="CN89" s="123">
        <f t="shared" si="27"/>
        <v>0</v>
      </c>
      <c r="CO89" s="123">
        <f t="shared" si="27"/>
        <v>0</v>
      </c>
      <c r="CP89" s="123">
        <f t="shared" si="27"/>
        <v>0</v>
      </c>
      <c r="CQ89" s="123">
        <f t="shared" si="27"/>
        <v>0</v>
      </c>
      <c r="CR89" s="123">
        <f t="shared" si="27"/>
        <v>0</v>
      </c>
      <c r="CS89" s="123">
        <f t="shared" si="27"/>
        <v>0</v>
      </c>
      <c r="CT89" s="123">
        <f t="shared" si="27"/>
        <v>0</v>
      </c>
      <c r="CU89" s="123">
        <f t="shared" si="27"/>
        <v>0</v>
      </c>
      <c r="CV89" s="123">
        <f t="shared" si="27"/>
        <v>0</v>
      </c>
      <c r="CW89" s="123">
        <f t="shared" si="27"/>
        <v>0</v>
      </c>
      <c r="CX89" s="186">
        <f t="shared" si="27"/>
        <v>0</v>
      </c>
    </row>
    <row r="90" spans="1:102" ht="20.100000000000001" customHeight="1">
      <c r="A90" s="184">
        <f t="shared" si="24"/>
        <v>42602170.110499993</v>
      </c>
      <c r="B90" s="185" t="str">
        <f t="shared" si="20"/>
        <v>Trucks</v>
      </c>
      <c r="C90" s="123">
        <f t="shared" ref="C90:AH90" si="28">$C54*D54</f>
        <v>42602170.110499993</v>
      </c>
      <c r="D90" s="123">
        <f t="shared" si="28"/>
        <v>0</v>
      </c>
      <c r="E90" s="123">
        <f t="shared" si="28"/>
        <v>0</v>
      </c>
      <c r="F90" s="123">
        <f t="shared" si="28"/>
        <v>0</v>
      </c>
      <c r="G90" s="123">
        <f t="shared" si="28"/>
        <v>0</v>
      </c>
      <c r="H90" s="123">
        <f t="shared" si="28"/>
        <v>0</v>
      </c>
      <c r="I90" s="123">
        <f t="shared" si="28"/>
        <v>0</v>
      </c>
      <c r="J90" s="123">
        <f t="shared" si="28"/>
        <v>0</v>
      </c>
      <c r="K90" s="123">
        <f t="shared" si="28"/>
        <v>0</v>
      </c>
      <c r="L90" s="123">
        <f t="shared" si="28"/>
        <v>0</v>
      </c>
      <c r="M90" s="123">
        <f t="shared" si="28"/>
        <v>0</v>
      </c>
      <c r="N90" s="123">
        <f t="shared" si="28"/>
        <v>0</v>
      </c>
      <c r="O90" s="123">
        <f t="shared" si="28"/>
        <v>0</v>
      </c>
      <c r="P90" s="123">
        <f t="shared" si="28"/>
        <v>0</v>
      </c>
      <c r="Q90" s="123">
        <f t="shared" si="28"/>
        <v>0</v>
      </c>
      <c r="R90" s="123">
        <f t="shared" si="28"/>
        <v>0</v>
      </c>
      <c r="S90" s="123">
        <f t="shared" si="28"/>
        <v>0</v>
      </c>
      <c r="T90" s="123">
        <f t="shared" si="28"/>
        <v>0</v>
      </c>
      <c r="U90" s="123">
        <f t="shared" si="28"/>
        <v>0</v>
      </c>
      <c r="V90" s="123">
        <f t="shared" si="28"/>
        <v>0</v>
      </c>
      <c r="W90" s="123">
        <f t="shared" si="28"/>
        <v>0</v>
      </c>
      <c r="X90" s="123">
        <f t="shared" si="28"/>
        <v>0</v>
      </c>
      <c r="Y90" s="123">
        <f t="shared" si="28"/>
        <v>0</v>
      </c>
      <c r="Z90" s="123">
        <f t="shared" si="28"/>
        <v>0</v>
      </c>
      <c r="AA90" s="123">
        <f t="shared" si="28"/>
        <v>0</v>
      </c>
      <c r="AB90" s="123">
        <f t="shared" si="28"/>
        <v>0</v>
      </c>
      <c r="AC90" s="123">
        <f t="shared" si="28"/>
        <v>0</v>
      </c>
      <c r="AD90" s="123">
        <f t="shared" si="28"/>
        <v>0</v>
      </c>
      <c r="AE90" s="123">
        <f t="shared" si="28"/>
        <v>0</v>
      </c>
      <c r="AF90" s="123">
        <f t="shared" si="28"/>
        <v>0</v>
      </c>
      <c r="AG90" s="123">
        <f t="shared" si="28"/>
        <v>0</v>
      </c>
      <c r="AH90" s="123">
        <f t="shared" si="28"/>
        <v>0</v>
      </c>
      <c r="AI90" s="123">
        <f t="shared" ref="AI90:BN90" si="29">$C54*AJ54</f>
        <v>0</v>
      </c>
      <c r="AJ90" s="123">
        <f t="shared" si="29"/>
        <v>0</v>
      </c>
      <c r="AK90" s="123">
        <f t="shared" si="29"/>
        <v>0</v>
      </c>
      <c r="AL90" s="123">
        <f t="shared" si="29"/>
        <v>0</v>
      </c>
      <c r="AM90" s="123">
        <f t="shared" si="29"/>
        <v>0</v>
      </c>
      <c r="AN90" s="123">
        <f t="shared" si="29"/>
        <v>0</v>
      </c>
      <c r="AO90" s="123">
        <f t="shared" si="29"/>
        <v>0</v>
      </c>
      <c r="AP90" s="123">
        <f t="shared" si="29"/>
        <v>0</v>
      </c>
      <c r="AQ90" s="123">
        <f t="shared" si="29"/>
        <v>0</v>
      </c>
      <c r="AR90" s="123">
        <f t="shared" si="29"/>
        <v>0</v>
      </c>
      <c r="AS90" s="123">
        <f t="shared" si="29"/>
        <v>0</v>
      </c>
      <c r="AT90" s="123">
        <f t="shared" si="29"/>
        <v>0</v>
      </c>
      <c r="AU90" s="123">
        <f t="shared" si="29"/>
        <v>0</v>
      </c>
      <c r="AV90" s="123">
        <f t="shared" si="29"/>
        <v>0</v>
      </c>
      <c r="AW90" s="123">
        <f t="shared" si="29"/>
        <v>0</v>
      </c>
      <c r="AX90" s="123">
        <f t="shared" si="29"/>
        <v>0</v>
      </c>
      <c r="AY90" s="123">
        <f t="shared" si="29"/>
        <v>0</v>
      </c>
      <c r="AZ90" s="123">
        <f t="shared" si="29"/>
        <v>0</v>
      </c>
      <c r="BA90" s="123">
        <f t="shared" si="29"/>
        <v>0</v>
      </c>
      <c r="BB90" s="123">
        <f t="shared" si="29"/>
        <v>0</v>
      </c>
      <c r="BC90" s="123">
        <f t="shared" si="29"/>
        <v>0</v>
      </c>
      <c r="BD90" s="123">
        <f t="shared" si="29"/>
        <v>0</v>
      </c>
      <c r="BE90" s="123">
        <f t="shared" si="29"/>
        <v>0</v>
      </c>
      <c r="BF90" s="123">
        <f t="shared" si="29"/>
        <v>0</v>
      </c>
      <c r="BG90" s="123">
        <f t="shared" si="29"/>
        <v>0</v>
      </c>
      <c r="BH90" s="123">
        <f t="shared" si="29"/>
        <v>0</v>
      </c>
      <c r="BI90" s="123">
        <f t="shared" si="29"/>
        <v>0</v>
      </c>
      <c r="BJ90" s="123">
        <f t="shared" si="29"/>
        <v>0</v>
      </c>
      <c r="BK90" s="123">
        <f t="shared" si="29"/>
        <v>0</v>
      </c>
      <c r="BL90" s="123">
        <f t="shared" si="29"/>
        <v>0</v>
      </c>
      <c r="BM90" s="123">
        <f t="shared" si="29"/>
        <v>0</v>
      </c>
      <c r="BN90" s="123">
        <f t="shared" si="29"/>
        <v>0</v>
      </c>
      <c r="BO90" s="123">
        <f t="shared" ref="BO90:CX90" si="30">$C54*BP54</f>
        <v>0</v>
      </c>
      <c r="BP90" s="123">
        <f t="shared" si="30"/>
        <v>0</v>
      </c>
      <c r="BQ90" s="123">
        <f t="shared" si="30"/>
        <v>0</v>
      </c>
      <c r="BR90" s="123">
        <f t="shared" si="30"/>
        <v>0</v>
      </c>
      <c r="BS90" s="123">
        <f t="shared" si="30"/>
        <v>0</v>
      </c>
      <c r="BT90" s="123">
        <f t="shared" si="30"/>
        <v>0</v>
      </c>
      <c r="BU90" s="123">
        <f t="shared" si="30"/>
        <v>0</v>
      </c>
      <c r="BV90" s="123">
        <f t="shared" si="30"/>
        <v>0</v>
      </c>
      <c r="BW90" s="123">
        <f t="shared" si="30"/>
        <v>0</v>
      </c>
      <c r="BX90" s="123">
        <f t="shared" si="30"/>
        <v>0</v>
      </c>
      <c r="BY90" s="123">
        <f t="shared" si="30"/>
        <v>0</v>
      </c>
      <c r="BZ90" s="123">
        <f t="shared" si="30"/>
        <v>0</v>
      </c>
      <c r="CA90" s="123">
        <f t="shared" si="30"/>
        <v>0</v>
      </c>
      <c r="CB90" s="123">
        <f t="shared" si="30"/>
        <v>0</v>
      </c>
      <c r="CC90" s="123">
        <f t="shared" si="30"/>
        <v>0</v>
      </c>
      <c r="CD90" s="123">
        <f t="shared" si="30"/>
        <v>0</v>
      </c>
      <c r="CE90" s="123">
        <f t="shared" si="30"/>
        <v>0</v>
      </c>
      <c r="CF90" s="123">
        <f t="shared" si="30"/>
        <v>0</v>
      </c>
      <c r="CG90" s="123">
        <f t="shared" si="30"/>
        <v>0</v>
      </c>
      <c r="CH90" s="123">
        <f t="shared" si="30"/>
        <v>0</v>
      </c>
      <c r="CI90" s="123">
        <f t="shared" si="30"/>
        <v>0</v>
      </c>
      <c r="CJ90" s="123">
        <f t="shared" si="30"/>
        <v>0</v>
      </c>
      <c r="CK90" s="123">
        <f t="shared" si="30"/>
        <v>0</v>
      </c>
      <c r="CL90" s="123">
        <f t="shared" si="30"/>
        <v>0</v>
      </c>
      <c r="CM90" s="123">
        <f t="shared" si="30"/>
        <v>0</v>
      </c>
      <c r="CN90" s="123">
        <f t="shared" si="30"/>
        <v>0</v>
      </c>
      <c r="CO90" s="123">
        <f t="shared" si="30"/>
        <v>0</v>
      </c>
      <c r="CP90" s="123">
        <f t="shared" si="30"/>
        <v>0</v>
      </c>
      <c r="CQ90" s="123">
        <f t="shared" si="30"/>
        <v>0</v>
      </c>
      <c r="CR90" s="123">
        <f t="shared" si="30"/>
        <v>0</v>
      </c>
      <c r="CS90" s="123">
        <f t="shared" si="30"/>
        <v>0</v>
      </c>
      <c r="CT90" s="123">
        <f t="shared" si="30"/>
        <v>0</v>
      </c>
      <c r="CU90" s="123">
        <f t="shared" si="30"/>
        <v>0</v>
      </c>
      <c r="CV90" s="123">
        <f t="shared" si="30"/>
        <v>0</v>
      </c>
      <c r="CW90" s="123">
        <f t="shared" si="30"/>
        <v>0</v>
      </c>
      <c r="CX90" s="186">
        <f t="shared" si="30"/>
        <v>0</v>
      </c>
    </row>
    <row r="91" spans="1:102" ht="20.100000000000001" customHeight="1">
      <c r="A91" s="184">
        <f t="shared" si="24"/>
        <v>0</v>
      </c>
      <c r="B91" s="185" t="str">
        <f t="shared" si="20"/>
        <v>Flatbed Trailers</v>
      </c>
      <c r="C91" s="123">
        <f t="shared" ref="C91:AH91" si="31">$C55*D55</f>
        <v>0</v>
      </c>
      <c r="D91" s="123">
        <f t="shared" si="31"/>
        <v>0</v>
      </c>
      <c r="E91" s="123">
        <f t="shared" si="31"/>
        <v>0</v>
      </c>
      <c r="F91" s="123">
        <f t="shared" si="31"/>
        <v>0</v>
      </c>
      <c r="G91" s="123">
        <f t="shared" si="31"/>
        <v>0</v>
      </c>
      <c r="H91" s="123">
        <f t="shared" si="31"/>
        <v>0</v>
      </c>
      <c r="I91" s="123">
        <f t="shared" si="31"/>
        <v>0</v>
      </c>
      <c r="J91" s="123">
        <f t="shared" si="31"/>
        <v>0</v>
      </c>
      <c r="K91" s="123">
        <f t="shared" si="31"/>
        <v>0</v>
      </c>
      <c r="L91" s="123">
        <f t="shared" si="31"/>
        <v>0</v>
      </c>
      <c r="M91" s="123">
        <f t="shared" si="31"/>
        <v>0</v>
      </c>
      <c r="N91" s="123">
        <f t="shared" si="31"/>
        <v>0</v>
      </c>
      <c r="O91" s="123">
        <f t="shared" si="31"/>
        <v>0</v>
      </c>
      <c r="P91" s="123">
        <f t="shared" si="31"/>
        <v>0</v>
      </c>
      <c r="Q91" s="123">
        <f t="shared" si="31"/>
        <v>0</v>
      </c>
      <c r="R91" s="123">
        <f t="shared" si="31"/>
        <v>0</v>
      </c>
      <c r="S91" s="123">
        <f t="shared" si="31"/>
        <v>0</v>
      </c>
      <c r="T91" s="123">
        <f t="shared" si="31"/>
        <v>0</v>
      </c>
      <c r="U91" s="123">
        <f t="shared" si="31"/>
        <v>0</v>
      </c>
      <c r="V91" s="123">
        <f t="shared" si="31"/>
        <v>0</v>
      </c>
      <c r="W91" s="123">
        <f t="shared" si="31"/>
        <v>0</v>
      </c>
      <c r="X91" s="123">
        <f t="shared" si="31"/>
        <v>0</v>
      </c>
      <c r="Y91" s="123">
        <f t="shared" si="31"/>
        <v>0</v>
      </c>
      <c r="Z91" s="123">
        <f t="shared" si="31"/>
        <v>0</v>
      </c>
      <c r="AA91" s="123">
        <f t="shared" si="31"/>
        <v>0</v>
      </c>
      <c r="AB91" s="123">
        <f t="shared" si="31"/>
        <v>0</v>
      </c>
      <c r="AC91" s="123">
        <f t="shared" si="31"/>
        <v>0</v>
      </c>
      <c r="AD91" s="123">
        <f t="shared" si="31"/>
        <v>0</v>
      </c>
      <c r="AE91" s="123">
        <f t="shared" si="31"/>
        <v>0</v>
      </c>
      <c r="AF91" s="123">
        <f t="shared" si="31"/>
        <v>0</v>
      </c>
      <c r="AG91" s="123">
        <f t="shared" si="31"/>
        <v>0</v>
      </c>
      <c r="AH91" s="123">
        <f t="shared" si="31"/>
        <v>0</v>
      </c>
      <c r="AI91" s="123">
        <f t="shared" ref="AI91:BN91" si="32">$C55*AJ55</f>
        <v>0</v>
      </c>
      <c r="AJ91" s="123">
        <f t="shared" si="32"/>
        <v>0</v>
      </c>
      <c r="AK91" s="123">
        <f t="shared" si="32"/>
        <v>0</v>
      </c>
      <c r="AL91" s="123">
        <f t="shared" si="32"/>
        <v>0</v>
      </c>
      <c r="AM91" s="123">
        <f t="shared" si="32"/>
        <v>0</v>
      </c>
      <c r="AN91" s="123">
        <f t="shared" si="32"/>
        <v>0</v>
      </c>
      <c r="AO91" s="123">
        <f t="shared" si="32"/>
        <v>0</v>
      </c>
      <c r="AP91" s="123">
        <f t="shared" si="32"/>
        <v>0</v>
      </c>
      <c r="AQ91" s="123">
        <f t="shared" si="32"/>
        <v>0</v>
      </c>
      <c r="AR91" s="123">
        <f t="shared" si="32"/>
        <v>0</v>
      </c>
      <c r="AS91" s="123">
        <f t="shared" si="32"/>
        <v>0</v>
      </c>
      <c r="AT91" s="123">
        <f t="shared" si="32"/>
        <v>0</v>
      </c>
      <c r="AU91" s="123">
        <f t="shared" si="32"/>
        <v>0</v>
      </c>
      <c r="AV91" s="123">
        <f t="shared" si="32"/>
        <v>0</v>
      </c>
      <c r="AW91" s="123">
        <f t="shared" si="32"/>
        <v>0</v>
      </c>
      <c r="AX91" s="123">
        <f t="shared" si="32"/>
        <v>0</v>
      </c>
      <c r="AY91" s="123">
        <f t="shared" si="32"/>
        <v>0</v>
      </c>
      <c r="AZ91" s="123">
        <f t="shared" si="32"/>
        <v>0</v>
      </c>
      <c r="BA91" s="123">
        <f t="shared" si="32"/>
        <v>0</v>
      </c>
      <c r="BB91" s="123">
        <f t="shared" si="32"/>
        <v>0</v>
      </c>
      <c r="BC91" s="123">
        <f t="shared" si="32"/>
        <v>0</v>
      </c>
      <c r="BD91" s="123">
        <f t="shared" si="32"/>
        <v>0</v>
      </c>
      <c r="BE91" s="123">
        <f t="shared" si="32"/>
        <v>0</v>
      </c>
      <c r="BF91" s="123">
        <f t="shared" si="32"/>
        <v>0</v>
      </c>
      <c r="BG91" s="123">
        <f t="shared" si="32"/>
        <v>0</v>
      </c>
      <c r="BH91" s="123">
        <f t="shared" si="32"/>
        <v>0</v>
      </c>
      <c r="BI91" s="123">
        <f t="shared" si="32"/>
        <v>0</v>
      </c>
      <c r="BJ91" s="123">
        <f t="shared" si="32"/>
        <v>0</v>
      </c>
      <c r="BK91" s="123">
        <f t="shared" si="32"/>
        <v>0</v>
      </c>
      <c r="BL91" s="123">
        <f t="shared" si="32"/>
        <v>0</v>
      </c>
      <c r="BM91" s="123">
        <f t="shared" si="32"/>
        <v>0</v>
      </c>
      <c r="BN91" s="123">
        <f t="shared" si="32"/>
        <v>0</v>
      </c>
      <c r="BO91" s="123">
        <f t="shared" ref="BO91:CX91" si="33">$C55*BP55</f>
        <v>0</v>
      </c>
      <c r="BP91" s="123">
        <f t="shared" si="33"/>
        <v>0</v>
      </c>
      <c r="BQ91" s="123">
        <f t="shared" si="33"/>
        <v>0</v>
      </c>
      <c r="BR91" s="123">
        <f t="shared" si="33"/>
        <v>0</v>
      </c>
      <c r="BS91" s="123">
        <f t="shared" si="33"/>
        <v>0</v>
      </c>
      <c r="BT91" s="123">
        <f t="shared" si="33"/>
        <v>0</v>
      </c>
      <c r="BU91" s="123">
        <f t="shared" si="33"/>
        <v>0</v>
      </c>
      <c r="BV91" s="123">
        <f t="shared" si="33"/>
        <v>0</v>
      </c>
      <c r="BW91" s="123">
        <f t="shared" si="33"/>
        <v>0</v>
      </c>
      <c r="BX91" s="123">
        <f t="shared" si="33"/>
        <v>0</v>
      </c>
      <c r="BY91" s="123">
        <f t="shared" si="33"/>
        <v>0</v>
      </c>
      <c r="BZ91" s="123">
        <f t="shared" si="33"/>
        <v>0</v>
      </c>
      <c r="CA91" s="123">
        <f t="shared" si="33"/>
        <v>0</v>
      </c>
      <c r="CB91" s="123">
        <f t="shared" si="33"/>
        <v>0</v>
      </c>
      <c r="CC91" s="123">
        <f t="shared" si="33"/>
        <v>0</v>
      </c>
      <c r="CD91" s="123">
        <f t="shared" si="33"/>
        <v>0</v>
      </c>
      <c r="CE91" s="123">
        <f t="shared" si="33"/>
        <v>0</v>
      </c>
      <c r="CF91" s="123">
        <f t="shared" si="33"/>
        <v>0</v>
      </c>
      <c r="CG91" s="123">
        <f t="shared" si="33"/>
        <v>0</v>
      </c>
      <c r="CH91" s="123">
        <f t="shared" si="33"/>
        <v>0</v>
      </c>
      <c r="CI91" s="123">
        <f t="shared" si="33"/>
        <v>0</v>
      </c>
      <c r="CJ91" s="123">
        <f t="shared" si="33"/>
        <v>0</v>
      </c>
      <c r="CK91" s="123">
        <f t="shared" si="33"/>
        <v>0</v>
      </c>
      <c r="CL91" s="123">
        <f t="shared" si="33"/>
        <v>0</v>
      </c>
      <c r="CM91" s="123">
        <f t="shared" si="33"/>
        <v>0</v>
      </c>
      <c r="CN91" s="123">
        <f t="shared" si="33"/>
        <v>0</v>
      </c>
      <c r="CO91" s="123">
        <f t="shared" si="33"/>
        <v>0</v>
      </c>
      <c r="CP91" s="123">
        <f t="shared" si="33"/>
        <v>0</v>
      </c>
      <c r="CQ91" s="123">
        <f t="shared" si="33"/>
        <v>0</v>
      </c>
      <c r="CR91" s="123">
        <f t="shared" si="33"/>
        <v>0</v>
      </c>
      <c r="CS91" s="123">
        <f t="shared" si="33"/>
        <v>0</v>
      </c>
      <c r="CT91" s="123">
        <f t="shared" si="33"/>
        <v>0</v>
      </c>
      <c r="CU91" s="123">
        <f t="shared" si="33"/>
        <v>0</v>
      </c>
      <c r="CV91" s="123">
        <f t="shared" si="33"/>
        <v>0</v>
      </c>
      <c r="CW91" s="123">
        <f t="shared" si="33"/>
        <v>0</v>
      </c>
      <c r="CX91" s="186">
        <f t="shared" si="33"/>
        <v>0</v>
      </c>
    </row>
    <row r="92" spans="1:102" ht="20.100000000000001" customHeight="1">
      <c r="A92" s="184">
        <f t="shared" si="24"/>
        <v>8114738.6033999994</v>
      </c>
      <c r="B92" s="185" t="str">
        <f t="shared" si="20"/>
        <v>LCO2 Containers</v>
      </c>
      <c r="C92" s="123">
        <f t="shared" ref="C92:AH92" si="34">$C56*D56</f>
        <v>8114738.6033999994</v>
      </c>
      <c r="D92" s="123">
        <f t="shared" si="34"/>
        <v>0</v>
      </c>
      <c r="E92" s="123">
        <f t="shared" si="34"/>
        <v>0</v>
      </c>
      <c r="F92" s="123">
        <f t="shared" si="34"/>
        <v>0</v>
      </c>
      <c r="G92" s="123">
        <f t="shared" si="34"/>
        <v>0</v>
      </c>
      <c r="H92" s="123">
        <f t="shared" si="34"/>
        <v>0</v>
      </c>
      <c r="I92" s="123">
        <f t="shared" si="34"/>
        <v>0</v>
      </c>
      <c r="J92" s="123">
        <f t="shared" si="34"/>
        <v>0</v>
      </c>
      <c r="K92" s="123">
        <f t="shared" si="34"/>
        <v>0</v>
      </c>
      <c r="L92" s="123">
        <f t="shared" si="34"/>
        <v>0</v>
      </c>
      <c r="M92" s="123">
        <f t="shared" si="34"/>
        <v>0</v>
      </c>
      <c r="N92" s="123">
        <f t="shared" si="34"/>
        <v>0</v>
      </c>
      <c r="O92" s="123">
        <f t="shared" si="34"/>
        <v>0</v>
      </c>
      <c r="P92" s="123">
        <f t="shared" si="34"/>
        <v>0</v>
      </c>
      <c r="Q92" s="123">
        <f t="shared" si="34"/>
        <v>0</v>
      </c>
      <c r="R92" s="123">
        <f t="shared" si="34"/>
        <v>0</v>
      </c>
      <c r="S92" s="123">
        <f t="shared" si="34"/>
        <v>0</v>
      </c>
      <c r="T92" s="123">
        <f t="shared" si="34"/>
        <v>0</v>
      </c>
      <c r="U92" s="123">
        <f t="shared" si="34"/>
        <v>0</v>
      </c>
      <c r="V92" s="123">
        <f t="shared" si="34"/>
        <v>0</v>
      </c>
      <c r="W92" s="123">
        <f t="shared" si="34"/>
        <v>0</v>
      </c>
      <c r="X92" s="123">
        <f t="shared" si="34"/>
        <v>0</v>
      </c>
      <c r="Y92" s="123">
        <f t="shared" si="34"/>
        <v>0</v>
      </c>
      <c r="Z92" s="123">
        <f t="shared" si="34"/>
        <v>0</v>
      </c>
      <c r="AA92" s="123">
        <f t="shared" si="34"/>
        <v>0</v>
      </c>
      <c r="AB92" s="123">
        <f t="shared" si="34"/>
        <v>0</v>
      </c>
      <c r="AC92" s="123">
        <f t="shared" si="34"/>
        <v>0</v>
      </c>
      <c r="AD92" s="123">
        <f t="shared" si="34"/>
        <v>0</v>
      </c>
      <c r="AE92" s="123">
        <f t="shared" si="34"/>
        <v>0</v>
      </c>
      <c r="AF92" s="123">
        <f t="shared" si="34"/>
        <v>0</v>
      </c>
      <c r="AG92" s="123">
        <f t="shared" si="34"/>
        <v>0</v>
      </c>
      <c r="AH92" s="123">
        <f t="shared" si="34"/>
        <v>0</v>
      </c>
      <c r="AI92" s="123">
        <f t="shared" ref="AI92:BN92" si="35">$C56*AJ56</f>
        <v>0</v>
      </c>
      <c r="AJ92" s="123">
        <f t="shared" si="35"/>
        <v>0</v>
      </c>
      <c r="AK92" s="123">
        <f t="shared" si="35"/>
        <v>0</v>
      </c>
      <c r="AL92" s="123">
        <f t="shared" si="35"/>
        <v>0</v>
      </c>
      <c r="AM92" s="123">
        <f t="shared" si="35"/>
        <v>0</v>
      </c>
      <c r="AN92" s="123">
        <f t="shared" si="35"/>
        <v>0</v>
      </c>
      <c r="AO92" s="123">
        <f t="shared" si="35"/>
        <v>0</v>
      </c>
      <c r="AP92" s="123">
        <f t="shared" si="35"/>
        <v>0</v>
      </c>
      <c r="AQ92" s="123">
        <f t="shared" si="35"/>
        <v>0</v>
      </c>
      <c r="AR92" s="123">
        <f t="shared" si="35"/>
        <v>0</v>
      </c>
      <c r="AS92" s="123">
        <f t="shared" si="35"/>
        <v>0</v>
      </c>
      <c r="AT92" s="123">
        <f t="shared" si="35"/>
        <v>0</v>
      </c>
      <c r="AU92" s="123">
        <f t="shared" si="35"/>
        <v>0</v>
      </c>
      <c r="AV92" s="123">
        <f t="shared" si="35"/>
        <v>0</v>
      </c>
      <c r="AW92" s="123">
        <f t="shared" si="35"/>
        <v>0</v>
      </c>
      <c r="AX92" s="123">
        <f t="shared" si="35"/>
        <v>0</v>
      </c>
      <c r="AY92" s="123">
        <f t="shared" si="35"/>
        <v>0</v>
      </c>
      <c r="AZ92" s="123">
        <f t="shared" si="35"/>
        <v>0</v>
      </c>
      <c r="BA92" s="123">
        <f t="shared" si="35"/>
        <v>0</v>
      </c>
      <c r="BB92" s="123">
        <f t="shared" si="35"/>
        <v>0</v>
      </c>
      <c r="BC92" s="123">
        <f t="shared" si="35"/>
        <v>0</v>
      </c>
      <c r="BD92" s="123">
        <f t="shared" si="35"/>
        <v>0</v>
      </c>
      <c r="BE92" s="123">
        <f t="shared" si="35"/>
        <v>0</v>
      </c>
      <c r="BF92" s="123">
        <f t="shared" si="35"/>
        <v>0</v>
      </c>
      <c r="BG92" s="123">
        <f t="shared" si="35"/>
        <v>0</v>
      </c>
      <c r="BH92" s="123">
        <f t="shared" si="35"/>
        <v>0</v>
      </c>
      <c r="BI92" s="123">
        <f t="shared" si="35"/>
        <v>0</v>
      </c>
      <c r="BJ92" s="123">
        <f t="shared" si="35"/>
        <v>0</v>
      </c>
      <c r="BK92" s="123">
        <f t="shared" si="35"/>
        <v>0</v>
      </c>
      <c r="BL92" s="123">
        <f t="shared" si="35"/>
        <v>0</v>
      </c>
      <c r="BM92" s="123">
        <f t="shared" si="35"/>
        <v>0</v>
      </c>
      <c r="BN92" s="123">
        <f t="shared" si="35"/>
        <v>0</v>
      </c>
      <c r="BO92" s="123">
        <f t="shared" ref="BO92:CX92" si="36">$C56*BP56</f>
        <v>0</v>
      </c>
      <c r="BP92" s="123">
        <f t="shared" si="36"/>
        <v>0</v>
      </c>
      <c r="BQ92" s="123">
        <f t="shared" si="36"/>
        <v>0</v>
      </c>
      <c r="BR92" s="123">
        <f t="shared" si="36"/>
        <v>0</v>
      </c>
      <c r="BS92" s="123">
        <f t="shared" si="36"/>
        <v>0</v>
      </c>
      <c r="BT92" s="123">
        <f t="shared" si="36"/>
        <v>0</v>
      </c>
      <c r="BU92" s="123">
        <f t="shared" si="36"/>
        <v>0</v>
      </c>
      <c r="BV92" s="123">
        <f t="shared" si="36"/>
        <v>0</v>
      </c>
      <c r="BW92" s="123">
        <f t="shared" si="36"/>
        <v>0</v>
      </c>
      <c r="BX92" s="123">
        <f t="shared" si="36"/>
        <v>0</v>
      </c>
      <c r="BY92" s="123">
        <f t="shared" si="36"/>
        <v>0</v>
      </c>
      <c r="BZ92" s="123">
        <f t="shared" si="36"/>
        <v>0</v>
      </c>
      <c r="CA92" s="123">
        <f t="shared" si="36"/>
        <v>0</v>
      </c>
      <c r="CB92" s="123">
        <f t="shared" si="36"/>
        <v>0</v>
      </c>
      <c r="CC92" s="123">
        <f t="shared" si="36"/>
        <v>0</v>
      </c>
      <c r="CD92" s="123">
        <f t="shared" si="36"/>
        <v>0</v>
      </c>
      <c r="CE92" s="123">
        <f t="shared" si="36"/>
        <v>0</v>
      </c>
      <c r="CF92" s="123">
        <f t="shared" si="36"/>
        <v>0</v>
      </c>
      <c r="CG92" s="123">
        <f t="shared" si="36"/>
        <v>0</v>
      </c>
      <c r="CH92" s="123">
        <f t="shared" si="36"/>
        <v>0</v>
      </c>
      <c r="CI92" s="123">
        <f t="shared" si="36"/>
        <v>0</v>
      </c>
      <c r="CJ92" s="123">
        <f t="shared" si="36"/>
        <v>0</v>
      </c>
      <c r="CK92" s="123">
        <f t="shared" si="36"/>
        <v>0</v>
      </c>
      <c r="CL92" s="123">
        <f t="shared" si="36"/>
        <v>0</v>
      </c>
      <c r="CM92" s="123">
        <f t="shared" si="36"/>
        <v>0</v>
      </c>
      <c r="CN92" s="123">
        <f t="shared" si="36"/>
        <v>0</v>
      </c>
      <c r="CO92" s="123">
        <f t="shared" si="36"/>
        <v>0</v>
      </c>
      <c r="CP92" s="123">
        <f t="shared" si="36"/>
        <v>0</v>
      </c>
      <c r="CQ92" s="123">
        <f t="shared" si="36"/>
        <v>0</v>
      </c>
      <c r="CR92" s="123">
        <f t="shared" si="36"/>
        <v>0</v>
      </c>
      <c r="CS92" s="123">
        <f t="shared" si="36"/>
        <v>0</v>
      </c>
      <c r="CT92" s="123">
        <f t="shared" si="36"/>
        <v>0</v>
      </c>
      <c r="CU92" s="123">
        <f t="shared" si="36"/>
        <v>0</v>
      </c>
      <c r="CV92" s="123">
        <f t="shared" si="36"/>
        <v>0</v>
      </c>
      <c r="CW92" s="123">
        <f t="shared" si="36"/>
        <v>0</v>
      </c>
      <c r="CX92" s="186">
        <f t="shared" si="36"/>
        <v>0</v>
      </c>
    </row>
    <row r="93" spans="1:102" ht="20.100000000000001" customHeight="1">
      <c r="A93" s="184">
        <f t="shared" si="24"/>
        <v>4037501.7249961253</v>
      </c>
      <c r="B93" s="185" t="str">
        <f t="shared" si="20"/>
        <v>Intermediate storage</v>
      </c>
      <c r="C93" s="123">
        <f t="shared" ref="C93:AH93" si="37">$C57*D57</f>
        <v>4037501.7249961253</v>
      </c>
      <c r="D93" s="123">
        <f t="shared" si="37"/>
        <v>0</v>
      </c>
      <c r="E93" s="123">
        <f t="shared" si="37"/>
        <v>0</v>
      </c>
      <c r="F93" s="123">
        <f t="shared" si="37"/>
        <v>0</v>
      </c>
      <c r="G93" s="123">
        <f t="shared" si="37"/>
        <v>0</v>
      </c>
      <c r="H93" s="123">
        <f t="shared" si="37"/>
        <v>0</v>
      </c>
      <c r="I93" s="123">
        <f t="shared" si="37"/>
        <v>0</v>
      </c>
      <c r="J93" s="123">
        <f t="shared" si="37"/>
        <v>0</v>
      </c>
      <c r="K93" s="123">
        <f t="shared" si="37"/>
        <v>0</v>
      </c>
      <c r="L93" s="123">
        <f t="shared" si="37"/>
        <v>0</v>
      </c>
      <c r="M93" s="123">
        <f t="shared" si="37"/>
        <v>0</v>
      </c>
      <c r="N93" s="123">
        <f t="shared" si="37"/>
        <v>0</v>
      </c>
      <c r="O93" s="123">
        <f t="shared" si="37"/>
        <v>0</v>
      </c>
      <c r="P93" s="123">
        <f t="shared" si="37"/>
        <v>0</v>
      </c>
      <c r="Q93" s="123">
        <f t="shared" si="37"/>
        <v>0</v>
      </c>
      <c r="R93" s="123">
        <f t="shared" si="37"/>
        <v>0</v>
      </c>
      <c r="S93" s="123">
        <f t="shared" si="37"/>
        <v>0</v>
      </c>
      <c r="T93" s="123">
        <f t="shared" si="37"/>
        <v>0</v>
      </c>
      <c r="U93" s="123">
        <f t="shared" si="37"/>
        <v>0</v>
      </c>
      <c r="V93" s="123">
        <f t="shared" si="37"/>
        <v>0</v>
      </c>
      <c r="W93" s="123">
        <f t="shared" si="37"/>
        <v>0</v>
      </c>
      <c r="X93" s="123">
        <f t="shared" si="37"/>
        <v>0</v>
      </c>
      <c r="Y93" s="123">
        <f t="shared" si="37"/>
        <v>0</v>
      </c>
      <c r="Z93" s="123">
        <f t="shared" si="37"/>
        <v>0</v>
      </c>
      <c r="AA93" s="123">
        <f t="shared" si="37"/>
        <v>0</v>
      </c>
      <c r="AB93" s="123">
        <f t="shared" si="37"/>
        <v>0</v>
      </c>
      <c r="AC93" s="123">
        <f t="shared" si="37"/>
        <v>0</v>
      </c>
      <c r="AD93" s="123">
        <f t="shared" si="37"/>
        <v>0</v>
      </c>
      <c r="AE93" s="123">
        <f t="shared" si="37"/>
        <v>0</v>
      </c>
      <c r="AF93" s="123">
        <f t="shared" si="37"/>
        <v>0</v>
      </c>
      <c r="AG93" s="123">
        <f t="shared" si="37"/>
        <v>0</v>
      </c>
      <c r="AH93" s="123">
        <f t="shared" si="37"/>
        <v>0</v>
      </c>
      <c r="AI93" s="123">
        <f t="shared" ref="AI93:BN93" si="38">$C57*AJ57</f>
        <v>0</v>
      </c>
      <c r="AJ93" s="123">
        <f t="shared" si="38"/>
        <v>0</v>
      </c>
      <c r="AK93" s="123">
        <f t="shared" si="38"/>
        <v>0</v>
      </c>
      <c r="AL93" s="123">
        <f t="shared" si="38"/>
        <v>0</v>
      </c>
      <c r="AM93" s="123">
        <f t="shared" si="38"/>
        <v>0</v>
      </c>
      <c r="AN93" s="123">
        <f t="shared" si="38"/>
        <v>0</v>
      </c>
      <c r="AO93" s="123">
        <f t="shared" si="38"/>
        <v>0</v>
      </c>
      <c r="AP93" s="123">
        <f t="shared" si="38"/>
        <v>0</v>
      </c>
      <c r="AQ93" s="123">
        <f t="shared" si="38"/>
        <v>0</v>
      </c>
      <c r="AR93" s="123">
        <f t="shared" si="38"/>
        <v>0</v>
      </c>
      <c r="AS93" s="123">
        <f t="shared" si="38"/>
        <v>0</v>
      </c>
      <c r="AT93" s="123">
        <f t="shared" si="38"/>
        <v>0</v>
      </c>
      <c r="AU93" s="123">
        <f t="shared" si="38"/>
        <v>0</v>
      </c>
      <c r="AV93" s="123">
        <f t="shared" si="38"/>
        <v>0</v>
      </c>
      <c r="AW93" s="123">
        <f t="shared" si="38"/>
        <v>0</v>
      </c>
      <c r="AX93" s="123">
        <f t="shared" si="38"/>
        <v>0</v>
      </c>
      <c r="AY93" s="123">
        <f t="shared" si="38"/>
        <v>0</v>
      </c>
      <c r="AZ93" s="123">
        <f t="shared" si="38"/>
        <v>0</v>
      </c>
      <c r="BA93" s="123">
        <f t="shared" si="38"/>
        <v>0</v>
      </c>
      <c r="BB93" s="123">
        <f t="shared" si="38"/>
        <v>0</v>
      </c>
      <c r="BC93" s="123">
        <f t="shared" si="38"/>
        <v>0</v>
      </c>
      <c r="BD93" s="123">
        <f t="shared" si="38"/>
        <v>0</v>
      </c>
      <c r="BE93" s="123">
        <f t="shared" si="38"/>
        <v>0</v>
      </c>
      <c r="BF93" s="123">
        <f t="shared" si="38"/>
        <v>0</v>
      </c>
      <c r="BG93" s="123">
        <f t="shared" si="38"/>
        <v>0</v>
      </c>
      <c r="BH93" s="123">
        <f t="shared" si="38"/>
        <v>0</v>
      </c>
      <c r="BI93" s="123">
        <f t="shared" si="38"/>
        <v>0</v>
      </c>
      <c r="BJ93" s="123">
        <f t="shared" si="38"/>
        <v>0</v>
      </c>
      <c r="BK93" s="123">
        <f t="shared" si="38"/>
        <v>0</v>
      </c>
      <c r="BL93" s="123">
        <f t="shared" si="38"/>
        <v>0</v>
      </c>
      <c r="BM93" s="123">
        <f t="shared" si="38"/>
        <v>0</v>
      </c>
      <c r="BN93" s="123">
        <f t="shared" si="38"/>
        <v>0</v>
      </c>
      <c r="BO93" s="123">
        <f t="shared" ref="BO93:CX93" si="39">$C57*BP57</f>
        <v>0</v>
      </c>
      <c r="BP93" s="123">
        <f t="shared" si="39"/>
        <v>0</v>
      </c>
      <c r="BQ93" s="123">
        <f t="shared" si="39"/>
        <v>0</v>
      </c>
      <c r="BR93" s="123">
        <f t="shared" si="39"/>
        <v>0</v>
      </c>
      <c r="BS93" s="123">
        <f t="shared" si="39"/>
        <v>0</v>
      </c>
      <c r="BT93" s="123">
        <f t="shared" si="39"/>
        <v>0</v>
      </c>
      <c r="BU93" s="123">
        <f t="shared" si="39"/>
        <v>0</v>
      </c>
      <c r="BV93" s="123">
        <f t="shared" si="39"/>
        <v>0</v>
      </c>
      <c r="BW93" s="123">
        <f t="shared" si="39"/>
        <v>0</v>
      </c>
      <c r="BX93" s="123">
        <f t="shared" si="39"/>
        <v>0</v>
      </c>
      <c r="BY93" s="123">
        <f t="shared" si="39"/>
        <v>0</v>
      </c>
      <c r="BZ93" s="123">
        <f t="shared" si="39"/>
        <v>0</v>
      </c>
      <c r="CA93" s="123">
        <f t="shared" si="39"/>
        <v>0</v>
      </c>
      <c r="CB93" s="123">
        <f t="shared" si="39"/>
        <v>0</v>
      </c>
      <c r="CC93" s="123">
        <f t="shared" si="39"/>
        <v>0</v>
      </c>
      <c r="CD93" s="123">
        <f t="shared" si="39"/>
        <v>0</v>
      </c>
      <c r="CE93" s="123">
        <f t="shared" si="39"/>
        <v>0</v>
      </c>
      <c r="CF93" s="123">
        <f t="shared" si="39"/>
        <v>0</v>
      </c>
      <c r="CG93" s="123">
        <f t="shared" si="39"/>
        <v>0</v>
      </c>
      <c r="CH93" s="123">
        <f t="shared" si="39"/>
        <v>0</v>
      </c>
      <c r="CI93" s="123">
        <f t="shared" si="39"/>
        <v>0</v>
      </c>
      <c r="CJ93" s="123">
        <f t="shared" si="39"/>
        <v>0</v>
      </c>
      <c r="CK93" s="123">
        <f t="shared" si="39"/>
        <v>0</v>
      </c>
      <c r="CL93" s="123">
        <f t="shared" si="39"/>
        <v>0</v>
      </c>
      <c r="CM93" s="123">
        <f t="shared" si="39"/>
        <v>0</v>
      </c>
      <c r="CN93" s="123">
        <f t="shared" si="39"/>
        <v>0</v>
      </c>
      <c r="CO93" s="123">
        <f t="shared" si="39"/>
        <v>0</v>
      </c>
      <c r="CP93" s="123">
        <f t="shared" si="39"/>
        <v>0</v>
      </c>
      <c r="CQ93" s="123">
        <f t="shared" si="39"/>
        <v>0</v>
      </c>
      <c r="CR93" s="123">
        <f t="shared" si="39"/>
        <v>0</v>
      </c>
      <c r="CS93" s="123">
        <f t="shared" si="39"/>
        <v>0</v>
      </c>
      <c r="CT93" s="123">
        <f t="shared" si="39"/>
        <v>0</v>
      </c>
      <c r="CU93" s="123">
        <f t="shared" si="39"/>
        <v>0</v>
      </c>
      <c r="CV93" s="123">
        <f t="shared" si="39"/>
        <v>0</v>
      </c>
      <c r="CW93" s="123">
        <f t="shared" si="39"/>
        <v>0</v>
      </c>
      <c r="CX93" s="186">
        <f t="shared" si="39"/>
        <v>0</v>
      </c>
    </row>
    <row r="94" spans="1:102" ht="20.100000000000001" customHeight="1">
      <c r="A94" s="184">
        <f t="shared" si="24"/>
        <v>10041227.646046534</v>
      </c>
      <c r="B94" s="185" t="str">
        <f t="shared" si="20"/>
        <v>Buffer Storage (downstream)</v>
      </c>
      <c r="C94" s="123">
        <f t="shared" ref="C94:AH94" si="40">$C58*D58</f>
        <v>10041227.646046534</v>
      </c>
      <c r="D94" s="123">
        <f t="shared" si="40"/>
        <v>0</v>
      </c>
      <c r="E94" s="123">
        <f t="shared" si="40"/>
        <v>0</v>
      </c>
      <c r="F94" s="123">
        <f t="shared" si="40"/>
        <v>0</v>
      </c>
      <c r="G94" s="123">
        <f t="shared" si="40"/>
        <v>0</v>
      </c>
      <c r="H94" s="123">
        <f t="shared" si="40"/>
        <v>0</v>
      </c>
      <c r="I94" s="123">
        <f t="shared" si="40"/>
        <v>0</v>
      </c>
      <c r="J94" s="123">
        <f t="shared" si="40"/>
        <v>0</v>
      </c>
      <c r="K94" s="123">
        <f t="shared" si="40"/>
        <v>0</v>
      </c>
      <c r="L94" s="123">
        <f t="shared" si="40"/>
        <v>0</v>
      </c>
      <c r="M94" s="123">
        <f t="shared" si="40"/>
        <v>0</v>
      </c>
      <c r="N94" s="123">
        <f t="shared" si="40"/>
        <v>0</v>
      </c>
      <c r="O94" s="123">
        <f t="shared" si="40"/>
        <v>0</v>
      </c>
      <c r="P94" s="123">
        <f t="shared" si="40"/>
        <v>0</v>
      </c>
      <c r="Q94" s="123">
        <f t="shared" si="40"/>
        <v>0</v>
      </c>
      <c r="R94" s="123">
        <f t="shared" si="40"/>
        <v>0</v>
      </c>
      <c r="S94" s="123">
        <f t="shared" si="40"/>
        <v>0</v>
      </c>
      <c r="T94" s="123">
        <f t="shared" si="40"/>
        <v>0</v>
      </c>
      <c r="U94" s="123">
        <f t="shared" si="40"/>
        <v>0</v>
      </c>
      <c r="V94" s="123">
        <f t="shared" si="40"/>
        <v>0</v>
      </c>
      <c r="W94" s="123">
        <f t="shared" si="40"/>
        <v>0</v>
      </c>
      <c r="X94" s="123">
        <f t="shared" si="40"/>
        <v>0</v>
      </c>
      <c r="Y94" s="123">
        <f t="shared" si="40"/>
        <v>0</v>
      </c>
      <c r="Z94" s="123">
        <f t="shared" si="40"/>
        <v>0</v>
      </c>
      <c r="AA94" s="123">
        <f t="shared" si="40"/>
        <v>0</v>
      </c>
      <c r="AB94" s="123">
        <f t="shared" si="40"/>
        <v>0</v>
      </c>
      <c r="AC94" s="123">
        <f t="shared" si="40"/>
        <v>0</v>
      </c>
      <c r="AD94" s="123">
        <f t="shared" si="40"/>
        <v>0</v>
      </c>
      <c r="AE94" s="123">
        <f t="shared" si="40"/>
        <v>0</v>
      </c>
      <c r="AF94" s="123">
        <f t="shared" si="40"/>
        <v>0</v>
      </c>
      <c r="AG94" s="123">
        <f t="shared" si="40"/>
        <v>0</v>
      </c>
      <c r="AH94" s="123">
        <f t="shared" si="40"/>
        <v>0</v>
      </c>
      <c r="AI94" s="123">
        <f t="shared" ref="AI94:BN94" si="41">$C58*AJ58</f>
        <v>0</v>
      </c>
      <c r="AJ94" s="123">
        <f t="shared" si="41"/>
        <v>0</v>
      </c>
      <c r="AK94" s="123">
        <f t="shared" si="41"/>
        <v>0</v>
      </c>
      <c r="AL94" s="123">
        <f t="shared" si="41"/>
        <v>0</v>
      </c>
      <c r="AM94" s="123">
        <f t="shared" si="41"/>
        <v>0</v>
      </c>
      <c r="AN94" s="123">
        <f t="shared" si="41"/>
        <v>0</v>
      </c>
      <c r="AO94" s="123">
        <f t="shared" si="41"/>
        <v>0</v>
      </c>
      <c r="AP94" s="123">
        <f t="shared" si="41"/>
        <v>0</v>
      </c>
      <c r="AQ94" s="123">
        <f t="shared" si="41"/>
        <v>0</v>
      </c>
      <c r="AR94" s="123">
        <f t="shared" si="41"/>
        <v>0</v>
      </c>
      <c r="AS94" s="123">
        <f t="shared" si="41"/>
        <v>0</v>
      </c>
      <c r="AT94" s="123">
        <f t="shared" si="41"/>
        <v>0</v>
      </c>
      <c r="AU94" s="123">
        <f t="shared" si="41"/>
        <v>0</v>
      </c>
      <c r="AV94" s="123">
        <f t="shared" si="41"/>
        <v>0</v>
      </c>
      <c r="AW94" s="123">
        <f t="shared" si="41"/>
        <v>0</v>
      </c>
      <c r="AX94" s="123">
        <f t="shared" si="41"/>
        <v>0</v>
      </c>
      <c r="AY94" s="123">
        <f t="shared" si="41"/>
        <v>0</v>
      </c>
      <c r="AZ94" s="123">
        <f t="shared" si="41"/>
        <v>0</v>
      </c>
      <c r="BA94" s="123">
        <f t="shared" si="41"/>
        <v>0</v>
      </c>
      <c r="BB94" s="123">
        <f t="shared" si="41"/>
        <v>0</v>
      </c>
      <c r="BC94" s="123">
        <f t="shared" si="41"/>
        <v>0</v>
      </c>
      <c r="BD94" s="123">
        <f t="shared" si="41"/>
        <v>0</v>
      </c>
      <c r="BE94" s="123">
        <f t="shared" si="41"/>
        <v>0</v>
      </c>
      <c r="BF94" s="123">
        <f t="shared" si="41"/>
        <v>0</v>
      </c>
      <c r="BG94" s="123">
        <f t="shared" si="41"/>
        <v>0</v>
      </c>
      <c r="BH94" s="123">
        <f t="shared" si="41"/>
        <v>0</v>
      </c>
      <c r="BI94" s="123">
        <f t="shared" si="41"/>
        <v>0</v>
      </c>
      <c r="BJ94" s="123">
        <f t="shared" si="41"/>
        <v>0</v>
      </c>
      <c r="BK94" s="123">
        <f t="shared" si="41"/>
        <v>0</v>
      </c>
      <c r="BL94" s="123">
        <f t="shared" si="41"/>
        <v>0</v>
      </c>
      <c r="BM94" s="123">
        <f t="shared" si="41"/>
        <v>0</v>
      </c>
      <c r="BN94" s="123">
        <f t="shared" si="41"/>
        <v>0</v>
      </c>
      <c r="BO94" s="123">
        <f t="shared" ref="BO94:CX94" si="42">$C58*BP58</f>
        <v>0</v>
      </c>
      <c r="BP94" s="123">
        <f t="shared" si="42"/>
        <v>0</v>
      </c>
      <c r="BQ94" s="123">
        <f t="shared" si="42"/>
        <v>0</v>
      </c>
      <c r="BR94" s="123">
        <f t="shared" si="42"/>
        <v>0</v>
      </c>
      <c r="BS94" s="123">
        <f t="shared" si="42"/>
        <v>0</v>
      </c>
      <c r="BT94" s="123">
        <f t="shared" si="42"/>
        <v>0</v>
      </c>
      <c r="BU94" s="123">
        <f t="shared" si="42"/>
        <v>0</v>
      </c>
      <c r="BV94" s="123">
        <f t="shared" si="42"/>
        <v>0</v>
      </c>
      <c r="BW94" s="123">
        <f t="shared" si="42"/>
        <v>0</v>
      </c>
      <c r="BX94" s="123">
        <f t="shared" si="42"/>
        <v>0</v>
      </c>
      <c r="BY94" s="123">
        <f t="shared" si="42"/>
        <v>0</v>
      </c>
      <c r="BZ94" s="123">
        <f t="shared" si="42"/>
        <v>0</v>
      </c>
      <c r="CA94" s="123">
        <f t="shared" si="42"/>
        <v>0</v>
      </c>
      <c r="CB94" s="123">
        <f t="shared" si="42"/>
        <v>0</v>
      </c>
      <c r="CC94" s="123">
        <f t="shared" si="42"/>
        <v>0</v>
      </c>
      <c r="CD94" s="123">
        <f t="shared" si="42"/>
        <v>0</v>
      </c>
      <c r="CE94" s="123">
        <f t="shared" si="42"/>
        <v>0</v>
      </c>
      <c r="CF94" s="123">
        <f t="shared" si="42"/>
        <v>0</v>
      </c>
      <c r="CG94" s="123">
        <f t="shared" si="42"/>
        <v>0</v>
      </c>
      <c r="CH94" s="123">
        <f t="shared" si="42"/>
        <v>0</v>
      </c>
      <c r="CI94" s="123">
        <f t="shared" si="42"/>
        <v>0</v>
      </c>
      <c r="CJ94" s="123">
        <f t="shared" si="42"/>
        <v>0</v>
      </c>
      <c r="CK94" s="123">
        <f t="shared" si="42"/>
        <v>0</v>
      </c>
      <c r="CL94" s="123">
        <f t="shared" si="42"/>
        <v>0</v>
      </c>
      <c r="CM94" s="123">
        <f t="shared" si="42"/>
        <v>0</v>
      </c>
      <c r="CN94" s="123">
        <f t="shared" si="42"/>
        <v>0</v>
      </c>
      <c r="CO94" s="123">
        <f t="shared" si="42"/>
        <v>0</v>
      </c>
      <c r="CP94" s="123">
        <f t="shared" si="42"/>
        <v>0</v>
      </c>
      <c r="CQ94" s="123">
        <f t="shared" si="42"/>
        <v>0</v>
      </c>
      <c r="CR94" s="123">
        <f t="shared" si="42"/>
        <v>0</v>
      </c>
      <c r="CS94" s="123">
        <f t="shared" si="42"/>
        <v>0</v>
      </c>
      <c r="CT94" s="123">
        <f t="shared" si="42"/>
        <v>0</v>
      </c>
      <c r="CU94" s="123">
        <f t="shared" si="42"/>
        <v>0</v>
      </c>
      <c r="CV94" s="123">
        <f t="shared" si="42"/>
        <v>0</v>
      </c>
      <c r="CW94" s="123">
        <f t="shared" si="42"/>
        <v>0</v>
      </c>
      <c r="CX94" s="186">
        <f t="shared" si="42"/>
        <v>0</v>
      </c>
    </row>
    <row r="95" spans="1:102" ht="20.100000000000001" customHeight="1">
      <c r="A95" s="184">
        <f t="shared" si="24"/>
        <v>4659928.6785793267</v>
      </c>
      <c r="B95" s="185" t="str">
        <f t="shared" si="20"/>
        <v>Reconditioning equipment</v>
      </c>
      <c r="C95" s="123">
        <f t="shared" ref="C95:AH95" si="43">$C59*D59</f>
        <v>4659928.6785793267</v>
      </c>
      <c r="D95" s="123">
        <f t="shared" si="43"/>
        <v>0</v>
      </c>
      <c r="E95" s="123">
        <f t="shared" si="43"/>
        <v>0</v>
      </c>
      <c r="F95" s="123">
        <f t="shared" si="43"/>
        <v>0</v>
      </c>
      <c r="G95" s="123">
        <f t="shared" si="43"/>
        <v>0</v>
      </c>
      <c r="H95" s="123">
        <f t="shared" si="43"/>
        <v>0</v>
      </c>
      <c r="I95" s="123">
        <f t="shared" si="43"/>
        <v>0</v>
      </c>
      <c r="J95" s="123">
        <f t="shared" si="43"/>
        <v>0</v>
      </c>
      <c r="K95" s="123">
        <f t="shared" si="43"/>
        <v>0</v>
      </c>
      <c r="L95" s="123">
        <f t="shared" si="43"/>
        <v>0</v>
      </c>
      <c r="M95" s="123">
        <f t="shared" si="43"/>
        <v>0</v>
      </c>
      <c r="N95" s="123">
        <f t="shared" si="43"/>
        <v>0</v>
      </c>
      <c r="O95" s="123">
        <f t="shared" si="43"/>
        <v>0</v>
      </c>
      <c r="P95" s="123">
        <f t="shared" si="43"/>
        <v>0</v>
      </c>
      <c r="Q95" s="123">
        <f t="shared" si="43"/>
        <v>0</v>
      </c>
      <c r="R95" s="123">
        <f t="shared" si="43"/>
        <v>0</v>
      </c>
      <c r="S95" s="123">
        <f t="shared" si="43"/>
        <v>0</v>
      </c>
      <c r="T95" s="123">
        <f t="shared" si="43"/>
        <v>0</v>
      </c>
      <c r="U95" s="123">
        <f t="shared" si="43"/>
        <v>0</v>
      </c>
      <c r="V95" s="123">
        <f t="shared" si="43"/>
        <v>0</v>
      </c>
      <c r="W95" s="123">
        <f t="shared" si="43"/>
        <v>0</v>
      </c>
      <c r="X95" s="123">
        <f t="shared" si="43"/>
        <v>0</v>
      </c>
      <c r="Y95" s="123">
        <f t="shared" si="43"/>
        <v>0</v>
      </c>
      <c r="Z95" s="123">
        <f t="shared" si="43"/>
        <v>0</v>
      </c>
      <c r="AA95" s="123">
        <f t="shared" si="43"/>
        <v>0</v>
      </c>
      <c r="AB95" s="123">
        <f t="shared" si="43"/>
        <v>0</v>
      </c>
      <c r="AC95" s="123">
        <f t="shared" si="43"/>
        <v>0</v>
      </c>
      <c r="AD95" s="123">
        <f t="shared" si="43"/>
        <v>0</v>
      </c>
      <c r="AE95" s="123">
        <f t="shared" si="43"/>
        <v>0</v>
      </c>
      <c r="AF95" s="123">
        <f t="shared" si="43"/>
        <v>0</v>
      </c>
      <c r="AG95" s="123">
        <f t="shared" si="43"/>
        <v>0</v>
      </c>
      <c r="AH95" s="123">
        <f t="shared" si="43"/>
        <v>0</v>
      </c>
      <c r="AI95" s="123">
        <f t="shared" ref="AI95:BN95" si="44">$C59*AJ59</f>
        <v>0</v>
      </c>
      <c r="AJ95" s="123">
        <f t="shared" si="44"/>
        <v>0</v>
      </c>
      <c r="AK95" s="123">
        <f t="shared" si="44"/>
        <v>0</v>
      </c>
      <c r="AL95" s="123">
        <f t="shared" si="44"/>
        <v>0</v>
      </c>
      <c r="AM95" s="123">
        <f t="shared" si="44"/>
        <v>0</v>
      </c>
      <c r="AN95" s="123">
        <f t="shared" si="44"/>
        <v>0</v>
      </c>
      <c r="AO95" s="123">
        <f t="shared" si="44"/>
        <v>0</v>
      </c>
      <c r="AP95" s="123">
        <f t="shared" si="44"/>
        <v>0</v>
      </c>
      <c r="AQ95" s="123">
        <f t="shared" si="44"/>
        <v>0</v>
      </c>
      <c r="AR95" s="123">
        <f t="shared" si="44"/>
        <v>0</v>
      </c>
      <c r="AS95" s="123">
        <f t="shared" si="44"/>
        <v>0</v>
      </c>
      <c r="AT95" s="123">
        <f t="shared" si="44"/>
        <v>0</v>
      </c>
      <c r="AU95" s="123">
        <f t="shared" si="44"/>
        <v>0</v>
      </c>
      <c r="AV95" s="123">
        <f t="shared" si="44"/>
        <v>0</v>
      </c>
      <c r="AW95" s="123">
        <f t="shared" si="44"/>
        <v>0</v>
      </c>
      <c r="AX95" s="123">
        <f t="shared" si="44"/>
        <v>0</v>
      </c>
      <c r="AY95" s="123">
        <f t="shared" si="44"/>
        <v>0</v>
      </c>
      <c r="AZ95" s="123">
        <f t="shared" si="44"/>
        <v>0</v>
      </c>
      <c r="BA95" s="123">
        <f t="shared" si="44"/>
        <v>0</v>
      </c>
      <c r="BB95" s="123">
        <f t="shared" si="44"/>
        <v>0</v>
      </c>
      <c r="BC95" s="123">
        <f t="shared" si="44"/>
        <v>0</v>
      </c>
      <c r="BD95" s="123">
        <f t="shared" si="44"/>
        <v>0</v>
      </c>
      <c r="BE95" s="123">
        <f t="shared" si="44"/>
        <v>0</v>
      </c>
      <c r="BF95" s="123">
        <f t="shared" si="44"/>
        <v>0</v>
      </c>
      <c r="BG95" s="123">
        <f t="shared" si="44"/>
        <v>0</v>
      </c>
      <c r="BH95" s="123">
        <f t="shared" si="44"/>
        <v>0</v>
      </c>
      <c r="BI95" s="123">
        <f t="shared" si="44"/>
        <v>0</v>
      </c>
      <c r="BJ95" s="123">
        <f t="shared" si="44"/>
        <v>0</v>
      </c>
      <c r="BK95" s="123">
        <f t="shared" si="44"/>
        <v>0</v>
      </c>
      <c r="BL95" s="123">
        <f t="shared" si="44"/>
        <v>0</v>
      </c>
      <c r="BM95" s="123">
        <f t="shared" si="44"/>
        <v>0</v>
      </c>
      <c r="BN95" s="123">
        <f t="shared" si="44"/>
        <v>0</v>
      </c>
      <c r="BO95" s="123">
        <f t="shared" ref="BO95:CX95" si="45">$C59*BP59</f>
        <v>0</v>
      </c>
      <c r="BP95" s="123">
        <f t="shared" si="45"/>
        <v>0</v>
      </c>
      <c r="BQ95" s="123">
        <f t="shared" si="45"/>
        <v>0</v>
      </c>
      <c r="BR95" s="123">
        <f t="shared" si="45"/>
        <v>0</v>
      </c>
      <c r="BS95" s="123">
        <f t="shared" si="45"/>
        <v>0</v>
      </c>
      <c r="BT95" s="123">
        <f t="shared" si="45"/>
        <v>0</v>
      </c>
      <c r="BU95" s="123">
        <f t="shared" si="45"/>
        <v>0</v>
      </c>
      <c r="BV95" s="123">
        <f t="shared" si="45"/>
        <v>0</v>
      </c>
      <c r="BW95" s="123">
        <f t="shared" si="45"/>
        <v>0</v>
      </c>
      <c r="BX95" s="123">
        <f t="shared" si="45"/>
        <v>0</v>
      </c>
      <c r="BY95" s="123">
        <f t="shared" si="45"/>
        <v>0</v>
      </c>
      <c r="BZ95" s="123">
        <f t="shared" si="45"/>
        <v>0</v>
      </c>
      <c r="CA95" s="123">
        <f t="shared" si="45"/>
        <v>0</v>
      </c>
      <c r="CB95" s="123">
        <f t="shared" si="45"/>
        <v>0</v>
      </c>
      <c r="CC95" s="123">
        <f t="shared" si="45"/>
        <v>0</v>
      </c>
      <c r="CD95" s="123">
        <f t="shared" si="45"/>
        <v>0</v>
      </c>
      <c r="CE95" s="123">
        <f t="shared" si="45"/>
        <v>0</v>
      </c>
      <c r="CF95" s="123">
        <f t="shared" si="45"/>
        <v>0</v>
      </c>
      <c r="CG95" s="123">
        <f t="shared" si="45"/>
        <v>0</v>
      </c>
      <c r="CH95" s="123">
        <f t="shared" si="45"/>
        <v>0</v>
      </c>
      <c r="CI95" s="123">
        <f t="shared" si="45"/>
        <v>0</v>
      </c>
      <c r="CJ95" s="123">
        <f t="shared" si="45"/>
        <v>0</v>
      </c>
      <c r="CK95" s="123">
        <f t="shared" si="45"/>
        <v>0</v>
      </c>
      <c r="CL95" s="123">
        <f t="shared" si="45"/>
        <v>0</v>
      </c>
      <c r="CM95" s="123">
        <f t="shared" si="45"/>
        <v>0</v>
      </c>
      <c r="CN95" s="123">
        <f t="shared" si="45"/>
        <v>0</v>
      </c>
      <c r="CO95" s="123">
        <f t="shared" si="45"/>
        <v>0</v>
      </c>
      <c r="CP95" s="123">
        <f t="shared" si="45"/>
        <v>0</v>
      </c>
      <c r="CQ95" s="123">
        <f t="shared" si="45"/>
        <v>0</v>
      </c>
      <c r="CR95" s="123">
        <f t="shared" si="45"/>
        <v>0</v>
      </c>
      <c r="CS95" s="123">
        <f t="shared" si="45"/>
        <v>0</v>
      </c>
      <c r="CT95" s="123">
        <f t="shared" si="45"/>
        <v>0</v>
      </c>
      <c r="CU95" s="123">
        <f t="shared" si="45"/>
        <v>0</v>
      </c>
      <c r="CV95" s="123">
        <f t="shared" si="45"/>
        <v>0</v>
      </c>
      <c r="CW95" s="123">
        <f t="shared" si="45"/>
        <v>0</v>
      </c>
      <c r="CX95" s="186">
        <f t="shared" si="45"/>
        <v>0</v>
      </c>
    </row>
    <row r="96" spans="1:102" ht="20.100000000000001" customHeight="1">
      <c r="A96" s="184">
        <f>SUM(C96:CX96)</f>
        <v>10966509.218329804</v>
      </c>
      <c r="B96" s="187" t="s">
        <v>151</v>
      </c>
      <c r="C96" s="188">
        <f t="shared" ref="C96:AH96" si="46">SUM(C88:C95)*$C$30</f>
        <v>10966509.218329804</v>
      </c>
      <c r="D96" s="188">
        <f t="shared" si="46"/>
        <v>0</v>
      </c>
      <c r="E96" s="188">
        <f t="shared" si="46"/>
        <v>0</v>
      </c>
      <c r="F96" s="188">
        <f t="shared" si="46"/>
        <v>0</v>
      </c>
      <c r="G96" s="188">
        <f t="shared" si="46"/>
        <v>0</v>
      </c>
      <c r="H96" s="188">
        <f t="shared" si="46"/>
        <v>0</v>
      </c>
      <c r="I96" s="188">
        <f t="shared" si="46"/>
        <v>0</v>
      </c>
      <c r="J96" s="188">
        <f t="shared" si="46"/>
        <v>0</v>
      </c>
      <c r="K96" s="188">
        <f t="shared" si="46"/>
        <v>0</v>
      </c>
      <c r="L96" s="188">
        <f t="shared" si="46"/>
        <v>0</v>
      </c>
      <c r="M96" s="188">
        <f t="shared" si="46"/>
        <v>0</v>
      </c>
      <c r="N96" s="188">
        <f t="shared" si="46"/>
        <v>0</v>
      </c>
      <c r="O96" s="188">
        <f t="shared" si="46"/>
        <v>0</v>
      </c>
      <c r="P96" s="188">
        <f t="shared" si="46"/>
        <v>0</v>
      </c>
      <c r="Q96" s="188">
        <f t="shared" si="46"/>
        <v>0</v>
      </c>
      <c r="R96" s="188">
        <f t="shared" si="46"/>
        <v>0</v>
      </c>
      <c r="S96" s="188">
        <f t="shared" si="46"/>
        <v>0</v>
      </c>
      <c r="T96" s="188">
        <f t="shared" si="46"/>
        <v>0</v>
      </c>
      <c r="U96" s="188">
        <f t="shared" si="46"/>
        <v>0</v>
      </c>
      <c r="V96" s="188">
        <f t="shared" si="46"/>
        <v>0</v>
      </c>
      <c r="W96" s="188">
        <f t="shared" si="46"/>
        <v>0</v>
      </c>
      <c r="X96" s="188">
        <f t="shared" si="46"/>
        <v>0</v>
      </c>
      <c r="Y96" s="188">
        <f t="shared" si="46"/>
        <v>0</v>
      </c>
      <c r="Z96" s="188">
        <f t="shared" si="46"/>
        <v>0</v>
      </c>
      <c r="AA96" s="188">
        <f t="shared" si="46"/>
        <v>0</v>
      </c>
      <c r="AB96" s="188">
        <f t="shared" si="46"/>
        <v>0</v>
      </c>
      <c r="AC96" s="188">
        <f t="shared" si="46"/>
        <v>0</v>
      </c>
      <c r="AD96" s="188">
        <f t="shared" si="46"/>
        <v>0</v>
      </c>
      <c r="AE96" s="188">
        <f t="shared" si="46"/>
        <v>0</v>
      </c>
      <c r="AF96" s="188">
        <f t="shared" si="46"/>
        <v>0</v>
      </c>
      <c r="AG96" s="188">
        <f t="shared" si="46"/>
        <v>0</v>
      </c>
      <c r="AH96" s="188">
        <f t="shared" si="46"/>
        <v>0</v>
      </c>
      <c r="AI96" s="188">
        <f t="shared" ref="AI96:BN96" si="47">SUM(AI88:AI95)*$C$30</f>
        <v>0</v>
      </c>
      <c r="AJ96" s="188">
        <f t="shared" si="47"/>
        <v>0</v>
      </c>
      <c r="AK96" s="188">
        <f t="shared" si="47"/>
        <v>0</v>
      </c>
      <c r="AL96" s="188">
        <f t="shared" si="47"/>
        <v>0</v>
      </c>
      <c r="AM96" s="188">
        <f t="shared" si="47"/>
        <v>0</v>
      </c>
      <c r="AN96" s="188">
        <f t="shared" si="47"/>
        <v>0</v>
      </c>
      <c r="AO96" s="188">
        <f t="shared" si="47"/>
        <v>0</v>
      </c>
      <c r="AP96" s="188">
        <f t="shared" si="47"/>
        <v>0</v>
      </c>
      <c r="AQ96" s="188">
        <f t="shared" si="47"/>
        <v>0</v>
      </c>
      <c r="AR96" s="188">
        <f t="shared" si="47"/>
        <v>0</v>
      </c>
      <c r="AS96" s="188">
        <f t="shared" si="47"/>
        <v>0</v>
      </c>
      <c r="AT96" s="188">
        <f t="shared" si="47"/>
        <v>0</v>
      </c>
      <c r="AU96" s="188">
        <f t="shared" si="47"/>
        <v>0</v>
      </c>
      <c r="AV96" s="188">
        <f t="shared" si="47"/>
        <v>0</v>
      </c>
      <c r="AW96" s="188">
        <f t="shared" si="47"/>
        <v>0</v>
      </c>
      <c r="AX96" s="188">
        <f t="shared" si="47"/>
        <v>0</v>
      </c>
      <c r="AY96" s="188">
        <f t="shared" si="47"/>
        <v>0</v>
      </c>
      <c r="AZ96" s="188">
        <f t="shared" si="47"/>
        <v>0</v>
      </c>
      <c r="BA96" s="188">
        <f t="shared" si="47"/>
        <v>0</v>
      </c>
      <c r="BB96" s="188">
        <f t="shared" si="47"/>
        <v>0</v>
      </c>
      <c r="BC96" s="188">
        <f t="shared" si="47"/>
        <v>0</v>
      </c>
      <c r="BD96" s="188">
        <f t="shared" si="47"/>
        <v>0</v>
      </c>
      <c r="BE96" s="188">
        <f t="shared" si="47"/>
        <v>0</v>
      </c>
      <c r="BF96" s="188">
        <f t="shared" si="47"/>
        <v>0</v>
      </c>
      <c r="BG96" s="188">
        <f t="shared" si="47"/>
        <v>0</v>
      </c>
      <c r="BH96" s="188">
        <f t="shared" si="47"/>
        <v>0</v>
      </c>
      <c r="BI96" s="188">
        <f t="shared" si="47"/>
        <v>0</v>
      </c>
      <c r="BJ96" s="188">
        <f t="shared" si="47"/>
        <v>0</v>
      </c>
      <c r="BK96" s="188">
        <f t="shared" si="47"/>
        <v>0</v>
      </c>
      <c r="BL96" s="188">
        <f t="shared" si="47"/>
        <v>0</v>
      </c>
      <c r="BM96" s="188">
        <f t="shared" si="47"/>
        <v>0</v>
      </c>
      <c r="BN96" s="188">
        <f t="shared" si="47"/>
        <v>0</v>
      </c>
      <c r="BO96" s="188">
        <f t="shared" ref="BO96:CT96" si="48">SUM(BO88:BO95)*$C$30</f>
        <v>0</v>
      </c>
      <c r="BP96" s="188">
        <f t="shared" si="48"/>
        <v>0</v>
      </c>
      <c r="BQ96" s="188">
        <f t="shared" si="48"/>
        <v>0</v>
      </c>
      <c r="BR96" s="188">
        <f t="shared" si="48"/>
        <v>0</v>
      </c>
      <c r="BS96" s="188">
        <f t="shared" si="48"/>
        <v>0</v>
      </c>
      <c r="BT96" s="188">
        <f t="shared" si="48"/>
        <v>0</v>
      </c>
      <c r="BU96" s="188">
        <f t="shared" si="48"/>
        <v>0</v>
      </c>
      <c r="BV96" s="188">
        <f t="shared" si="48"/>
        <v>0</v>
      </c>
      <c r="BW96" s="188">
        <f t="shared" si="48"/>
        <v>0</v>
      </c>
      <c r="BX96" s="188">
        <f t="shared" si="48"/>
        <v>0</v>
      </c>
      <c r="BY96" s="188">
        <f t="shared" si="48"/>
        <v>0</v>
      </c>
      <c r="BZ96" s="188">
        <f t="shared" si="48"/>
        <v>0</v>
      </c>
      <c r="CA96" s="188">
        <f t="shared" si="48"/>
        <v>0</v>
      </c>
      <c r="CB96" s="188">
        <f t="shared" si="48"/>
        <v>0</v>
      </c>
      <c r="CC96" s="188">
        <f t="shared" si="48"/>
        <v>0</v>
      </c>
      <c r="CD96" s="188">
        <f t="shared" si="48"/>
        <v>0</v>
      </c>
      <c r="CE96" s="188">
        <f t="shared" si="48"/>
        <v>0</v>
      </c>
      <c r="CF96" s="188">
        <f t="shared" si="48"/>
        <v>0</v>
      </c>
      <c r="CG96" s="188">
        <f t="shared" si="48"/>
        <v>0</v>
      </c>
      <c r="CH96" s="188">
        <f t="shared" si="48"/>
        <v>0</v>
      </c>
      <c r="CI96" s="188">
        <f t="shared" si="48"/>
        <v>0</v>
      </c>
      <c r="CJ96" s="188">
        <f t="shared" si="48"/>
        <v>0</v>
      </c>
      <c r="CK96" s="188">
        <f t="shared" si="48"/>
        <v>0</v>
      </c>
      <c r="CL96" s="188">
        <f t="shared" si="48"/>
        <v>0</v>
      </c>
      <c r="CM96" s="188">
        <f t="shared" si="48"/>
        <v>0</v>
      </c>
      <c r="CN96" s="188">
        <f t="shared" si="48"/>
        <v>0</v>
      </c>
      <c r="CO96" s="188">
        <f t="shared" si="48"/>
        <v>0</v>
      </c>
      <c r="CP96" s="188">
        <f t="shared" si="48"/>
        <v>0</v>
      </c>
      <c r="CQ96" s="188">
        <f t="shared" si="48"/>
        <v>0</v>
      </c>
      <c r="CR96" s="188">
        <f t="shared" si="48"/>
        <v>0</v>
      </c>
      <c r="CS96" s="188">
        <f t="shared" si="48"/>
        <v>0</v>
      </c>
      <c r="CT96" s="188">
        <f t="shared" si="48"/>
        <v>0</v>
      </c>
      <c r="CU96" s="188">
        <f t="shared" ref="CU96:CX96" si="49">SUM(CU88:CU95)*$C$30</f>
        <v>0</v>
      </c>
      <c r="CV96" s="188">
        <f t="shared" si="49"/>
        <v>0</v>
      </c>
      <c r="CW96" s="188">
        <f t="shared" si="49"/>
        <v>0</v>
      </c>
      <c r="CX96" s="189">
        <f t="shared" si="49"/>
        <v>0</v>
      </c>
    </row>
    <row r="97" spans="1:102" ht="20.100000000000001" customHeight="1">
      <c r="A97" s="184"/>
      <c r="B97" s="127"/>
      <c r="C97" s="123"/>
      <c r="D97" s="123"/>
      <c r="E97" s="123"/>
      <c r="F97" s="123"/>
      <c r="G97" s="123"/>
      <c r="H97" s="123"/>
      <c r="I97" s="123"/>
      <c r="J97" s="123"/>
      <c r="K97" s="123"/>
      <c r="L97" s="123"/>
      <c r="M97" s="123"/>
      <c r="N97" s="123"/>
      <c r="O97" s="123"/>
      <c r="P97" s="123"/>
      <c r="Q97" s="123"/>
      <c r="R97" s="123"/>
      <c r="S97" s="123"/>
      <c r="T97" s="123"/>
      <c r="U97" s="123"/>
      <c r="V97" s="123"/>
      <c r="W97" s="123"/>
      <c r="X97" s="123"/>
      <c r="Y97" s="123"/>
      <c r="Z97" s="123"/>
      <c r="AA97" s="123"/>
      <c r="AB97" s="123"/>
      <c r="AC97" s="123"/>
      <c r="AD97" s="123"/>
      <c r="AE97" s="123"/>
      <c r="AF97" s="123"/>
      <c r="AG97" s="123"/>
      <c r="AH97" s="123"/>
      <c r="AI97" s="123"/>
      <c r="AJ97" s="123"/>
      <c r="AK97" s="123"/>
      <c r="AL97" s="123"/>
      <c r="AM97" s="123"/>
      <c r="AN97" s="123"/>
      <c r="AO97" s="123"/>
      <c r="AP97" s="123"/>
      <c r="AQ97" s="123"/>
      <c r="AR97" s="123"/>
      <c r="AS97" s="123"/>
      <c r="AT97" s="123"/>
      <c r="AU97" s="123"/>
      <c r="AV97" s="123"/>
      <c r="AW97" s="123"/>
      <c r="AX97" s="123"/>
      <c r="AY97" s="123"/>
      <c r="AZ97" s="123"/>
      <c r="BA97" s="123"/>
      <c r="BB97" s="123"/>
      <c r="BC97" s="123"/>
      <c r="BD97" s="123"/>
      <c r="BE97" s="123"/>
      <c r="BF97" s="123"/>
      <c r="BG97" s="123"/>
      <c r="BH97" s="123"/>
      <c r="BI97" s="123"/>
      <c r="BJ97" s="123"/>
      <c r="BK97" s="123"/>
      <c r="BL97" s="123"/>
      <c r="BM97" s="123"/>
      <c r="BN97" s="123"/>
      <c r="BO97" s="123"/>
      <c r="BP97" s="123"/>
      <c r="BQ97" s="123"/>
      <c r="BR97" s="123"/>
      <c r="BS97" s="123"/>
      <c r="BT97" s="123"/>
      <c r="BU97" s="123"/>
      <c r="BV97" s="123"/>
      <c r="BW97" s="123"/>
      <c r="BX97" s="123"/>
      <c r="BY97" s="123"/>
      <c r="BZ97" s="123"/>
      <c r="CA97" s="123"/>
      <c r="CB97" s="123"/>
      <c r="CC97" s="123"/>
      <c r="CD97" s="123"/>
      <c r="CE97" s="123"/>
      <c r="CF97" s="123"/>
      <c r="CG97" s="123"/>
      <c r="CH97" s="123"/>
      <c r="CI97" s="123"/>
      <c r="CJ97" s="123"/>
      <c r="CK97" s="123"/>
      <c r="CL97" s="123"/>
      <c r="CM97" s="123"/>
      <c r="CN97" s="123"/>
      <c r="CO97" s="123"/>
      <c r="CP97" s="123"/>
      <c r="CQ97" s="123"/>
      <c r="CR97" s="123"/>
      <c r="CS97" s="123"/>
      <c r="CT97" s="123"/>
      <c r="CU97" s="123"/>
      <c r="CV97" s="123"/>
      <c r="CW97" s="123"/>
      <c r="CX97" s="123"/>
    </row>
    <row r="98" spans="1:102" ht="20.100000000000001" customHeight="1">
      <c r="A98" s="123"/>
      <c r="B98" s="180" t="str">
        <f>"Operating Expenses in Real "&amp;C37&amp;"$"</f>
        <v>Operating Expenses in Real 2024$</v>
      </c>
      <c r="C98" s="190"/>
      <c r="D98" s="190"/>
      <c r="E98" s="190"/>
      <c r="F98" s="190"/>
      <c r="G98" s="190"/>
      <c r="H98" s="190"/>
      <c r="I98" s="190"/>
      <c r="J98" s="190"/>
      <c r="K98" s="190"/>
      <c r="L98" s="190"/>
      <c r="M98" s="190"/>
      <c r="N98" s="190"/>
      <c r="O98" s="190"/>
      <c r="P98" s="190"/>
      <c r="Q98" s="190"/>
      <c r="R98" s="190"/>
      <c r="S98" s="190"/>
      <c r="T98" s="190"/>
      <c r="U98" s="190"/>
      <c r="V98" s="190"/>
      <c r="W98" s="190"/>
      <c r="X98" s="190"/>
      <c r="Y98" s="190"/>
      <c r="Z98" s="190"/>
      <c r="AA98" s="190"/>
      <c r="AB98" s="190"/>
      <c r="AC98" s="190"/>
      <c r="AD98" s="190"/>
      <c r="AE98" s="190"/>
      <c r="AF98" s="190"/>
      <c r="AG98" s="190"/>
      <c r="AH98" s="190"/>
      <c r="AI98" s="190"/>
      <c r="AJ98" s="190"/>
      <c r="AK98" s="190"/>
      <c r="AL98" s="190"/>
      <c r="AM98" s="190"/>
      <c r="AN98" s="190"/>
      <c r="AO98" s="190"/>
      <c r="AP98" s="190"/>
      <c r="AQ98" s="190"/>
      <c r="AR98" s="190"/>
      <c r="AS98" s="190"/>
      <c r="AT98" s="190"/>
      <c r="AU98" s="190"/>
      <c r="AV98" s="190"/>
      <c r="AW98" s="190"/>
      <c r="AX98" s="190"/>
      <c r="AY98" s="190"/>
      <c r="AZ98" s="190"/>
      <c r="BA98" s="190"/>
      <c r="BB98" s="190"/>
      <c r="BC98" s="190"/>
      <c r="BD98" s="190"/>
      <c r="BE98" s="190"/>
      <c r="BF98" s="190"/>
      <c r="BG98" s="190"/>
      <c r="BH98" s="190"/>
      <c r="BI98" s="190"/>
      <c r="BJ98" s="190"/>
      <c r="BK98" s="190"/>
      <c r="BL98" s="190"/>
      <c r="BM98" s="190"/>
      <c r="BN98" s="190"/>
      <c r="BO98" s="190"/>
      <c r="BP98" s="190"/>
      <c r="BQ98" s="190"/>
      <c r="BR98" s="190"/>
      <c r="BS98" s="190"/>
      <c r="BT98" s="190"/>
      <c r="BU98" s="190"/>
      <c r="BV98" s="190"/>
      <c r="BW98" s="190"/>
      <c r="BX98" s="190"/>
      <c r="BY98" s="190"/>
      <c r="BZ98" s="190"/>
      <c r="CA98" s="190"/>
      <c r="CB98" s="190"/>
      <c r="CC98" s="190"/>
      <c r="CD98" s="190"/>
      <c r="CE98" s="190"/>
      <c r="CF98" s="190"/>
      <c r="CG98" s="190"/>
      <c r="CH98" s="190"/>
      <c r="CI98" s="190"/>
      <c r="CJ98" s="190"/>
      <c r="CK98" s="190"/>
      <c r="CL98" s="190"/>
      <c r="CM98" s="190"/>
      <c r="CN98" s="190"/>
      <c r="CO98" s="190"/>
      <c r="CP98" s="190"/>
      <c r="CQ98" s="190"/>
      <c r="CR98" s="190"/>
      <c r="CS98" s="190"/>
      <c r="CT98" s="190"/>
      <c r="CU98" s="190"/>
      <c r="CV98" s="190"/>
      <c r="CW98" s="190"/>
      <c r="CX98" s="191"/>
    </row>
    <row r="99" spans="1:102" ht="20.100000000000001" customHeight="1">
      <c r="A99" s="184">
        <f t="shared" ref="A99:A109" si="50">SUM(C99:CX99)</f>
        <v>181997143.17589858</v>
      </c>
      <c r="B99" s="192" t="str">
        <f>B64</f>
        <v>Electricity</v>
      </c>
      <c r="C99" s="123">
        <f t="shared" ref="C99:AH99" si="51">IF(AND(C$84&gt;=$C$41,C$84&lt;=$C$42),$C64,0)</f>
        <v>0</v>
      </c>
      <c r="D99" s="123">
        <f t="shared" si="51"/>
        <v>6066571.439196622</v>
      </c>
      <c r="E99" s="123">
        <f t="shared" si="51"/>
        <v>6066571.439196622</v>
      </c>
      <c r="F99" s="123">
        <f t="shared" si="51"/>
        <v>6066571.439196622</v>
      </c>
      <c r="G99" s="123">
        <f t="shared" si="51"/>
        <v>6066571.439196622</v>
      </c>
      <c r="H99" s="123">
        <f t="shared" si="51"/>
        <v>6066571.439196622</v>
      </c>
      <c r="I99" s="123">
        <f t="shared" si="51"/>
        <v>6066571.439196622</v>
      </c>
      <c r="J99" s="123">
        <f t="shared" si="51"/>
        <v>6066571.439196622</v>
      </c>
      <c r="K99" s="123">
        <f t="shared" si="51"/>
        <v>6066571.439196622</v>
      </c>
      <c r="L99" s="123">
        <f t="shared" si="51"/>
        <v>6066571.439196622</v>
      </c>
      <c r="M99" s="123">
        <f t="shared" si="51"/>
        <v>6066571.439196622</v>
      </c>
      <c r="N99" s="123">
        <f t="shared" si="51"/>
        <v>6066571.439196622</v>
      </c>
      <c r="O99" s="123">
        <f t="shared" si="51"/>
        <v>6066571.439196622</v>
      </c>
      <c r="P99" s="123">
        <f t="shared" si="51"/>
        <v>6066571.439196622</v>
      </c>
      <c r="Q99" s="123">
        <f t="shared" si="51"/>
        <v>6066571.439196622</v>
      </c>
      <c r="R99" s="123">
        <f t="shared" si="51"/>
        <v>6066571.439196622</v>
      </c>
      <c r="S99" s="123">
        <f t="shared" si="51"/>
        <v>6066571.439196622</v>
      </c>
      <c r="T99" s="123">
        <f t="shared" si="51"/>
        <v>6066571.439196622</v>
      </c>
      <c r="U99" s="123">
        <f t="shared" si="51"/>
        <v>6066571.439196622</v>
      </c>
      <c r="V99" s="123">
        <f t="shared" si="51"/>
        <v>6066571.439196622</v>
      </c>
      <c r="W99" s="123">
        <f t="shared" si="51"/>
        <v>6066571.439196622</v>
      </c>
      <c r="X99" s="123">
        <f t="shared" si="51"/>
        <v>6066571.439196622</v>
      </c>
      <c r="Y99" s="123">
        <f t="shared" si="51"/>
        <v>6066571.439196622</v>
      </c>
      <c r="Z99" s="123">
        <f t="shared" si="51"/>
        <v>6066571.439196622</v>
      </c>
      <c r="AA99" s="123">
        <f t="shared" si="51"/>
        <v>6066571.439196622</v>
      </c>
      <c r="AB99" s="123">
        <f t="shared" si="51"/>
        <v>6066571.439196622</v>
      </c>
      <c r="AC99" s="123">
        <f t="shared" si="51"/>
        <v>6066571.439196622</v>
      </c>
      <c r="AD99" s="123">
        <f t="shared" si="51"/>
        <v>6066571.439196622</v>
      </c>
      <c r="AE99" s="123">
        <f t="shared" si="51"/>
        <v>6066571.439196622</v>
      </c>
      <c r="AF99" s="123">
        <f t="shared" si="51"/>
        <v>6066571.439196622</v>
      </c>
      <c r="AG99" s="123">
        <f t="shared" si="51"/>
        <v>6066571.439196622</v>
      </c>
      <c r="AH99" s="123">
        <f t="shared" si="51"/>
        <v>0</v>
      </c>
      <c r="AI99" s="123">
        <f t="shared" ref="AI99:BN99" si="52">IF(AND(AI$84&gt;=$C$41,AI$84&lt;=$C$42),$C64,0)</f>
        <v>0</v>
      </c>
      <c r="AJ99" s="123">
        <f t="shared" si="52"/>
        <v>0</v>
      </c>
      <c r="AK99" s="123">
        <f t="shared" si="52"/>
        <v>0</v>
      </c>
      <c r="AL99" s="123">
        <f t="shared" si="52"/>
        <v>0</v>
      </c>
      <c r="AM99" s="123">
        <f t="shared" si="52"/>
        <v>0</v>
      </c>
      <c r="AN99" s="123">
        <f t="shared" si="52"/>
        <v>0</v>
      </c>
      <c r="AO99" s="123">
        <f t="shared" si="52"/>
        <v>0</v>
      </c>
      <c r="AP99" s="123">
        <f t="shared" si="52"/>
        <v>0</v>
      </c>
      <c r="AQ99" s="123">
        <f t="shared" si="52"/>
        <v>0</v>
      </c>
      <c r="AR99" s="123">
        <f t="shared" si="52"/>
        <v>0</v>
      </c>
      <c r="AS99" s="123">
        <f t="shared" si="52"/>
        <v>0</v>
      </c>
      <c r="AT99" s="123">
        <f t="shared" si="52"/>
        <v>0</v>
      </c>
      <c r="AU99" s="123">
        <f t="shared" si="52"/>
        <v>0</v>
      </c>
      <c r="AV99" s="123">
        <f t="shared" si="52"/>
        <v>0</v>
      </c>
      <c r="AW99" s="123">
        <f t="shared" si="52"/>
        <v>0</v>
      </c>
      <c r="AX99" s="123">
        <f t="shared" si="52"/>
        <v>0</v>
      </c>
      <c r="AY99" s="123">
        <f t="shared" si="52"/>
        <v>0</v>
      </c>
      <c r="AZ99" s="123">
        <f t="shared" si="52"/>
        <v>0</v>
      </c>
      <c r="BA99" s="123">
        <f t="shared" si="52"/>
        <v>0</v>
      </c>
      <c r="BB99" s="123">
        <f t="shared" si="52"/>
        <v>0</v>
      </c>
      <c r="BC99" s="123">
        <f t="shared" si="52"/>
        <v>0</v>
      </c>
      <c r="BD99" s="123">
        <f t="shared" si="52"/>
        <v>0</v>
      </c>
      <c r="BE99" s="123">
        <f t="shared" si="52"/>
        <v>0</v>
      </c>
      <c r="BF99" s="123">
        <f t="shared" si="52"/>
        <v>0</v>
      </c>
      <c r="BG99" s="123">
        <f t="shared" si="52"/>
        <v>0</v>
      </c>
      <c r="BH99" s="123">
        <f t="shared" si="52"/>
        <v>0</v>
      </c>
      <c r="BI99" s="123">
        <f t="shared" si="52"/>
        <v>0</v>
      </c>
      <c r="BJ99" s="123">
        <f t="shared" si="52"/>
        <v>0</v>
      </c>
      <c r="BK99" s="123">
        <f t="shared" si="52"/>
        <v>0</v>
      </c>
      <c r="BL99" s="123">
        <f t="shared" si="52"/>
        <v>0</v>
      </c>
      <c r="BM99" s="123">
        <f t="shared" si="52"/>
        <v>0</v>
      </c>
      <c r="BN99" s="123">
        <f t="shared" si="52"/>
        <v>0</v>
      </c>
      <c r="BO99" s="123">
        <f t="shared" ref="BO99:CX99" si="53">IF(AND(BO$84&gt;=$C$41,BO$84&lt;=$C$42),$C64,0)</f>
        <v>0</v>
      </c>
      <c r="BP99" s="123">
        <f t="shared" si="53"/>
        <v>0</v>
      </c>
      <c r="BQ99" s="123">
        <f t="shared" si="53"/>
        <v>0</v>
      </c>
      <c r="BR99" s="123">
        <f t="shared" si="53"/>
        <v>0</v>
      </c>
      <c r="BS99" s="123">
        <f t="shared" si="53"/>
        <v>0</v>
      </c>
      <c r="BT99" s="123">
        <f t="shared" si="53"/>
        <v>0</v>
      </c>
      <c r="BU99" s="123">
        <f t="shared" si="53"/>
        <v>0</v>
      </c>
      <c r="BV99" s="123">
        <f t="shared" si="53"/>
        <v>0</v>
      </c>
      <c r="BW99" s="123">
        <f t="shared" si="53"/>
        <v>0</v>
      </c>
      <c r="BX99" s="123">
        <f t="shared" si="53"/>
        <v>0</v>
      </c>
      <c r="BY99" s="123">
        <f t="shared" si="53"/>
        <v>0</v>
      </c>
      <c r="BZ99" s="123">
        <f t="shared" si="53"/>
        <v>0</v>
      </c>
      <c r="CA99" s="123">
        <f t="shared" si="53"/>
        <v>0</v>
      </c>
      <c r="CB99" s="123">
        <f t="shared" si="53"/>
        <v>0</v>
      </c>
      <c r="CC99" s="123">
        <f t="shared" si="53"/>
        <v>0</v>
      </c>
      <c r="CD99" s="123">
        <f t="shared" si="53"/>
        <v>0</v>
      </c>
      <c r="CE99" s="123">
        <f t="shared" si="53"/>
        <v>0</v>
      </c>
      <c r="CF99" s="123">
        <f t="shared" si="53"/>
        <v>0</v>
      </c>
      <c r="CG99" s="123">
        <f t="shared" si="53"/>
        <v>0</v>
      </c>
      <c r="CH99" s="123">
        <f t="shared" si="53"/>
        <v>0</v>
      </c>
      <c r="CI99" s="123">
        <f t="shared" si="53"/>
        <v>0</v>
      </c>
      <c r="CJ99" s="123">
        <f t="shared" si="53"/>
        <v>0</v>
      </c>
      <c r="CK99" s="123">
        <f t="shared" si="53"/>
        <v>0</v>
      </c>
      <c r="CL99" s="123">
        <f t="shared" si="53"/>
        <v>0</v>
      </c>
      <c r="CM99" s="123">
        <f t="shared" si="53"/>
        <v>0</v>
      </c>
      <c r="CN99" s="123">
        <f t="shared" si="53"/>
        <v>0</v>
      </c>
      <c r="CO99" s="123">
        <f t="shared" si="53"/>
        <v>0</v>
      </c>
      <c r="CP99" s="123">
        <f t="shared" si="53"/>
        <v>0</v>
      </c>
      <c r="CQ99" s="123">
        <f t="shared" si="53"/>
        <v>0</v>
      </c>
      <c r="CR99" s="123">
        <f t="shared" si="53"/>
        <v>0</v>
      </c>
      <c r="CS99" s="123">
        <f t="shared" si="53"/>
        <v>0</v>
      </c>
      <c r="CT99" s="123">
        <f t="shared" si="53"/>
        <v>0</v>
      </c>
      <c r="CU99" s="123">
        <f t="shared" si="53"/>
        <v>0</v>
      </c>
      <c r="CV99" s="123">
        <f t="shared" si="53"/>
        <v>0</v>
      </c>
      <c r="CW99" s="123">
        <f t="shared" si="53"/>
        <v>0</v>
      </c>
      <c r="CX99" s="186">
        <f t="shared" si="53"/>
        <v>0</v>
      </c>
    </row>
    <row r="100" spans="1:102" ht="20.100000000000001" customHeight="1">
      <c r="A100" s="184">
        <f t="shared" si="50"/>
        <v>135467815.69425839</v>
      </c>
      <c r="B100" s="192" t="str">
        <f>B65</f>
        <v>Fuel</v>
      </c>
      <c r="C100" s="123">
        <f t="shared" ref="C100:AH100" si="54">IF(AND(C$84&gt;=$C$41,C$84&lt;=$C$42),$C65,0)</f>
        <v>0</v>
      </c>
      <c r="D100" s="123">
        <f t="shared" si="54"/>
        <v>4515593.8564752815</v>
      </c>
      <c r="E100" s="123">
        <f t="shared" si="54"/>
        <v>4515593.8564752815</v>
      </c>
      <c r="F100" s="123">
        <f t="shared" si="54"/>
        <v>4515593.8564752815</v>
      </c>
      <c r="G100" s="123">
        <f t="shared" si="54"/>
        <v>4515593.8564752815</v>
      </c>
      <c r="H100" s="123">
        <f t="shared" si="54"/>
        <v>4515593.8564752815</v>
      </c>
      <c r="I100" s="123">
        <f t="shared" si="54"/>
        <v>4515593.8564752815</v>
      </c>
      <c r="J100" s="123">
        <f t="shared" si="54"/>
        <v>4515593.8564752815</v>
      </c>
      <c r="K100" s="123">
        <f t="shared" si="54"/>
        <v>4515593.8564752815</v>
      </c>
      <c r="L100" s="123">
        <f t="shared" si="54"/>
        <v>4515593.8564752815</v>
      </c>
      <c r="M100" s="123">
        <f t="shared" si="54"/>
        <v>4515593.8564752815</v>
      </c>
      <c r="N100" s="123">
        <f t="shared" si="54"/>
        <v>4515593.8564752815</v>
      </c>
      <c r="O100" s="123">
        <f t="shared" si="54"/>
        <v>4515593.8564752815</v>
      </c>
      <c r="P100" s="123">
        <f t="shared" si="54"/>
        <v>4515593.8564752815</v>
      </c>
      <c r="Q100" s="123">
        <f t="shared" si="54"/>
        <v>4515593.8564752815</v>
      </c>
      <c r="R100" s="123">
        <f t="shared" si="54"/>
        <v>4515593.8564752815</v>
      </c>
      <c r="S100" s="123">
        <f t="shared" si="54"/>
        <v>4515593.8564752815</v>
      </c>
      <c r="T100" s="123">
        <f t="shared" si="54"/>
        <v>4515593.8564752815</v>
      </c>
      <c r="U100" s="123">
        <f t="shared" si="54"/>
        <v>4515593.8564752815</v>
      </c>
      <c r="V100" s="123">
        <f t="shared" si="54"/>
        <v>4515593.8564752815</v>
      </c>
      <c r="W100" s="123">
        <f t="shared" si="54"/>
        <v>4515593.8564752815</v>
      </c>
      <c r="X100" s="123">
        <f t="shared" si="54"/>
        <v>4515593.8564752815</v>
      </c>
      <c r="Y100" s="123">
        <f t="shared" si="54"/>
        <v>4515593.8564752815</v>
      </c>
      <c r="Z100" s="123">
        <f t="shared" si="54"/>
        <v>4515593.8564752815</v>
      </c>
      <c r="AA100" s="123">
        <f t="shared" si="54"/>
        <v>4515593.8564752815</v>
      </c>
      <c r="AB100" s="123">
        <f t="shared" si="54"/>
        <v>4515593.8564752815</v>
      </c>
      <c r="AC100" s="123">
        <f t="shared" si="54"/>
        <v>4515593.8564752815</v>
      </c>
      <c r="AD100" s="123">
        <f t="shared" si="54"/>
        <v>4515593.8564752815</v>
      </c>
      <c r="AE100" s="123">
        <f t="shared" si="54"/>
        <v>4515593.8564752815</v>
      </c>
      <c r="AF100" s="123">
        <f t="shared" si="54"/>
        <v>4515593.8564752815</v>
      </c>
      <c r="AG100" s="123">
        <f t="shared" si="54"/>
        <v>4515593.8564752815</v>
      </c>
      <c r="AH100" s="123">
        <f t="shared" si="54"/>
        <v>0</v>
      </c>
      <c r="AI100" s="123">
        <f t="shared" ref="AI100:BN100" si="55">IF(AND(AI$84&gt;=$C$41,AI$84&lt;=$C$42),$C65,0)</f>
        <v>0</v>
      </c>
      <c r="AJ100" s="123">
        <f t="shared" si="55"/>
        <v>0</v>
      </c>
      <c r="AK100" s="123">
        <f t="shared" si="55"/>
        <v>0</v>
      </c>
      <c r="AL100" s="123">
        <f t="shared" si="55"/>
        <v>0</v>
      </c>
      <c r="AM100" s="123">
        <f t="shared" si="55"/>
        <v>0</v>
      </c>
      <c r="AN100" s="123">
        <f t="shared" si="55"/>
        <v>0</v>
      </c>
      <c r="AO100" s="123">
        <f t="shared" si="55"/>
        <v>0</v>
      </c>
      <c r="AP100" s="123">
        <f t="shared" si="55"/>
        <v>0</v>
      </c>
      <c r="AQ100" s="123">
        <f t="shared" si="55"/>
        <v>0</v>
      </c>
      <c r="AR100" s="123">
        <f t="shared" si="55"/>
        <v>0</v>
      </c>
      <c r="AS100" s="123">
        <f t="shared" si="55"/>
        <v>0</v>
      </c>
      <c r="AT100" s="123">
        <f t="shared" si="55"/>
        <v>0</v>
      </c>
      <c r="AU100" s="123">
        <f t="shared" si="55"/>
        <v>0</v>
      </c>
      <c r="AV100" s="123">
        <f t="shared" si="55"/>
        <v>0</v>
      </c>
      <c r="AW100" s="123">
        <f t="shared" si="55"/>
        <v>0</v>
      </c>
      <c r="AX100" s="123">
        <f t="shared" si="55"/>
        <v>0</v>
      </c>
      <c r="AY100" s="123">
        <f t="shared" si="55"/>
        <v>0</v>
      </c>
      <c r="AZ100" s="123">
        <f t="shared" si="55"/>
        <v>0</v>
      </c>
      <c r="BA100" s="123">
        <f t="shared" si="55"/>
        <v>0</v>
      </c>
      <c r="BB100" s="123">
        <f t="shared" si="55"/>
        <v>0</v>
      </c>
      <c r="BC100" s="123">
        <f t="shared" si="55"/>
        <v>0</v>
      </c>
      <c r="BD100" s="123">
        <f t="shared" si="55"/>
        <v>0</v>
      </c>
      <c r="BE100" s="123">
        <f t="shared" si="55"/>
        <v>0</v>
      </c>
      <c r="BF100" s="123">
        <f t="shared" si="55"/>
        <v>0</v>
      </c>
      <c r="BG100" s="123">
        <f t="shared" si="55"/>
        <v>0</v>
      </c>
      <c r="BH100" s="123">
        <f t="shared" si="55"/>
        <v>0</v>
      </c>
      <c r="BI100" s="123">
        <f t="shared" si="55"/>
        <v>0</v>
      </c>
      <c r="BJ100" s="123">
        <f t="shared" si="55"/>
        <v>0</v>
      </c>
      <c r="BK100" s="123">
        <f t="shared" si="55"/>
        <v>0</v>
      </c>
      <c r="BL100" s="123">
        <f t="shared" si="55"/>
        <v>0</v>
      </c>
      <c r="BM100" s="123">
        <f t="shared" si="55"/>
        <v>0</v>
      </c>
      <c r="BN100" s="123">
        <f t="shared" si="55"/>
        <v>0</v>
      </c>
      <c r="BO100" s="123">
        <f t="shared" ref="BO100:CX100" si="56">IF(AND(BO$84&gt;=$C$41,BO$84&lt;=$C$42),$C65,0)</f>
        <v>0</v>
      </c>
      <c r="BP100" s="123">
        <f t="shared" si="56"/>
        <v>0</v>
      </c>
      <c r="BQ100" s="123">
        <f t="shared" si="56"/>
        <v>0</v>
      </c>
      <c r="BR100" s="123">
        <f t="shared" si="56"/>
        <v>0</v>
      </c>
      <c r="BS100" s="123">
        <f t="shared" si="56"/>
        <v>0</v>
      </c>
      <c r="BT100" s="123">
        <f t="shared" si="56"/>
        <v>0</v>
      </c>
      <c r="BU100" s="123">
        <f t="shared" si="56"/>
        <v>0</v>
      </c>
      <c r="BV100" s="123">
        <f t="shared" si="56"/>
        <v>0</v>
      </c>
      <c r="BW100" s="123">
        <f t="shared" si="56"/>
        <v>0</v>
      </c>
      <c r="BX100" s="123">
        <f t="shared" si="56"/>
        <v>0</v>
      </c>
      <c r="BY100" s="123">
        <f t="shared" si="56"/>
        <v>0</v>
      </c>
      <c r="BZ100" s="123">
        <f t="shared" si="56"/>
        <v>0</v>
      </c>
      <c r="CA100" s="123">
        <f t="shared" si="56"/>
        <v>0</v>
      </c>
      <c r="CB100" s="123">
        <f t="shared" si="56"/>
        <v>0</v>
      </c>
      <c r="CC100" s="123">
        <f t="shared" si="56"/>
        <v>0</v>
      </c>
      <c r="CD100" s="123">
        <f t="shared" si="56"/>
        <v>0</v>
      </c>
      <c r="CE100" s="123">
        <f t="shared" si="56"/>
        <v>0</v>
      </c>
      <c r="CF100" s="123">
        <f t="shared" si="56"/>
        <v>0</v>
      </c>
      <c r="CG100" s="123">
        <f t="shared" si="56"/>
        <v>0</v>
      </c>
      <c r="CH100" s="123">
        <f t="shared" si="56"/>
        <v>0</v>
      </c>
      <c r="CI100" s="123">
        <f t="shared" si="56"/>
        <v>0</v>
      </c>
      <c r="CJ100" s="123">
        <f t="shared" si="56"/>
        <v>0</v>
      </c>
      <c r="CK100" s="123">
        <f t="shared" si="56"/>
        <v>0</v>
      </c>
      <c r="CL100" s="123">
        <f t="shared" si="56"/>
        <v>0</v>
      </c>
      <c r="CM100" s="123">
        <f t="shared" si="56"/>
        <v>0</v>
      </c>
      <c r="CN100" s="123">
        <f t="shared" si="56"/>
        <v>0</v>
      </c>
      <c r="CO100" s="123">
        <f t="shared" si="56"/>
        <v>0</v>
      </c>
      <c r="CP100" s="123">
        <f t="shared" si="56"/>
        <v>0</v>
      </c>
      <c r="CQ100" s="123">
        <f t="shared" si="56"/>
        <v>0</v>
      </c>
      <c r="CR100" s="123">
        <f t="shared" si="56"/>
        <v>0</v>
      </c>
      <c r="CS100" s="123">
        <f t="shared" si="56"/>
        <v>0</v>
      </c>
      <c r="CT100" s="123">
        <f t="shared" si="56"/>
        <v>0</v>
      </c>
      <c r="CU100" s="123">
        <f t="shared" si="56"/>
        <v>0</v>
      </c>
      <c r="CV100" s="123">
        <f t="shared" si="56"/>
        <v>0</v>
      </c>
      <c r="CW100" s="123">
        <f t="shared" si="56"/>
        <v>0</v>
      </c>
      <c r="CX100" s="186">
        <f t="shared" si="56"/>
        <v>0</v>
      </c>
    </row>
    <row r="101" spans="1:102" ht="20.100000000000001" customHeight="1">
      <c r="A101" s="184">
        <f t="shared" si="50"/>
        <v>1194323.2448016524</v>
      </c>
      <c r="B101" s="192" t="str">
        <f>B66</f>
        <v>Makeup Water</v>
      </c>
      <c r="C101" s="123">
        <f t="shared" ref="C101:AH101" si="57">IF(AND(C$84&gt;=$C$41,C$84&lt;=$C$42),$C66,0)</f>
        <v>0</v>
      </c>
      <c r="D101" s="123">
        <f t="shared" si="57"/>
        <v>39810.774826721747</v>
      </c>
      <c r="E101" s="123">
        <f t="shared" si="57"/>
        <v>39810.774826721747</v>
      </c>
      <c r="F101" s="123">
        <f t="shared" si="57"/>
        <v>39810.774826721747</v>
      </c>
      <c r="G101" s="123">
        <f t="shared" si="57"/>
        <v>39810.774826721747</v>
      </c>
      <c r="H101" s="123">
        <f t="shared" si="57"/>
        <v>39810.774826721747</v>
      </c>
      <c r="I101" s="123">
        <f t="shared" si="57"/>
        <v>39810.774826721747</v>
      </c>
      <c r="J101" s="123">
        <f t="shared" si="57"/>
        <v>39810.774826721747</v>
      </c>
      <c r="K101" s="123">
        <f t="shared" si="57"/>
        <v>39810.774826721747</v>
      </c>
      <c r="L101" s="123">
        <f t="shared" si="57"/>
        <v>39810.774826721747</v>
      </c>
      <c r="M101" s="123">
        <f t="shared" si="57"/>
        <v>39810.774826721747</v>
      </c>
      <c r="N101" s="123">
        <f t="shared" si="57"/>
        <v>39810.774826721747</v>
      </c>
      <c r="O101" s="123">
        <f t="shared" si="57"/>
        <v>39810.774826721747</v>
      </c>
      <c r="P101" s="123">
        <f t="shared" si="57"/>
        <v>39810.774826721747</v>
      </c>
      <c r="Q101" s="123">
        <f t="shared" si="57"/>
        <v>39810.774826721747</v>
      </c>
      <c r="R101" s="123">
        <f t="shared" si="57"/>
        <v>39810.774826721747</v>
      </c>
      <c r="S101" s="123">
        <f t="shared" si="57"/>
        <v>39810.774826721747</v>
      </c>
      <c r="T101" s="123">
        <f t="shared" si="57"/>
        <v>39810.774826721747</v>
      </c>
      <c r="U101" s="123">
        <f t="shared" si="57"/>
        <v>39810.774826721747</v>
      </c>
      <c r="V101" s="123">
        <f t="shared" si="57"/>
        <v>39810.774826721747</v>
      </c>
      <c r="W101" s="123">
        <f t="shared" si="57"/>
        <v>39810.774826721747</v>
      </c>
      <c r="X101" s="123">
        <f t="shared" si="57"/>
        <v>39810.774826721747</v>
      </c>
      <c r="Y101" s="123">
        <f t="shared" si="57"/>
        <v>39810.774826721747</v>
      </c>
      <c r="Z101" s="123">
        <f t="shared" si="57"/>
        <v>39810.774826721747</v>
      </c>
      <c r="AA101" s="123">
        <f t="shared" si="57"/>
        <v>39810.774826721747</v>
      </c>
      <c r="AB101" s="123">
        <f t="shared" si="57"/>
        <v>39810.774826721747</v>
      </c>
      <c r="AC101" s="123">
        <f t="shared" si="57"/>
        <v>39810.774826721747</v>
      </c>
      <c r="AD101" s="123">
        <f t="shared" si="57"/>
        <v>39810.774826721747</v>
      </c>
      <c r="AE101" s="123">
        <f t="shared" si="57"/>
        <v>39810.774826721747</v>
      </c>
      <c r="AF101" s="123">
        <f t="shared" si="57"/>
        <v>39810.774826721747</v>
      </c>
      <c r="AG101" s="123">
        <f t="shared" si="57"/>
        <v>39810.774826721747</v>
      </c>
      <c r="AH101" s="123">
        <f t="shared" si="57"/>
        <v>0</v>
      </c>
      <c r="AI101" s="123">
        <f t="shared" ref="AI101:BN101" si="58">IF(AND(AI$84&gt;=$C$41,AI$84&lt;=$C$42),$C66,0)</f>
        <v>0</v>
      </c>
      <c r="AJ101" s="123">
        <f t="shared" si="58"/>
        <v>0</v>
      </c>
      <c r="AK101" s="123">
        <f t="shared" si="58"/>
        <v>0</v>
      </c>
      <c r="AL101" s="123">
        <f t="shared" si="58"/>
        <v>0</v>
      </c>
      <c r="AM101" s="123">
        <f t="shared" si="58"/>
        <v>0</v>
      </c>
      <c r="AN101" s="123">
        <f t="shared" si="58"/>
        <v>0</v>
      </c>
      <c r="AO101" s="123">
        <f t="shared" si="58"/>
        <v>0</v>
      </c>
      <c r="AP101" s="123">
        <f t="shared" si="58"/>
        <v>0</v>
      </c>
      <c r="AQ101" s="123">
        <f t="shared" si="58"/>
        <v>0</v>
      </c>
      <c r="AR101" s="123">
        <f t="shared" si="58"/>
        <v>0</v>
      </c>
      <c r="AS101" s="123">
        <f t="shared" si="58"/>
        <v>0</v>
      </c>
      <c r="AT101" s="123">
        <f t="shared" si="58"/>
        <v>0</v>
      </c>
      <c r="AU101" s="123">
        <f t="shared" si="58"/>
        <v>0</v>
      </c>
      <c r="AV101" s="123">
        <f t="shared" si="58"/>
        <v>0</v>
      </c>
      <c r="AW101" s="123">
        <f t="shared" si="58"/>
        <v>0</v>
      </c>
      <c r="AX101" s="123">
        <f t="shared" si="58"/>
        <v>0</v>
      </c>
      <c r="AY101" s="123">
        <f t="shared" si="58"/>
        <v>0</v>
      </c>
      <c r="AZ101" s="123">
        <f t="shared" si="58"/>
        <v>0</v>
      </c>
      <c r="BA101" s="123">
        <f t="shared" si="58"/>
        <v>0</v>
      </c>
      <c r="BB101" s="123">
        <f t="shared" si="58"/>
        <v>0</v>
      </c>
      <c r="BC101" s="123">
        <f t="shared" si="58"/>
        <v>0</v>
      </c>
      <c r="BD101" s="123">
        <f t="shared" si="58"/>
        <v>0</v>
      </c>
      <c r="BE101" s="123">
        <f t="shared" si="58"/>
        <v>0</v>
      </c>
      <c r="BF101" s="123">
        <f t="shared" si="58"/>
        <v>0</v>
      </c>
      <c r="BG101" s="123">
        <f t="shared" si="58"/>
        <v>0</v>
      </c>
      <c r="BH101" s="123">
        <f t="shared" si="58"/>
        <v>0</v>
      </c>
      <c r="BI101" s="123">
        <f t="shared" si="58"/>
        <v>0</v>
      </c>
      <c r="BJ101" s="123">
        <f t="shared" si="58"/>
        <v>0</v>
      </c>
      <c r="BK101" s="123">
        <f t="shared" si="58"/>
        <v>0</v>
      </c>
      <c r="BL101" s="123">
        <f t="shared" si="58"/>
        <v>0</v>
      </c>
      <c r="BM101" s="123">
        <f t="shared" si="58"/>
        <v>0</v>
      </c>
      <c r="BN101" s="123">
        <f t="shared" si="58"/>
        <v>0</v>
      </c>
      <c r="BO101" s="123">
        <f t="shared" ref="BO101:CX101" si="59">IF(AND(BO$84&gt;=$C$41,BO$84&lt;=$C$42),$C66,0)</f>
        <v>0</v>
      </c>
      <c r="BP101" s="123">
        <f t="shared" si="59"/>
        <v>0</v>
      </c>
      <c r="BQ101" s="123">
        <f t="shared" si="59"/>
        <v>0</v>
      </c>
      <c r="BR101" s="123">
        <f t="shared" si="59"/>
        <v>0</v>
      </c>
      <c r="BS101" s="123">
        <f t="shared" si="59"/>
        <v>0</v>
      </c>
      <c r="BT101" s="123">
        <f t="shared" si="59"/>
        <v>0</v>
      </c>
      <c r="BU101" s="123">
        <f t="shared" si="59"/>
        <v>0</v>
      </c>
      <c r="BV101" s="123">
        <f t="shared" si="59"/>
        <v>0</v>
      </c>
      <c r="BW101" s="123">
        <f t="shared" si="59"/>
        <v>0</v>
      </c>
      <c r="BX101" s="123">
        <f t="shared" si="59"/>
        <v>0</v>
      </c>
      <c r="BY101" s="123">
        <f t="shared" si="59"/>
        <v>0</v>
      </c>
      <c r="BZ101" s="123">
        <f t="shared" si="59"/>
        <v>0</v>
      </c>
      <c r="CA101" s="123">
        <f t="shared" si="59"/>
        <v>0</v>
      </c>
      <c r="CB101" s="123">
        <f t="shared" si="59"/>
        <v>0</v>
      </c>
      <c r="CC101" s="123">
        <f t="shared" si="59"/>
        <v>0</v>
      </c>
      <c r="CD101" s="123">
        <f t="shared" si="59"/>
        <v>0</v>
      </c>
      <c r="CE101" s="123">
        <f t="shared" si="59"/>
        <v>0</v>
      </c>
      <c r="CF101" s="123">
        <f t="shared" si="59"/>
        <v>0</v>
      </c>
      <c r="CG101" s="123">
        <f t="shared" si="59"/>
        <v>0</v>
      </c>
      <c r="CH101" s="123">
        <f t="shared" si="59"/>
        <v>0</v>
      </c>
      <c r="CI101" s="123">
        <f t="shared" si="59"/>
        <v>0</v>
      </c>
      <c r="CJ101" s="123">
        <f t="shared" si="59"/>
        <v>0</v>
      </c>
      <c r="CK101" s="123">
        <f t="shared" si="59"/>
        <v>0</v>
      </c>
      <c r="CL101" s="123">
        <f t="shared" si="59"/>
        <v>0</v>
      </c>
      <c r="CM101" s="123">
        <f t="shared" si="59"/>
        <v>0</v>
      </c>
      <c r="CN101" s="123">
        <f t="shared" si="59"/>
        <v>0</v>
      </c>
      <c r="CO101" s="123">
        <f t="shared" si="59"/>
        <v>0</v>
      </c>
      <c r="CP101" s="123">
        <f t="shared" si="59"/>
        <v>0</v>
      </c>
      <c r="CQ101" s="123">
        <f t="shared" si="59"/>
        <v>0</v>
      </c>
      <c r="CR101" s="123">
        <f t="shared" si="59"/>
        <v>0</v>
      </c>
      <c r="CS101" s="123">
        <f t="shared" si="59"/>
        <v>0</v>
      </c>
      <c r="CT101" s="123">
        <f t="shared" si="59"/>
        <v>0</v>
      </c>
      <c r="CU101" s="123">
        <f t="shared" si="59"/>
        <v>0</v>
      </c>
      <c r="CV101" s="123">
        <f t="shared" si="59"/>
        <v>0</v>
      </c>
      <c r="CW101" s="123">
        <f t="shared" si="59"/>
        <v>0</v>
      </c>
      <c r="CX101" s="186">
        <f t="shared" si="59"/>
        <v>0</v>
      </c>
    </row>
    <row r="102" spans="1:102" ht="20.100000000000001" customHeight="1">
      <c r="A102" s="184">
        <f t="shared" si="50"/>
        <v>0</v>
      </c>
      <c r="B102" s="192" t="str">
        <f t="shared" ref="B102:B103" si="60">B67</f>
        <v>Base rate</v>
      </c>
      <c r="C102" s="123">
        <f t="shared" ref="C102:BN102" si="61">IF(AND(C$84&gt;=$C$41,C$84&lt;=$C$42),$C67,0)</f>
        <v>0</v>
      </c>
      <c r="D102" s="123">
        <f t="shared" si="61"/>
        <v>0</v>
      </c>
      <c r="E102" s="123">
        <f t="shared" si="61"/>
        <v>0</v>
      </c>
      <c r="F102" s="123">
        <f>IF(AND(F$84&gt;=$C$41,F$84&lt;=$C$42),$C67,0)</f>
        <v>0</v>
      </c>
      <c r="G102" s="123">
        <f t="shared" si="61"/>
        <v>0</v>
      </c>
      <c r="H102" s="123">
        <f t="shared" si="61"/>
        <v>0</v>
      </c>
      <c r="I102" s="123">
        <f t="shared" si="61"/>
        <v>0</v>
      </c>
      <c r="J102" s="123">
        <f t="shared" si="61"/>
        <v>0</v>
      </c>
      <c r="K102" s="123">
        <f t="shared" si="61"/>
        <v>0</v>
      </c>
      <c r="L102" s="123">
        <f t="shared" si="61"/>
        <v>0</v>
      </c>
      <c r="M102" s="123">
        <f t="shared" si="61"/>
        <v>0</v>
      </c>
      <c r="N102" s="123">
        <f t="shared" si="61"/>
        <v>0</v>
      </c>
      <c r="O102" s="123">
        <f t="shared" si="61"/>
        <v>0</v>
      </c>
      <c r="P102" s="123">
        <f t="shared" si="61"/>
        <v>0</v>
      </c>
      <c r="Q102" s="123">
        <f t="shared" si="61"/>
        <v>0</v>
      </c>
      <c r="R102" s="123">
        <f t="shared" si="61"/>
        <v>0</v>
      </c>
      <c r="S102" s="123">
        <f t="shared" si="61"/>
        <v>0</v>
      </c>
      <c r="T102" s="123">
        <f t="shared" si="61"/>
        <v>0</v>
      </c>
      <c r="U102" s="123">
        <f t="shared" si="61"/>
        <v>0</v>
      </c>
      <c r="V102" s="123">
        <f t="shared" si="61"/>
        <v>0</v>
      </c>
      <c r="W102" s="123">
        <f t="shared" si="61"/>
        <v>0</v>
      </c>
      <c r="X102" s="123">
        <f t="shared" si="61"/>
        <v>0</v>
      </c>
      <c r="Y102" s="123">
        <f t="shared" si="61"/>
        <v>0</v>
      </c>
      <c r="Z102" s="123">
        <f t="shared" si="61"/>
        <v>0</v>
      </c>
      <c r="AA102" s="123">
        <f t="shared" si="61"/>
        <v>0</v>
      </c>
      <c r="AB102" s="123">
        <f t="shared" si="61"/>
        <v>0</v>
      </c>
      <c r="AC102" s="123">
        <f t="shared" si="61"/>
        <v>0</v>
      </c>
      <c r="AD102" s="123">
        <f t="shared" si="61"/>
        <v>0</v>
      </c>
      <c r="AE102" s="123">
        <f t="shared" si="61"/>
        <v>0</v>
      </c>
      <c r="AF102" s="123">
        <f t="shared" si="61"/>
        <v>0</v>
      </c>
      <c r="AG102" s="123">
        <f t="shared" si="61"/>
        <v>0</v>
      </c>
      <c r="AH102" s="123">
        <f t="shared" si="61"/>
        <v>0</v>
      </c>
      <c r="AI102" s="123">
        <f t="shared" si="61"/>
        <v>0</v>
      </c>
      <c r="AJ102" s="123">
        <f t="shared" si="61"/>
        <v>0</v>
      </c>
      <c r="AK102" s="123">
        <f t="shared" si="61"/>
        <v>0</v>
      </c>
      <c r="AL102" s="123">
        <f t="shared" si="61"/>
        <v>0</v>
      </c>
      <c r="AM102" s="123">
        <f t="shared" si="61"/>
        <v>0</v>
      </c>
      <c r="AN102" s="123">
        <f t="shared" si="61"/>
        <v>0</v>
      </c>
      <c r="AO102" s="123">
        <f t="shared" si="61"/>
        <v>0</v>
      </c>
      <c r="AP102" s="123">
        <f t="shared" si="61"/>
        <v>0</v>
      </c>
      <c r="AQ102" s="123">
        <f t="shared" si="61"/>
        <v>0</v>
      </c>
      <c r="AR102" s="123">
        <f t="shared" si="61"/>
        <v>0</v>
      </c>
      <c r="AS102" s="123">
        <f t="shared" si="61"/>
        <v>0</v>
      </c>
      <c r="AT102" s="123">
        <f t="shared" si="61"/>
        <v>0</v>
      </c>
      <c r="AU102" s="123">
        <f t="shared" si="61"/>
        <v>0</v>
      </c>
      <c r="AV102" s="123">
        <f t="shared" si="61"/>
        <v>0</v>
      </c>
      <c r="AW102" s="123">
        <f t="shared" si="61"/>
        <v>0</v>
      </c>
      <c r="AX102" s="123">
        <f t="shared" si="61"/>
        <v>0</v>
      </c>
      <c r="AY102" s="123">
        <f t="shared" si="61"/>
        <v>0</v>
      </c>
      <c r="AZ102" s="123">
        <f t="shared" si="61"/>
        <v>0</v>
      </c>
      <c r="BA102" s="123">
        <f t="shared" si="61"/>
        <v>0</v>
      </c>
      <c r="BB102" s="123">
        <f t="shared" si="61"/>
        <v>0</v>
      </c>
      <c r="BC102" s="123">
        <f t="shared" si="61"/>
        <v>0</v>
      </c>
      <c r="BD102" s="123">
        <f t="shared" si="61"/>
        <v>0</v>
      </c>
      <c r="BE102" s="123">
        <f t="shared" si="61"/>
        <v>0</v>
      </c>
      <c r="BF102" s="123">
        <f t="shared" si="61"/>
        <v>0</v>
      </c>
      <c r="BG102" s="123">
        <f t="shared" si="61"/>
        <v>0</v>
      </c>
      <c r="BH102" s="123">
        <f t="shared" si="61"/>
        <v>0</v>
      </c>
      <c r="BI102" s="123">
        <f t="shared" si="61"/>
        <v>0</v>
      </c>
      <c r="BJ102" s="123">
        <f t="shared" si="61"/>
        <v>0</v>
      </c>
      <c r="BK102" s="123">
        <f t="shared" si="61"/>
        <v>0</v>
      </c>
      <c r="BL102" s="123">
        <f t="shared" si="61"/>
        <v>0</v>
      </c>
      <c r="BM102" s="123">
        <f t="shared" si="61"/>
        <v>0</v>
      </c>
      <c r="BN102" s="123">
        <f t="shared" si="61"/>
        <v>0</v>
      </c>
      <c r="BO102" s="123">
        <f t="shared" ref="BO102:CX102" si="62">IF(AND(BO$84&gt;=$C$41,BO$84&lt;=$C$42),$C67,0)</f>
        <v>0</v>
      </c>
      <c r="BP102" s="123">
        <f t="shared" si="62"/>
        <v>0</v>
      </c>
      <c r="BQ102" s="123">
        <f t="shared" si="62"/>
        <v>0</v>
      </c>
      <c r="BR102" s="123">
        <f t="shared" si="62"/>
        <v>0</v>
      </c>
      <c r="BS102" s="123">
        <f t="shared" si="62"/>
        <v>0</v>
      </c>
      <c r="BT102" s="123">
        <f t="shared" si="62"/>
        <v>0</v>
      </c>
      <c r="BU102" s="123">
        <f t="shared" si="62"/>
        <v>0</v>
      </c>
      <c r="BV102" s="123">
        <f t="shared" si="62"/>
        <v>0</v>
      </c>
      <c r="BW102" s="123">
        <f t="shared" si="62"/>
        <v>0</v>
      </c>
      <c r="BX102" s="123">
        <f t="shared" si="62"/>
        <v>0</v>
      </c>
      <c r="BY102" s="123">
        <f t="shared" si="62"/>
        <v>0</v>
      </c>
      <c r="BZ102" s="123">
        <f t="shared" si="62"/>
        <v>0</v>
      </c>
      <c r="CA102" s="123">
        <f t="shared" si="62"/>
        <v>0</v>
      </c>
      <c r="CB102" s="123">
        <f t="shared" si="62"/>
        <v>0</v>
      </c>
      <c r="CC102" s="123">
        <f t="shared" si="62"/>
        <v>0</v>
      </c>
      <c r="CD102" s="123">
        <f t="shared" si="62"/>
        <v>0</v>
      </c>
      <c r="CE102" s="123">
        <f t="shared" si="62"/>
        <v>0</v>
      </c>
      <c r="CF102" s="123">
        <f t="shared" si="62"/>
        <v>0</v>
      </c>
      <c r="CG102" s="123">
        <f t="shared" si="62"/>
        <v>0</v>
      </c>
      <c r="CH102" s="123">
        <f t="shared" si="62"/>
        <v>0</v>
      </c>
      <c r="CI102" s="123">
        <f t="shared" si="62"/>
        <v>0</v>
      </c>
      <c r="CJ102" s="123">
        <f t="shared" si="62"/>
        <v>0</v>
      </c>
      <c r="CK102" s="123">
        <f t="shared" si="62"/>
        <v>0</v>
      </c>
      <c r="CL102" s="123">
        <f t="shared" si="62"/>
        <v>0</v>
      </c>
      <c r="CM102" s="123">
        <f t="shared" si="62"/>
        <v>0</v>
      </c>
      <c r="CN102" s="123">
        <f t="shared" si="62"/>
        <v>0</v>
      </c>
      <c r="CO102" s="123">
        <f t="shared" si="62"/>
        <v>0</v>
      </c>
      <c r="CP102" s="123">
        <f t="shared" si="62"/>
        <v>0</v>
      </c>
      <c r="CQ102" s="123">
        <f t="shared" si="62"/>
        <v>0</v>
      </c>
      <c r="CR102" s="123">
        <f t="shared" si="62"/>
        <v>0</v>
      </c>
      <c r="CS102" s="123">
        <f t="shared" si="62"/>
        <v>0</v>
      </c>
      <c r="CT102" s="123">
        <f t="shared" si="62"/>
        <v>0</v>
      </c>
      <c r="CU102" s="123">
        <f t="shared" si="62"/>
        <v>0</v>
      </c>
      <c r="CV102" s="123">
        <f t="shared" si="62"/>
        <v>0</v>
      </c>
      <c r="CW102" s="123">
        <f t="shared" si="62"/>
        <v>0</v>
      </c>
      <c r="CX102" s="186">
        <f t="shared" si="62"/>
        <v>0</v>
      </c>
    </row>
    <row r="103" spans="1:102" ht="20.100000000000001" customHeight="1">
      <c r="A103" s="184">
        <f t="shared" si="50"/>
        <v>0</v>
      </c>
      <c r="B103" s="192" t="str">
        <f t="shared" si="60"/>
        <v>Fuel surcharge</v>
      </c>
      <c r="C103" s="123">
        <f t="shared" ref="C103:BN103" si="63">IF(AND(C$84&gt;=$C$41,C$84&lt;=$C$42),$C68,0)</f>
        <v>0</v>
      </c>
      <c r="D103" s="123">
        <f t="shared" si="63"/>
        <v>0</v>
      </c>
      <c r="E103" s="123">
        <f t="shared" si="63"/>
        <v>0</v>
      </c>
      <c r="F103" s="123">
        <f t="shared" si="63"/>
        <v>0</v>
      </c>
      <c r="G103" s="123">
        <f t="shared" si="63"/>
        <v>0</v>
      </c>
      <c r="H103" s="123">
        <f t="shared" si="63"/>
        <v>0</v>
      </c>
      <c r="I103" s="123">
        <f t="shared" si="63"/>
        <v>0</v>
      </c>
      <c r="J103" s="123">
        <f t="shared" si="63"/>
        <v>0</v>
      </c>
      <c r="K103" s="123">
        <f t="shared" si="63"/>
        <v>0</v>
      </c>
      <c r="L103" s="123">
        <f t="shared" si="63"/>
        <v>0</v>
      </c>
      <c r="M103" s="123">
        <f t="shared" si="63"/>
        <v>0</v>
      </c>
      <c r="N103" s="123">
        <f t="shared" si="63"/>
        <v>0</v>
      </c>
      <c r="O103" s="123">
        <f t="shared" si="63"/>
        <v>0</v>
      </c>
      <c r="P103" s="123">
        <f t="shared" si="63"/>
        <v>0</v>
      </c>
      <c r="Q103" s="123">
        <f t="shared" si="63"/>
        <v>0</v>
      </c>
      <c r="R103" s="123">
        <f t="shared" si="63"/>
        <v>0</v>
      </c>
      <c r="S103" s="123">
        <f t="shared" si="63"/>
        <v>0</v>
      </c>
      <c r="T103" s="123">
        <f t="shared" si="63"/>
        <v>0</v>
      </c>
      <c r="U103" s="123">
        <f t="shared" si="63"/>
        <v>0</v>
      </c>
      <c r="V103" s="123">
        <f t="shared" si="63"/>
        <v>0</v>
      </c>
      <c r="W103" s="123">
        <f t="shared" si="63"/>
        <v>0</v>
      </c>
      <c r="X103" s="123">
        <f t="shared" si="63"/>
        <v>0</v>
      </c>
      <c r="Y103" s="123">
        <f t="shared" si="63"/>
        <v>0</v>
      </c>
      <c r="Z103" s="123">
        <f t="shared" si="63"/>
        <v>0</v>
      </c>
      <c r="AA103" s="123">
        <f t="shared" si="63"/>
        <v>0</v>
      </c>
      <c r="AB103" s="123">
        <f t="shared" si="63"/>
        <v>0</v>
      </c>
      <c r="AC103" s="123">
        <f t="shared" si="63"/>
        <v>0</v>
      </c>
      <c r="AD103" s="123">
        <f t="shared" si="63"/>
        <v>0</v>
      </c>
      <c r="AE103" s="123">
        <f t="shared" si="63"/>
        <v>0</v>
      </c>
      <c r="AF103" s="123">
        <f t="shared" si="63"/>
        <v>0</v>
      </c>
      <c r="AG103" s="123">
        <f t="shared" si="63"/>
        <v>0</v>
      </c>
      <c r="AH103" s="123">
        <f t="shared" si="63"/>
        <v>0</v>
      </c>
      <c r="AI103" s="123">
        <f t="shared" si="63"/>
        <v>0</v>
      </c>
      <c r="AJ103" s="123">
        <f t="shared" si="63"/>
        <v>0</v>
      </c>
      <c r="AK103" s="123">
        <f t="shared" si="63"/>
        <v>0</v>
      </c>
      <c r="AL103" s="123">
        <f t="shared" si="63"/>
        <v>0</v>
      </c>
      <c r="AM103" s="123">
        <f t="shared" si="63"/>
        <v>0</v>
      </c>
      <c r="AN103" s="123">
        <f t="shared" si="63"/>
        <v>0</v>
      </c>
      <c r="AO103" s="123">
        <f t="shared" si="63"/>
        <v>0</v>
      </c>
      <c r="AP103" s="123">
        <f t="shared" si="63"/>
        <v>0</v>
      </c>
      <c r="AQ103" s="123">
        <f t="shared" si="63"/>
        <v>0</v>
      </c>
      <c r="AR103" s="123">
        <f t="shared" si="63"/>
        <v>0</v>
      </c>
      <c r="AS103" s="123">
        <f t="shared" si="63"/>
        <v>0</v>
      </c>
      <c r="AT103" s="123">
        <f t="shared" si="63"/>
        <v>0</v>
      </c>
      <c r="AU103" s="123">
        <f t="shared" si="63"/>
        <v>0</v>
      </c>
      <c r="AV103" s="123">
        <f t="shared" si="63"/>
        <v>0</v>
      </c>
      <c r="AW103" s="123">
        <f t="shared" si="63"/>
        <v>0</v>
      </c>
      <c r="AX103" s="123">
        <f t="shared" si="63"/>
        <v>0</v>
      </c>
      <c r="AY103" s="123">
        <f t="shared" si="63"/>
        <v>0</v>
      </c>
      <c r="AZ103" s="123">
        <f t="shared" si="63"/>
        <v>0</v>
      </c>
      <c r="BA103" s="123">
        <f t="shared" si="63"/>
        <v>0</v>
      </c>
      <c r="BB103" s="123">
        <f t="shared" si="63"/>
        <v>0</v>
      </c>
      <c r="BC103" s="123">
        <f t="shared" si="63"/>
        <v>0</v>
      </c>
      <c r="BD103" s="123">
        <f t="shared" si="63"/>
        <v>0</v>
      </c>
      <c r="BE103" s="123">
        <f t="shared" si="63"/>
        <v>0</v>
      </c>
      <c r="BF103" s="123">
        <f t="shared" si="63"/>
        <v>0</v>
      </c>
      <c r="BG103" s="123">
        <f t="shared" si="63"/>
        <v>0</v>
      </c>
      <c r="BH103" s="123">
        <f t="shared" si="63"/>
        <v>0</v>
      </c>
      <c r="BI103" s="123">
        <f t="shared" si="63"/>
        <v>0</v>
      </c>
      <c r="BJ103" s="123">
        <f t="shared" si="63"/>
        <v>0</v>
      </c>
      <c r="BK103" s="123">
        <f t="shared" si="63"/>
        <v>0</v>
      </c>
      <c r="BL103" s="123">
        <f t="shared" si="63"/>
        <v>0</v>
      </c>
      <c r="BM103" s="123">
        <f t="shared" si="63"/>
        <v>0</v>
      </c>
      <c r="BN103" s="123">
        <f t="shared" si="63"/>
        <v>0</v>
      </c>
      <c r="BO103" s="123">
        <f t="shared" ref="BO103:CX103" si="64">IF(AND(BO$84&gt;=$C$41,BO$84&lt;=$C$42),$C68,0)</f>
        <v>0</v>
      </c>
      <c r="BP103" s="123">
        <f t="shared" si="64"/>
        <v>0</v>
      </c>
      <c r="BQ103" s="123">
        <f t="shared" si="64"/>
        <v>0</v>
      </c>
      <c r="BR103" s="123">
        <f t="shared" si="64"/>
        <v>0</v>
      </c>
      <c r="BS103" s="123">
        <f t="shared" si="64"/>
        <v>0</v>
      </c>
      <c r="BT103" s="123">
        <f t="shared" si="64"/>
        <v>0</v>
      </c>
      <c r="BU103" s="123">
        <f t="shared" si="64"/>
        <v>0</v>
      </c>
      <c r="BV103" s="123">
        <f t="shared" si="64"/>
        <v>0</v>
      </c>
      <c r="BW103" s="123">
        <f t="shared" si="64"/>
        <v>0</v>
      </c>
      <c r="BX103" s="123">
        <f t="shared" si="64"/>
        <v>0</v>
      </c>
      <c r="BY103" s="123">
        <f t="shared" si="64"/>
        <v>0</v>
      </c>
      <c r="BZ103" s="123">
        <f t="shared" si="64"/>
        <v>0</v>
      </c>
      <c r="CA103" s="123">
        <f t="shared" si="64"/>
        <v>0</v>
      </c>
      <c r="CB103" s="123">
        <f t="shared" si="64"/>
        <v>0</v>
      </c>
      <c r="CC103" s="123">
        <f t="shared" si="64"/>
        <v>0</v>
      </c>
      <c r="CD103" s="123">
        <f t="shared" si="64"/>
        <v>0</v>
      </c>
      <c r="CE103" s="123">
        <f t="shared" si="64"/>
        <v>0</v>
      </c>
      <c r="CF103" s="123">
        <f t="shared" si="64"/>
        <v>0</v>
      </c>
      <c r="CG103" s="123">
        <f t="shared" si="64"/>
        <v>0</v>
      </c>
      <c r="CH103" s="123">
        <f t="shared" si="64"/>
        <v>0</v>
      </c>
      <c r="CI103" s="123">
        <f t="shared" si="64"/>
        <v>0</v>
      </c>
      <c r="CJ103" s="123">
        <f t="shared" si="64"/>
        <v>0</v>
      </c>
      <c r="CK103" s="123">
        <f t="shared" si="64"/>
        <v>0</v>
      </c>
      <c r="CL103" s="123">
        <f t="shared" si="64"/>
        <v>0</v>
      </c>
      <c r="CM103" s="123">
        <f t="shared" si="64"/>
        <v>0</v>
      </c>
      <c r="CN103" s="123">
        <f t="shared" si="64"/>
        <v>0</v>
      </c>
      <c r="CO103" s="123">
        <f t="shared" si="64"/>
        <v>0</v>
      </c>
      <c r="CP103" s="123">
        <f t="shared" si="64"/>
        <v>0</v>
      </c>
      <c r="CQ103" s="123">
        <f t="shared" si="64"/>
        <v>0</v>
      </c>
      <c r="CR103" s="123">
        <f t="shared" si="64"/>
        <v>0</v>
      </c>
      <c r="CS103" s="123">
        <f t="shared" si="64"/>
        <v>0</v>
      </c>
      <c r="CT103" s="123">
        <f t="shared" si="64"/>
        <v>0</v>
      </c>
      <c r="CU103" s="123">
        <f t="shared" si="64"/>
        <v>0</v>
      </c>
      <c r="CV103" s="123">
        <f t="shared" si="64"/>
        <v>0</v>
      </c>
      <c r="CW103" s="123">
        <f t="shared" si="64"/>
        <v>0</v>
      </c>
      <c r="CX103" s="186">
        <f t="shared" si="64"/>
        <v>0</v>
      </c>
    </row>
    <row r="104" spans="1:102" ht="20.100000000000001" customHeight="1">
      <c r="A104" s="184">
        <f t="shared" si="50"/>
        <v>105345814.92861052</v>
      </c>
      <c r="B104" s="192" t="str">
        <f>B69</f>
        <v>Maintenance</v>
      </c>
      <c r="C104" s="123">
        <f t="shared" ref="C104:AH104" si="65">IF(AND(C$84&gt;=$C$41,C$84&lt;=$C$42),$C69,0)</f>
        <v>0</v>
      </c>
      <c r="D104" s="123">
        <f t="shared" si="65"/>
        <v>3511527.1642870195</v>
      </c>
      <c r="E104" s="123">
        <f t="shared" si="65"/>
        <v>3511527.1642870195</v>
      </c>
      <c r="F104" s="123">
        <f t="shared" si="65"/>
        <v>3511527.1642870195</v>
      </c>
      <c r="G104" s="123">
        <f t="shared" si="65"/>
        <v>3511527.1642870195</v>
      </c>
      <c r="H104" s="123">
        <f t="shared" si="65"/>
        <v>3511527.1642870195</v>
      </c>
      <c r="I104" s="123">
        <f t="shared" si="65"/>
        <v>3511527.1642870195</v>
      </c>
      <c r="J104" s="123">
        <f t="shared" si="65"/>
        <v>3511527.1642870195</v>
      </c>
      <c r="K104" s="123">
        <f t="shared" si="65"/>
        <v>3511527.1642870195</v>
      </c>
      <c r="L104" s="123">
        <f t="shared" si="65"/>
        <v>3511527.1642870195</v>
      </c>
      <c r="M104" s="123">
        <f t="shared" si="65"/>
        <v>3511527.1642870195</v>
      </c>
      <c r="N104" s="123">
        <f t="shared" si="65"/>
        <v>3511527.1642870195</v>
      </c>
      <c r="O104" s="123">
        <f t="shared" si="65"/>
        <v>3511527.1642870195</v>
      </c>
      <c r="P104" s="123">
        <f t="shared" si="65"/>
        <v>3511527.1642870195</v>
      </c>
      <c r="Q104" s="123">
        <f t="shared" si="65"/>
        <v>3511527.1642870195</v>
      </c>
      <c r="R104" s="123">
        <f t="shared" si="65"/>
        <v>3511527.1642870195</v>
      </c>
      <c r="S104" s="123">
        <f t="shared" si="65"/>
        <v>3511527.1642870195</v>
      </c>
      <c r="T104" s="123">
        <f t="shared" si="65"/>
        <v>3511527.1642870195</v>
      </c>
      <c r="U104" s="123">
        <f t="shared" si="65"/>
        <v>3511527.1642870195</v>
      </c>
      <c r="V104" s="123">
        <f t="shared" si="65"/>
        <v>3511527.1642870195</v>
      </c>
      <c r="W104" s="123">
        <f t="shared" si="65"/>
        <v>3511527.1642870195</v>
      </c>
      <c r="X104" s="123">
        <f t="shared" si="65"/>
        <v>3511527.1642870195</v>
      </c>
      <c r="Y104" s="123">
        <f t="shared" si="65"/>
        <v>3511527.1642870195</v>
      </c>
      <c r="Z104" s="123">
        <f t="shared" si="65"/>
        <v>3511527.1642870195</v>
      </c>
      <c r="AA104" s="123">
        <f t="shared" si="65"/>
        <v>3511527.1642870195</v>
      </c>
      <c r="AB104" s="123">
        <f t="shared" si="65"/>
        <v>3511527.1642870195</v>
      </c>
      <c r="AC104" s="123">
        <f t="shared" si="65"/>
        <v>3511527.1642870195</v>
      </c>
      <c r="AD104" s="123">
        <f t="shared" si="65"/>
        <v>3511527.1642870195</v>
      </c>
      <c r="AE104" s="123">
        <f t="shared" si="65"/>
        <v>3511527.1642870195</v>
      </c>
      <c r="AF104" s="123">
        <f t="shared" si="65"/>
        <v>3511527.1642870195</v>
      </c>
      <c r="AG104" s="123">
        <f t="shared" si="65"/>
        <v>3511527.1642870195</v>
      </c>
      <c r="AH104" s="123">
        <f t="shared" si="65"/>
        <v>0</v>
      </c>
      <c r="AI104" s="123">
        <f t="shared" ref="AI104:BN104" si="66">IF(AND(AI$84&gt;=$C$41,AI$84&lt;=$C$42),$C69,0)</f>
        <v>0</v>
      </c>
      <c r="AJ104" s="123">
        <f t="shared" si="66"/>
        <v>0</v>
      </c>
      <c r="AK104" s="123">
        <f t="shared" si="66"/>
        <v>0</v>
      </c>
      <c r="AL104" s="123">
        <f t="shared" si="66"/>
        <v>0</v>
      </c>
      <c r="AM104" s="123">
        <f t="shared" si="66"/>
        <v>0</v>
      </c>
      <c r="AN104" s="123">
        <f t="shared" si="66"/>
        <v>0</v>
      </c>
      <c r="AO104" s="123">
        <f t="shared" si="66"/>
        <v>0</v>
      </c>
      <c r="AP104" s="123">
        <f t="shared" si="66"/>
        <v>0</v>
      </c>
      <c r="AQ104" s="123">
        <f t="shared" si="66"/>
        <v>0</v>
      </c>
      <c r="AR104" s="123">
        <f t="shared" si="66"/>
        <v>0</v>
      </c>
      <c r="AS104" s="123">
        <f t="shared" si="66"/>
        <v>0</v>
      </c>
      <c r="AT104" s="123">
        <f t="shared" si="66"/>
        <v>0</v>
      </c>
      <c r="AU104" s="123">
        <f t="shared" si="66"/>
        <v>0</v>
      </c>
      <c r="AV104" s="123">
        <f t="shared" si="66"/>
        <v>0</v>
      </c>
      <c r="AW104" s="123">
        <f t="shared" si="66"/>
        <v>0</v>
      </c>
      <c r="AX104" s="123">
        <f t="shared" si="66"/>
        <v>0</v>
      </c>
      <c r="AY104" s="123">
        <f t="shared" si="66"/>
        <v>0</v>
      </c>
      <c r="AZ104" s="123">
        <f t="shared" si="66"/>
        <v>0</v>
      </c>
      <c r="BA104" s="123">
        <f t="shared" si="66"/>
        <v>0</v>
      </c>
      <c r="BB104" s="123">
        <f t="shared" si="66"/>
        <v>0</v>
      </c>
      <c r="BC104" s="123">
        <f t="shared" si="66"/>
        <v>0</v>
      </c>
      <c r="BD104" s="123">
        <f t="shared" si="66"/>
        <v>0</v>
      </c>
      <c r="BE104" s="123">
        <f t="shared" si="66"/>
        <v>0</v>
      </c>
      <c r="BF104" s="123">
        <f t="shared" si="66"/>
        <v>0</v>
      </c>
      <c r="BG104" s="123">
        <f t="shared" si="66"/>
        <v>0</v>
      </c>
      <c r="BH104" s="123">
        <f t="shared" si="66"/>
        <v>0</v>
      </c>
      <c r="BI104" s="123">
        <f t="shared" si="66"/>
        <v>0</v>
      </c>
      <c r="BJ104" s="123">
        <f t="shared" si="66"/>
        <v>0</v>
      </c>
      <c r="BK104" s="123">
        <f t="shared" si="66"/>
        <v>0</v>
      </c>
      <c r="BL104" s="123">
        <f t="shared" si="66"/>
        <v>0</v>
      </c>
      <c r="BM104" s="123">
        <f t="shared" si="66"/>
        <v>0</v>
      </c>
      <c r="BN104" s="123">
        <f t="shared" si="66"/>
        <v>0</v>
      </c>
      <c r="BO104" s="123">
        <f t="shared" ref="BO104:CX104" si="67">IF(AND(BO$84&gt;=$C$41,BO$84&lt;=$C$42),$C69,0)</f>
        <v>0</v>
      </c>
      <c r="BP104" s="123">
        <f t="shared" si="67"/>
        <v>0</v>
      </c>
      <c r="BQ104" s="123">
        <f t="shared" si="67"/>
        <v>0</v>
      </c>
      <c r="BR104" s="123">
        <f t="shared" si="67"/>
        <v>0</v>
      </c>
      <c r="BS104" s="123">
        <f t="shared" si="67"/>
        <v>0</v>
      </c>
      <c r="BT104" s="123">
        <f t="shared" si="67"/>
        <v>0</v>
      </c>
      <c r="BU104" s="123">
        <f t="shared" si="67"/>
        <v>0</v>
      </c>
      <c r="BV104" s="123">
        <f t="shared" si="67"/>
        <v>0</v>
      </c>
      <c r="BW104" s="123">
        <f t="shared" si="67"/>
        <v>0</v>
      </c>
      <c r="BX104" s="123">
        <f t="shared" si="67"/>
        <v>0</v>
      </c>
      <c r="BY104" s="123">
        <f t="shared" si="67"/>
        <v>0</v>
      </c>
      <c r="BZ104" s="123">
        <f t="shared" si="67"/>
        <v>0</v>
      </c>
      <c r="CA104" s="123">
        <f t="shared" si="67"/>
        <v>0</v>
      </c>
      <c r="CB104" s="123">
        <f t="shared" si="67"/>
        <v>0</v>
      </c>
      <c r="CC104" s="123">
        <f t="shared" si="67"/>
        <v>0</v>
      </c>
      <c r="CD104" s="123">
        <f t="shared" si="67"/>
        <v>0</v>
      </c>
      <c r="CE104" s="123">
        <f t="shared" si="67"/>
        <v>0</v>
      </c>
      <c r="CF104" s="123">
        <f t="shared" si="67"/>
        <v>0</v>
      </c>
      <c r="CG104" s="123">
        <f t="shared" si="67"/>
        <v>0</v>
      </c>
      <c r="CH104" s="123">
        <f t="shared" si="67"/>
        <v>0</v>
      </c>
      <c r="CI104" s="123">
        <f t="shared" si="67"/>
        <v>0</v>
      </c>
      <c r="CJ104" s="123">
        <f t="shared" si="67"/>
        <v>0</v>
      </c>
      <c r="CK104" s="123">
        <f t="shared" si="67"/>
        <v>0</v>
      </c>
      <c r="CL104" s="123">
        <f t="shared" si="67"/>
        <v>0</v>
      </c>
      <c r="CM104" s="123">
        <f t="shared" si="67"/>
        <v>0</v>
      </c>
      <c r="CN104" s="123">
        <f t="shared" si="67"/>
        <v>0</v>
      </c>
      <c r="CO104" s="123">
        <f t="shared" si="67"/>
        <v>0</v>
      </c>
      <c r="CP104" s="123">
        <f t="shared" si="67"/>
        <v>0</v>
      </c>
      <c r="CQ104" s="123">
        <f t="shared" si="67"/>
        <v>0</v>
      </c>
      <c r="CR104" s="123">
        <f t="shared" si="67"/>
        <v>0</v>
      </c>
      <c r="CS104" s="123">
        <f t="shared" si="67"/>
        <v>0</v>
      </c>
      <c r="CT104" s="123">
        <f t="shared" si="67"/>
        <v>0</v>
      </c>
      <c r="CU104" s="123">
        <f t="shared" si="67"/>
        <v>0</v>
      </c>
      <c r="CV104" s="123">
        <f t="shared" si="67"/>
        <v>0</v>
      </c>
      <c r="CW104" s="123">
        <f t="shared" si="67"/>
        <v>0</v>
      </c>
      <c r="CX104" s="186">
        <f t="shared" si="67"/>
        <v>0</v>
      </c>
    </row>
    <row r="105" spans="1:102" ht="20.100000000000001" customHeight="1">
      <c r="A105" s="184">
        <f t="shared" si="50"/>
        <v>41727037.336552076</v>
      </c>
      <c r="B105" s="192" t="str">
        <f>B70</f>
        <v>Insurance, Permits, Fees</v>
      </c>
      <c r="C105" s="123">
        <f t="shared" ref="C105:AH105" si="68">IF(AND(C$84&gt;=$C$41,C$84&lt;=$C$42),$C70,0)</f>
        <v>0</v>
      </c>
      <c r="D105" s="123">
        <f t="shared" si="68"/>
        <v>1390901.2445517362</v>
      </c>
      <c r="E105" s="123">
        <f t="shared" si="68"/>
        <v>1390901.2445517362</v>
      </c>
      <c r="F105" s="123">
        <f t="shared" si="68"/>
        <v>1390901.2445517362</v>
      </c>
      <c r="G105" s="123">
        <f t="shared" si="68"/>
        <v>1390901.2445517362</v>
      </c>
      <c r="H105" s="123">
        <f t="shared" si="68"/>
        <v>1390901.2445517362</v>
      </c>
      <c r="I105" s="123">
        <f t="shared" si="68"/>
        <v>1390901.2445517362</v>
      </c>
      <c r="J105" s="123">
        <f t="shared" si="68"/>
        <v>1390901.2445517362</v>
      </c>
      <c r="K105" s="123">
        <f t="shared" si="68"/>
        <v>1390901.2445517362</v>
      </c>
      <c r="L105" s="123">
        <f t="shared" si="68"/>
        <v>1390901.2445517362</v>
      </c>
      <c r="M105" s="123">
        <f t="shared" si="68"/>
        <v>1390901.2445517362</v>
      </c>
      <c r="N105" s="123">
        <f t="shared" si="68"/>
        <v>1390901.2445517362</v>
      </c>
      <c r="O105" s="123">
        <f t="shared" si="68"/>
        <v>1390901.2445517362</v>
      </c>
      <c r="P105" s="123">
        <f t="shared" si="68"/>
        <v>1390901.2445517362</v>
      </c>
      <c r="Q105" s="123">
        <f t="shared" si="68"/>
        <v>1390901.2445517362</v>
      </c>
      <c r="R105" s="123">
        <f t="shared" si="68"/>
        <v>1390901.2445517362</v>
      </c>
      <c r="S105" s="123">
        <f t="shared" si="68"/>
        <v>1390901.2445517362</v>
      </c>
      <c r="T105" s="123">
        <f t="shared" si="68"/>
        <v>1390901.2445517362</v>
      </c>
      <c r="U105" s="123">
        <f t="shared" si="68"/>
        <v>1390901.2445517362</v>
      </c>
      <c r="V105" s="123">
        <f t="shared" si="68"/>
        <v>1390901.2445517362</v>
      </c>
      <c r="W105" s="123">
        <f t="shared" si="68"/>
        <v>1390901.2445517362</v>
      </c>
      <c r="X105" s="123">
        <f t="shared" si="68"/>
        <v>1390901.2445517362</v>
      </c>
      <c r="Y105" s="123">
        <f t="shared" si="68"/>
        <v>1390901.2445517362</v>
      </c>
      <c r="Z105" s="123">
        <f t="shared" si="68"/>
        <v>1390901.2445517362</v>
      </c>
      <c r="AA105" s="123">
        <f t="shared" si="68"/>
        <v>1390901.2445517362</v>
      </c>
      <c r="AB105" s="123">
        <f t="shared" si="68"/>
        <v>1390901.2445517362</v>
      </c>
      <c r="AC105" s="123">
        <f t="shared" si="68"/>
        <v>1390901.2445517362</v>
      </c>
      <c r="AD105" s="123">
        <f t="shared" si="68"/>
        <v>1390901.2445517362</v>
      </c>
      <c r="AE105" s="123">
        <f t="shared" si="68"/>
        <v>1390901.2445517362</v>
      </c>
      <c r="AF105" s="123">
        <f t="shared" si="68"/>
        <v>1390901.2445517362</v>
      </c>
      <c r="AG105" s="123">
        <f t="shared" si="68"/>
        <v>1390901.2445517362</v>
      </c>
      <c r="AH105" s="123">
        <f t="shared" si="68"/>
        <v>0</v>
      </c>
      <c r="AI105" s="123">
        <f t="shared" ref="AI105:BN105" si="69">IF(AND(AI$84&gt;=$C$41,AI$84&lt;=$C$42),$C70,0)</f>
        <v>0</v>
      </c>
      <c r="AJ105" s="123">
        <f t="shared" si="69"/>
        <v>0</v>
      </c>
      <c r="AK105" s="123">
        <f t="shared" si="69"/>
        <v>0</v>
      </c>
      <c r="AL105" s="123">
        <f t="shared" si="69"/>
        <v>0</v>
      </c>
      <c r="AM105" s="123">
        <f t="shared" si="69"/>
        <v>0</v>
      </c>
      <c r="AN105" s="123">
        <f t="shared" si="69"/>
        <v>0</v>
      </c>
      <c r="AO105" s="123">
        <f t="shared" si="69"/>
        <v>0</v>
      </c>
      <c r="AP105" s="123">
        <f t="shared" si="69"/>
        <v>0</v>
      </c>
      <c r="AQ105" s="123">
        <f t="shared" si="69"/>
        <v>0</v>
      </c>
      <c r="AR105" s="123">
        <f t="shared" si="69"/>
        <v>0</v>
      </c>
      <c r="AS105" s="123">
        <f t="shared" si="69"/>
        <v>0</v>
      </c>
      <c r="AT105" s="123">
        <f t="shared" si="69"/>
        <v>0</v>
      </c>
      <c r="AU105" s="123">
        <f t="shared" si="69"/>
        <v>0</v>
      </c>
      <c r="AV105" s="123">
        <f t="shared" si="69"/>
        <v>0</v>
      </c>
      <c r="AW105" s="123">
        <f t="shared" si="69"/>
        <v>0</v>
      </c>
      <c r="AX105" s="123">
        <f t="shared" si="69"/>
        <v>0</v>
      </c>
      <c r="AY105" s="123">
        <f t="shared" si="69"/>
        <v>0</v>
      </c>
      <c r="AZ105" s="123">
        <f t="shared" si="69"/>
        <v>0</v>
      </c>
      <c r="BA105" s="123">
        <f t="shared" si="69"/>
        <v>0</v>
      </c>
      <c r="BB105" s="123">
        <f t="shared" si="69"/>
        <v>0</v>
      </c>
      <c r="BC105" s="123">
        <f t="shared" si="69"/>
        <v>0</v>
      </c>
      <c r="BD105" s="123">
        <f t="shared" si="69"/>
        <v>0</v>
      </c>
      <c r="BE105" s="123">
        <f t="shared" si="69"/>
        <v>0</v>
      </c>
      <c r="BF105" s="123">
        <f t="shared" si="69"/>
        <v>0</v>
      </c>
      <c r="BG105" s="123">
        <f t="shared" si="69"/>
        <v>0</v>
      </c>
      <c r="BH105" s="123">
        <f t="shared" si="69"/>
        <v>0</v>
      </c>
      <c r="BI105" s="123">
        <f t="shared" si="69"/>
        <v>0</v>
      </c>
      <c r="BJ105" s="123">
        <f t="shared" si="69"/>
        <v>0</v>
      </c>
      <c r="BK105" s="123">
        <f t="shared" si="69"/>
        <v>0</v>
      </c>
      <c r="BL105" s="123">
        <f t="shared" si="69"/>
        <v>0</v>
      </c>
      <c r="BM105" s="123">
        <f t="shared" si="69"/>
        <v>0</v>
      </c>
      <c r="BN105" s="123">
        <f t="shared" si="69"/>
        <v>0</v>
      </c>
      <c r="BO105" s="123">
        <f t="shared" ref="BO105:CX105" si="70">IF(AND(BO$84&gt;=$C$41,BO$84&lt;=$C$42),$C70,0)</f>
        <v>0</v>
      </c>
      <c r="BP105" s="123">
        <f t="shared" si="70"/>
        <v>0</v>
      </c>
      <c r="BQ105" s="123">
        <f t="shared" si="70"/>
        <v>0</v>
      </c>
      <c r="BR105" s="123">
        <f t="shared" si="70"/>
        <v>0</v>
      </c>
      <c r="BS105" s="123">
        <f t="shared" si="70"/>
        <v>0</v>
      </c>
      <c r="BT105" s="123">
        <f t="shared" si="70"/>
        <v>0</v>
      </c>
      <c r="BU105" s="123">
        <f t="shared" si="70"/>
        <v>0</v>
      </c>
      <c r="BV105" s="123">
        <f t="shared" si="70"/>
        <v>0</v>
      </c>
      <c r="BW105" s="123">
        <f t="shared" si="70"/>
        <v>0</v>
      </c>
      <c r="BX105" s="123">
        <f t="shared" si="70"/>
        <v>0</v>
      </c>
      <c r="BY105" s="123">
        <f t="shared" si="70"/>
        <v>0</v>
      </c>
      <c r="BZ105" s="123">
        <f t="shared" si="70"/>
        <v>0</v>
      </c>
      <c r="CA105" s="123">
        <f t="shared" si="70"/>
        <v>0</v>
      </c>
      <c r="CB105" s="123">
        <f t="shared" si="70"/>
        <v>0</v>
      </c>
      <c r="CC105" s="123">
        <f t="shared" si="70"/>
        <v>0</v>
      </c>
      <c r="CD105" s="123">
        <f t="shared" si="70"/>
        <v>0</v>
      </c>
      <c r="CE105" s="123">
        <f t="shared" si="70"/>
        <v>0</v>
      </c>
      <c r="CF105" s="123">
        <f t="shared" si="70"/>
        <v>0</v>
      </c>
      <c r="CG105" s="123">
        <f t="shared" si="70"/>
        <v>0</v>
      </c>
      <c r="CH105" s="123">
        <f t="shared" si="70"/>
        <v>0</v>
      </c>
      <c r="CI105" s="123">
        <f t="shared" si="70"/>
        <v>0</v>
      </c>
      <c r="CJ105" s="123">
        <f t="shared" si="70"/>
        <v>0</v>
      </c>
      <c r="CK105" s="123">
        <f t="shared" si="70"/>
        <v>0</v>
      </c>
      <c r="CL105" s="123">
        <f t="shared" si="70"/>
        <v>0</v>
      </c>
      <c r="CM105" s="123">
        <f t="shared" si="70"/>
        <v>0</v>
      </c>
      <c r="CN105" s="123">
        <f t="shared" si="70"/>
        <v>0</v>
      </c>
      <c r="CO105" s="123">
        <f t="shared" si="70"/>
        <v>0</v>
      </c>
      <c r="CP105" s="123">
        <f t="shared" si="70"/>
        <v>0</v>
      </c>
      <c r="CQ105" s="123">
        <f t="shared" si="70"/>
        <v>0</v>
      </c>
      <c r="CR105" s="123">
        <f t="shared" si="70"/>
        <v>0</v>
      </c>
      <c r="CS105" s="123">
        <f t="shared" si="70"/>
        <v>0</v>
      </c>
      <c r="CT105" s="123">
        <f t="shared" si="70"/>
        <v>0</v>
      </c>
      <c r="CU105" s="123">
        <f t="shared" si="70"/>
        <v>0</v>
      </c>
      <c r="CV105" s="123">
        <f t="shared" si="70"/>
        <v>0</v>
      </c>
      <c r="CW105" s="123">
        <f t="shared" si="70"/>
        <v>0</v>
      </c>
      <c r="CX105" s="186">
        <f t="shared" si="70"/>
        <v>0</v>
      </c>
    </row>
    <row r="106" spans="1:102" ht="20.100000000000001" customHeight="1">
      <c r="A106" s="184">
        <f t="shared" si="50"/>
        <v>239342695.05231386</v>
      </c>
      <c r="B106" s="192" t="str">
        <f>B71</f>
        <v>Labor</v>
      </c>
      <c r="C106" s="123">
        <f t="shared" ref="C106:BN106" si="71">IF(AND(C$84&gt;=$C$41,C$84&lt;=$C$42),$C71,0)</f>
        <v>0</v>
      </c>
      <c r="D106" s="123">
        <f t="shared" si="71"/>
        <v>7978089.8350771237</v>
      </c>
      <c r="E106" s="123">
        <f t="shared" si="71"/>
        <v>7978089.8350771237</v>
      </c>
      <c r="F106" s="123">
        <f t="shared" si="71"/>
        <v>7978089.8350771237</v>
      </c>
      <c r="G106" s="123">
        <f t="shared" si="71"/>
        <v>7978089.8350771237</v>
      </c>
      <c r="H106" s="123">
        <f t="shared" si="71"/>
        <v>7978089.8350771237</v>
      </c>
      <c r="I106" s="123">
        <f t="shared" si="71"/>
        <v>7978089.8350771237</v>
      </c>
      <c r="J106" s="123">
        <f t="shared" si="71"/>
        <v>7978089.8350771237</v>
      </c>
      <c r="K106" s="123">
        <f t="shared" si="71"/>
        <v>7978089.8350771237</v>
      </c>
      <c r="L106" s="123">
        <f t="shared" si="71"/>
        <v>7978089.8350771237</v>
      </c>
      <c r="M106" s="123">
        <f t="shared" si="71"/>
        <v>7978089.8350771237</v>
      </c>
      <c r="N106" s="123">
        <f t="shared" si="71"/>
        <v>7978089.8350771237</v>
      </c>
      <c r="O106" s="123">
        <f t="shared" si="71"/>
        <v>7978089.8350771237</v>
      </c>
      <c r="P106" s="123">
        <f t="shared" si="71"/>
        <v>7978089.8350771237</v>
      </c>
      <c r="Q106" s="123">
        <f t="shared" si="71"/>
        <v>7978089.8350771237</v>
      </c>
      <c r="R106" s="123">
        <f t="shared" si="71"/>
        <v>7978089.8350771237</v>
      </c>
      <c r="S106" s="123">
        <f t="shared" si="71"/>
        <v>7978089.8350771237</v>
      </c>
      <c r="T106" s="123">
        <f t="shared" si="71"/>
        <v>7978089.8350771237</v>
      </c>
      <c r="U106" s="123">
        <f t="shared" si="71"/>
        <v>7978089.8350771237</v>
      </c>
      <c r="V106" s="123">
        <f t="shared" si="71"/>
        <v>7978089.8350771237</v>
      </c>
      <c r="W106" s="123">
        <f t="shared" si="71"/>
        <v>7978089.8350771237</v>
      </c>
      <c r="X106" s="123">
        <f t="shared" si="71"/>
        <v>7978089.8350771237</v>
      </c>
      <c r="Y106" s="123">
        <f t="shared" si="71"/>
        <v>7978089.8350771237</v>
      </c>
      <c r="Z106" s="123">
        <f t="shared" si="71"/>
        <v>7978089.8350771237</v>
      </c>
      <c r="AA106" s="123">
        <f t="shared" si="71"/>
        <v>7978089.8350771237</v>
      </c>
      <c r="AB106" s="123">
        <f t="shared" si="71"/>
        <v>7978089.8350771237</v>
      </c>
      <c r="AC106" s="123">
        <f t="shared" si="71"/>
        <v>7978089.8350771237</v>
      </c>
      <c r="AD106" s="123">
        <f t="shared" si="71"/>
        <v>7978089.8350771237</v>
      </c>
      <c r="AE106" s="123">
        <f t="shared" si="71"/>
        <v>7978089.8350771237</v>
      </c>
      <c r="AF106" s="123">
        <f t="shared" si="71"/>
        <v>7978089.8350771237</v>
      </c>
      <c r="AG106" s="123">
        <f t="shared" si="71"/>
        <v>7978089.8350771237</v>
      </c>
      <c r="AH106" s="123">
        <f t="shared" si="71"/>
        <v>0</v>
      </c>
      <c r="AI106" s="123">
        <f t="shared" si="71"/>
        <v>0</v>
      </c>
      <c r="AJ106" s="123">
        <f t="shared" si="71"/>
        <v>0</v>
      </c>
      <c r="AK106" s="123">
        <f t="shared" si="71"/>
        <v>0</v>
      </c>
      <c r="AL106" s="123">
        <f t="shared" si="71"/>
        <v>0</v>
      </c>
      <c r="AM106" s="123">
        <f t="shared" si="71"/>
        <v>0</v>
      </c>
      <c r="AN106" s="123">
        <f t="shared" si="71"/>
        <v>0</v>
      </c>
      <c r="AO106" s="123">
        <f t="shared" si="71"/>
        <v>0</v>
      </c>
      <c r="AP106" s="123">
        <f t="shared" si="71"/>
        <v>0</v>
      </c>
      <c r="AQ106" s="123">
        <f t="shared" si="71"/>
        <v>0</v>
      </c>
      <c r="AR106" s="123">
        <f t="shared" si="71"/>
        <v>0</v>
      </c>
      <c r="AS106" s="123">
        <f t="shared" si="71"/>
        <v>0</v>
      </c>
      <c r="AT106" s="123">
        <f t="shared" si="71"/>
        <v>0</v>
      </c>
      <c r="AU106" s="123">
        <f t="shared" si="71"/>
        <v>0</v>
      </c>
      <c r="AV106" s="123">
        <f t="shared" si="71"/>
        <v>0</v>
      </c>
      <c r="AW106" s="123">
        <f t="shared" si="71"/>
        <v>0</v>
      </c>
      <c r="AX106" s="123">
        <f t="shared" si="71"/>
        <v>0</v>
      </c>
      <c r="AY106" s="123">
        <f t="shared" si="71"/>
        <v>0</v>
      </c>
      <c r="AZ106" s="123">
        <f t="shared" si="71"/>
        <v>0</v>
      </c>
      <c r="BA106" s="123">
        <f t="shared" si="71"/>
        <v>0</v>
      </c>
      <c r="BB106" s="123">
        <f t="shared" si="71"/>
        <v>0</v>
      </c>
      <c r="BC106" s="123">
        <f t="shared" si="71"/>
        <v>0</v>
      </c>
      <c r="BD106" s="123">
        <f t="shared" si="71"/>
        <v>0</v>
      </c>
      <c r="BE106" s="123">
        <f t="shared" si="71"/>
        <v>0</v>
      </c>
      <c r="BF106" s="123">
        <f t="shared" si="71"/>
        <v>0</v>
      </c>
      <c r="BG106" s="123">
        <f t="shared" si="71"/>
        <v>0</v>
      </c>
      <c r="BH106" s="123">
        <f t="shared" si="71"/>
        <v>0</v>
      </c>
      <c r="BI106" s="123">
        <f t="shared" si="71"/>
        <v>0</v>
      </c>
      <c r="BJ106" s="123">
        <f t="shared" si="71"/>
        <v>0</v>
      </c>
      <c r="BK106" s="123">
        <f t="shared" si="71"/>
        <v>0</v>
      </c>
      <c r="BL106" s="123">
        <f t="shared" si="71"/>
        <v>0</v>
      </c>
      <c r="BM106" s="123">
        <f t="shared" si="71"/>
        <v>0</v>
      </c>
      <c r="BN106" s="123">
        <f t="shared" si="71"/>
        <v>0</v>
      </c>
      <c r="BO106" s="123">
        <f t="shared" ref="BO106:CX106" si="72">IF(AND(BO$84&gt;=$C$41,BO$84&lt;=$C$42),$C71,0)</f>
        <v>0</v>
      </c>
      <c r="BP106" s="123">
        <f t="shared" si="72"/>
        <v>0</v>
      </c>
      <c r="BQ106" s="123">
        <f t="shared" si="72"/>
        <v>0</v>
      </c>
      <c r="BR106" s="123">
        <f t="shared" si="72"/>
        <v>0</v>
      </c>
      <c r="BS106" s="123">
        <f t="shared" si="72"/>
        <v>0</v>
      </c>
      <c r="BT106" s="123">
        <f t="shared" si="72"/>
        <v>0</v>
      </c>
      <c r="BU106" s="123">
        <f t="shared" si="72"/>
        <v>0</v>
      </c>
      <c r="BV106" s="123">
        <f t="shared" si="72"/>
        <v>0</v>
      </c>
      <c r="BW106" s="123">
        <f t="shared" si="72"/>
        <v>0</v>
      </c>
      <c r="BX106" s="123">
        <f t="shared" si="72"/>
        <v>0</v>
      </c>
      <c r="BY106" s="123">
        <f t="shared" si="72"/>
        <v>0</v>
      </c>
      <c r="BZ106" s="123">
        <f t="shared" si="72"/>
        <v>0</v>
      </c>
      <c r="CA106" s="123">
        <f t="shared" si="72"/>
        <v>0</v>
      </c>
      <c r="CB106" s="123">
        <f t="shared" si="72"/>
        <v>0</v>
      </c>
      <c r="CC106" s="123">
        <f t="shared" si="72"/>
        <v>0</v>
      </c>
      <c r="CD106" s="123">
        <f t="shared" si="72"/>
        <v>0</v>
      </c>
      <c r="CE106" s="123">
        <f t="shared" si="72"/>
        <v>0</v>
      </c>
      <c r="CF106" s="123">
        <f t="shared" si="72"/>
        <v>0</v>
      </c>
      <c r="CG106" s="123">
        <f t="shared" si="72"/>
        <v>0</v>
      </c>
      <c r="CH106" s="123">
        <f t="shared" si="72"/>
        <v>0</v>
      </c>
      <c r="CI106" s="123">
        <f t="shared" si="72"/>
        <v>0</v>
      </c>
      <c r="CJ106" s="123">
        <f t="shared" si="72"/>
        <v>0</v>
      </c>
      <c r="CK106" s="123">
        <f t="shared" si="72"/>
        <v>0</v>
      </c>
      <c r="CL106" s="123">
        <f t="shared" si="72"/>
        <v>0</v>
      </c>
      <c r="CM106" s="123">
        <f t="shared" si="72"/>
        <v>0</v>
      </c>
      <c r="CN106" s="123">
        <f t="shared" si="72"/>
        <v>0</v>
      </c>
      <c r="CO106" s="123">
        <f t="shared" si="72"/>
        <v>0</v>
      </c>
      <c r="CP106" s="123">
        <f t="shared" si="72"/>
        <v>0</v>
      </c>
      <c r="CQ106" s="123">
        <f t="shared" si="72"/>
        <v>0</v>
      </c>
      <c r="CR106" s="123">
        <f t="shared" si="72"/>
        <v>0</v>
      </c>
      <c r="CS106" s="123">
        <f t="shared" si="72"/>
        <v>0</v>
      </c>
      <c r="CT106" s="123">
        <f t="shared" si="72"/>
        <v>0</v>
      </c>
      <c r="CU106" s="123">
        <f t="shared" si="72"/>
        <v>0</v>
      </c>
      <c r="CV106" s="123">
        <f t="shared" si="72"/>
        <v>0</v>
      </c>
      <c r="CW106" s="123">
        <f t="shared" si="72"/>
        <v>0</v>
      </c>
      <c r="CX106" s="186">
        <f t="shared" si="72"/>
        <v>0</v>
      </c>
    </row>
    <row r="107" spans="1:102" ht="20.100000000000001" customHeight="1">
      <c r="A107" s="184">
        <f t="shared" si="50"/>
        <v>-6240696.2842989592</v>
      </c>
      <c r="B107" s="187" t="str">
        <f>B72</f>
        <v>End of life</v>
      </c>
      <c r="C107" s="188">
        <f>IF(AND(C$84=$C$42),$C72,0)</f>
        <v>0</v>
      </c>
      <c r="D107" s="188">
        <f t="shared" ref="D107:BO107" si="73">IF(AND(D$84=$C$42),$C72,0)</f>
        <v>0</v>
      </c>
      <c r="E107" s="188">
        <f t="shared" si="73"/>
        <v>0</v>
      </c>
      <c r="F107" s="188">
        <f t="shared" si="73"/>
        <v>0</v>
      </c>
      <c r="G107" s="188">
        <f t="shared" si="73"/>
        <v>0</v>
      </c>
      <c r="H107" s="188">
        <f t="shared" si="73"/>
        <v>0</v>
      </c>
      <c r="I107" s="188">
        <f t="shared" si="73"/>
        <v>0</v>
      </c>
      <c r="J107" s="188">
        <f t="shared" si="73"/>
        <v>0</v>
      </c>
      <c r="K107" s="188">
        <f t="shared" si="73"/>
        <v>0</v>
      </c>
      <c r="L107" s="188">
        <f t="shared" si="73"/>
        <v>0</v>
      </c>
      <c r="M107" s="188">
        <f t="shared" si="73"/>
        <v>0</v>
      </c>
      <c r="N107" s="188">
        <f t="shared" si="73"/>
        <v>0</v>
      </c>
      <c r="O107" s="188">
        <f t="shared" si="73"/>
        <v>0</v>
      </c>
      <c r="P107" s="188">
        <f t="shared" si="73"/>
        <v>0</v>
      </c>
      <c r="Q107" s="188">
        <f t="shared" si="73"/>
        <v>0</v>
      </c>
      <c r="R107" s="188">
        <f t="shared" si="73"/>
        <v>0</v>
      </c>
      <c r="S107" s="188">
        <f t="shared" si="73"/>
        <v>0</v>
      </c>
      <c r="T107" s="188">
        <f t="shared" si="73"/>
        <v>0</v>
      </c>
      <c r="U107" s="188">
        <f t="shared" si="73"/>
        <v>0</v>
      </c>
      <c r="V107" s="188">
        <f t="shared" si="73"/>
        <v>0</v>
      </c>
      <c r="W107" s="188">
        <f t="shared" si="73"/>
        <v>0</v>
      </c>
      <c r="X107" s="188">
        <f t="shared" si="73"/>
        <v>0</v>
      </c>
      <c r="Y107" s="188">
        <f t="shared" si="73"/>
        <v>0</v>
      </c>
      <c r="Z107" s="188">
        <f t="shared" si="73"/>
        <v>0</v>
      </c>
      <c r="AA107" s="188">
        <f t="shared" si="73"/>
        <v>0</v>
      </c>
      <c r="AB107" s="188">
        <f t="shared" si="73"/>
        <v>0</v>
      </c>
      <c r="AC107" s="188">
        <f t="shared" si="73"/>
        <v>0</v>
      </c>
      <c r="AD107" s="188">
        <f t="shared" si="73"/>
        <v>0</v>
      </c>
      <c r="AE107" s="188">
        <f t="shared" si="73"/>
        <v>0</v>
      </c>
      <c r="AF107" s="188">
        <f t="shared" si="73"/>
        <v>0</v>
      </c>
      <c r="AG107" s="188">
        <f t="shared" si="73"/>
        <v>-6240696.2842989592</v>
      </c>
      <c r="AH107" s="188">
        <f t="shared" si="73"/>
        <v>0</v>
      </c>
      <c r="AI107" s="188">
        <f t="shared" si="73"/>
        <v>0</v>
      </c>
      <c r="AJ107" s="188">
        <f t="shared" si="73"/>
        <v>0</v>
      </c>
      <c r="AK107" s="188">
        <f t="shared" si="73"/>
        <v>0</v>
      </c>
      <c r="AL107" s="188">
        <f t="shared" si="73"/>
        <v>0</v>
      </c>
      <c r="AM107" s="188">
        <f t="shared" si="73"/>
        <v>0</v>
      </c>
      <c r="AN107" s="188">
        <f t="shared" si="73"/>
        <v>0</v>
      </c>
      <c r="AO107" s="188">
        <f t="shared" si="73"/>
        <v>0</v>
      </c>
      <c r="AP107" s="188">
        <f t="shared" si="73"/>
        <v>0</v>
      </c>
      <c r="AQ107" s="188">
        <f t="shared" si="73"/>
        <v>0</v>
      </c>
      <c r="AR107" s="188">
        <f t="shared" si="73"/>
        <v>0</v>
      </c>
      <c r="AS107" s="188">
        <f t="shared" si="73"/>
        <v>0</v>
      </c>
      <c r="AT107" s="188">
        <f t="shared" si="73"/>
        <v>0</v>
      </c>
      <c r="AU107" s="188">
        <f t="shared" si="73"/>
        <v>0</v>
      </c>
      <c r="AV107" s="188">
        <f t="shared" si="73"/>
        <v>0</v>
      </c>
      <c r="AW107" s="188">
        <f t="shared" si="73"/>
        <v>0</v>
      </c>
      <c r="AX107" s="188">
        <f t="shared" si="73"/>
        <v>0</v>
      </c>
      <c r="AY107" s="188">
        <f t="shared" si="73"/>
        <v>0</v>
      </c>
      <c r="AZ107" s="188">
        <f t="shared" si="73"/>
        <v>0</v>
      </c>
      <c r="BA107" s="188">
        <f t="shared" si="73"/>
        <v>0</v>
      </c>
      <c r="BB107" s="188">
        <f t="shared" si="73"/>
        <v>0</v>
      </c>
      <c r="BC107" s="188">
        <f t="shared" si="73"/>
        <v>0</v>
      </c>
      <c r="BD107" s="188">
        <f t="shared" si="73"/>
        <v>0</v>
      </c>
      <c r="BE107" s="188">
        <f t="shared" si="73"/>
        <v>0</v>
      </c>
      <c r="BF107" s="188">
        <f t="shared" si="73"/>
        <v>0</v>
      </c>
      <c r="BG107" s="188">
        <f t="shared" si="73"/>
        <v>0</v>
      </c>
      <c r="BH107" s="188">
        <f t="shared" si="73"/>
        <v>0</v>
      </c>
      <c r="BI107" s="188">
        <f t="shared" si="73"/>
        <v>0</v>
      </c>
      <c r="BJ107" s="188">
        <f t="shared" si="73"/>
        <v>0</v>
      </c>
      <c r="BK107" s="188">
        <f t="shared" si="73"/>
        <v>0</v>
      </c>
      <c r="BL107" s="188">
        <f t="shared" si="73"/>
        <v>0</v>
      </c>
      <c r="BM107" s="188">
        <f t="shared" si="73"/>
        <v>0</v>
      </c>
      <c r="BN107" s="188">
        <f t="shared" si="73"/>
        <v>0</v>
      </c>
      <c r="BO107" s="188">
        <f t="shared" si="73"/>
        <v>0</v>
      </c>
      <c r="BP107" s="188">
        <f t="shared" ref="BP107:CX107" si="74">IF(AND(BP$84=$C$42),$C72,0)</f>
        <v>0</v>
      </c>
      <c r="BQ107" s="188">
        <f t="shared" si="74"/>
        <v>0</v>
      </c>
      <c r="BR107" s="188">
        <f t="shared" si="74"/>
        <v>0</v>
      </c>
      <c r="BS107" s="188">
        <f t="shared" si="74"/>
        <v>0</v>
      </c>
      <c r="BT107" s="188">
        <f t="shared" si="74"/>
        <v>0</v>
      </c>
      <c r="BU107" s="188">
        <f t="shared" si="74"/>
        <v>0</v>
      </c>
      <c r="BV107" s="188">
        <f t="shared" si="74"/>
        <v>0</v>
      </c>
      <c r="BW107" s="188">
        <f t="shared" si="74"/>
        <v>0</v>
      </c>
      <c r="BX107" s="188">
        <f t="shared" si="74"/>
        <v>0</v>
      </c>
      <c r="BY107" s="188">
        <f t="shared" si="74"/>
        <v>0</v>
      </c>
      <c r="BZ107" s="188">
        <f t="shared" si="74"/>
        <v>0</v>
      </c>
      <c r="CA107" s="188">
        <f t="shared" si="74"/>
        <v>0</v>
      </c>
      <c r="CB107" s="188">
        <f t="shared" si="74"/>
        <v>0</v>
      </c>
      <c r="CC107" s="188">
        <f t="shared" si="74"/>
        <v>0</v>
      </c>
      <c r="CD107" s="188">
        <f t="shared" si="74"/>
        <v>0</v>
      </c>
      <c r="CE107" s="188">
        <f t="shared" si="74"/>
        <v>0</v>
      </c>
      <c r="CF107" s="188">
        <f t="shared" si="74"/>
        <v>0</v>
      </c>
      <c r="CG107" s="188">
        <f t="shared" si="74"/>
        <v>0</v>
      </c>
      <c r="CH107" s="188">
        <f t="shared" si="74"/>
        <v>0</v>
      </c>
      <c r="CI107" s="188">
        <f t="shared" si="74"/>
        <v>0</v>
      </c>
      <c r="CJ107" s="188">
        <f t="shared" si="74"/>
        <v>0</v>
      </c>
      <c r="CK107" s="188">
        <f t="shared" si="74"/>
        <v>0</v>
      </c>
      <c r="CL107" s="188">
        <f t="shared" si="74"/>
        <v>0</v>
      </c>
      <c r="CM107" s="188">
        <f t="shared" si="74"/>
        <v>0</v>
      </c>
      <c r="CN107" s="188">
        <f t="shared" si="74"/>
        <v>0</v>
      </c>
      <c r="CO107" s="188">
        <f t="shared" si="74"/>
        <v>0</v>
      </c>
      <c r="CP107" s="188">
        <f t="shared" si="74"/>
        <v>0</v>
      </c>
      <c r="CQ107" s="188">
        <f t="shared" si="74"/>
        <v>0</v>
      </c>
      <c r="CR107" s="188">
        <f t="shared" si="74"/>
        <v>0</v>
      </c>
      <c r="CS107" s="188">
        <f t="shared" si="74"/>
        <v>0</v>
      </c>
      <c r="CT107" s="188">
        <f t="shared" si="74"/>
        <v>0</v>
      </c>
      <c r="CU107" s="188">
        <f t="shared" si="74"/>
        <v>0</v>
      </c>
      <c r="CV107" s="188">
        <f t="shared" si="74"/>
        <v>0</v>
      </c>
      <c r="CW107" s="188">
        <f t="shared" si="74"/>
        <v>0</v>
      </c>
      <c r="CX107" s="189">
        <f t="shared" si="74"/>
        <v>0</v>
      </c>
    </row>
    <row r="108" spans="1:102" ht="20.100000000000001" customHeight="1">
      <c r="A108" s="123"/>
      <c r="C108" s="123"/>
      <c r="D108" s="123"/>
      <c r="E108" s="123"/>
      <c r="F108" s="116"/>
      <c r="G108" s="116"/>
      <c r="H108" s="116"/>
      <c r="I108" s="116"/>
      <c r="J108" s="116"/>
      <c r="K108" s="116"/>
      <c r="L108" s="116"/>
      <c r="M108" s="116"/>
      <c r="N108" s="116"/>
      <c r="O108" s="116"/>
      <c r="P108" s="116"/>
      <c r="Q108" s="116"/>
      <c r="R108" s="116"/>
      <c r="S108" s="116"/>
      <c r="T108" s="116"/>
      <c r="U108" s="116"/>
      <c r="V108" s="116"/>
      <c r="W108" s="116"/>
      <c r="X108" s="123"/>
      <c r="Y108" s="123"/>
      <c r="Z108" s="123"/>
      <c r="AA108" s="123"/>
      <c r="AB108" s="123"/>
      <c r="AC108" s="123"/>
      <c r="AD108" s="123"/>
      <c r="AE108" s="123"/>
      <c r="AF108" s="123"/>
      <c r="AG108" s="123"/>
      <c r="AH108" s="123"/>
      <c r="AI108" s="123"/>
      <c r="AJ108" s="123"/>
      <c r="AK108" s="123"/>
      <c r="AL108" s="123"/>
      <c r="AM108" s="123"/>
      <c r="AN108" s="123"/>
      <c r="AO108" s="123"/>
      <c r="AP108" s="123"/>
      <c r="AQ108" s="123"/>
      <c r="AR108" s="123"/>
      <c r="AS108" s="123"/>
      <c r="AT108" s="123"/>
      <c r="AU108" s="123"/>
      <c r="AV108" s="123"/>
      <c r="AW108" s="123"/>
      <c r="AX108" s="123"/>
      <c r="AY108" s="123"/>
      <c r="AZ108" s="123"/>
      <c r="BA108" s="123"/>
      <c r="BB108" s="123"/>
      <c r="BC108" s="123"/>
      <c r="BD108" s="123"/>
      <c r="BE108" s="123"/>
      <c r="BF108" s="123"/>
      <c r="BG108" s="123"/>
      <c r="BH108" s="123"/>
      <c r="BI108" s="123"/>
      <c r="BJ108" s="123"/>
      <c r="BK108" s="123"/>
      <c r="BL108" s="123"/>
      <c r="BM108" s="123"/>
      <c r="BN108" s="123"/>
      <c r="BO108" s="123"/>
      <c r="BP108" s="123"/>
      <c r="BQ108" s="123"/>
      <c r="BR108" s="123"/>
      <c r="BS108" s="123"/>
      <c r="BT108" s="123"/>
      <c r="BU108" s="123"/>
      <c r="BV108" s="123"/>
      <c r="BW108" s="123"/>
      <c r="BX108" s="123"/>
      <c r="BY108" s="123"/>
      <c r="BZ108" s="123"/>
      <c r="CA108" s="123"/>
      <c r="CB108" s="123"/>
      <c r="CC108" s="123"/>
      <c r="CD108" s="123"/>
      <c r="CE108" s="123"/>
      <c r="CF108" s="123"/>
      <c r="CG108" s="123"/>
      <c r="CH108" s="123"/>
      <c r="CI108" s="123"/>
      <c r="CJ108" s="123"/>
      <c r="CK108" s="123"/>
      <c r="CL108" s="123"/>
      <c r="CM108" s="123"/>
      <c r="CN108" s="123"/>
      <c r="CO108" s="123"/>
      <c r="CP108" s="123"/>
      <c r="CQ108" s="123"/>
      <c r="CR108" s="123"/>
      <c r="CS108" s="123"/>
      <c r="CT108" s="123"/>
      <c r="CU108" s="123"/>
      <c r="CV108" s="123"/>
      <c r="CW108" s="123"/>
      <c r="CX108" s="123"/>
    </row>
    <row r="109" spans="1:102" ht="20.100000000000001" customHeight="1">
      <c r="A109" s="184">
        <f t="shared" si="50"/>
        <v>107497278.11831588</v>
      </c>
      <c r="B109" s="110" t="str">
        <f>"Total Investment (capital expenses or Capex) in real "&amp;C37&amp;"$"</f>
        <v>Total Investment (capital expenses or Capex) in real 2024$</v>
      </c>
      <c r="C109" s="193">
        <f t="shared" ref="C109:AH109" si="75">SUM(C88:C96)</f>
        <v>107497278.11831588</v>
      </c>
      <c r="D109" s="193">
        <f t="shared" si="75"/>
        <v>0</v>
      </c>
      <c r="E109" s="193">
        <f t="shared" si="75"/>
        <v>0</v>
      </c>
      <c r="F109" s="193">
        <f t="shared" si="75"/>
        <v>0</v>
      </c>
      <c r="G109" s="193">
        <f t="shared" si="75"/>
        <v>0</v>
      </c>
      <c r="H109" s="193">
        <f t="shared" si="75"/>
        <v>0</v>
      </c>
      <c r="I109" s="193">
        <f t="shared" si="75"/>
        <v>0</v>
      </c>
      <c r="J109" s="193">
        <f t="shared" si="75"/>
        <v>0</v>
      </c>
      <c r="K109" s="193">
        <f t="shared" si="75"/>
        <v>0</v>
      </c>
      <c r="L109" s="193">
        <f t="shared" si="75"/>
        <v>0</v>
      </c>
      <c r="M109" s="193">
        <f t="shared" si="75"/>
        <v>0</v>
      </c>
      <c r="N109" s="193">
        <f t="shared" si="75"/>
        <v>0</v>
      </c>
      <c r="O109" s="193">
        <f t="shared" si="75"/>
        <v>0</v>
      </c>
      <c r="P109" s="193">
        <f t="shared" si="75"/>
        <v>0</v>
      </c>
      <c r="Q109" s="193">
        <f t="shared" si="75"/>
        <v>0</v>
      </c>
      <c r="R109" s="193">
        <f t="shared" si="75"/>
        <v>0</v>
      </c>
      <c r="S109" s="193">
        <f t="shared" si="75"/>
        <v>0</v>
      </c>
      <c r="T109" s="193">
        <f t="shared" si="75"/>
        <v>0</v>
      </c>
      <c r="U109" s="193">
        <f t="shared" si="75"/>
        <v>0</v>
      </c>
      <c r="V109" s="193">
        <f t="shared" si="75"/>
        <v>0</v>
      </c>
      <c r="W109" s="193">
        <f t="shared" si="75"/>
        <v>0</v>
      </c>
      <c r="X109" s="193">
        <f t="shared" si="75"/>
        <v>0</v>
      </c>
      <c r="Y109" s="193">
        <f t="shared" si="75"/>
        <v>0</v>
      </c>
      <c r="Z109" s="193">
        <f t="shared" si="75"/>
        <v>0</v>
      </c>
      <c r="AA109" s="193">
        <f t="shared" si="75"/>
        <v>0</v>
      </c>
      <c r="AB109" s="193">
        <f t="shared" si="75"/>
        <v>0</v>
      </c>
      <c r="AC109" s="193">
        <f t="shared" si="75"/>
        <v>0</v>
      </c>
      <c r="AD109" s="193">
        <f t="shared" si="75"/>
        <v>0</v>
      </c>
      <c r="AE109" s="193">
        <f t="shared" si="75"/>
        <v>0</v>
      </c>
      <c r="AF109" s="193">
        <f t="shared" si="75"/>
        <v>0</v>
      </c>
      <c r="AG109" s="193">
        <f t="shared" si="75"/>
        <v>0</v>
      </c>
      <c r="AH109" s="193">
        <f t="shared" si="75"/>
        <v>0</v>
      </c>
      <c r="AI109" s="193">
        <f t="shared" ref="AI109:BN109" si="76">SUM(AI88:AI96)</f>
        <v>0</v>
      </c>
      <c r="AJ109" s="193">
        <f t="shared" si="76"/>
        <v>0</v>
      </c>
      <c r="AK109" s="193">
        <f t="shared" si="76"/>
        <v>0</v>
      </c>
      <c r="AL109" s="193">
        <f t="shared" si="76"/>
        <v>0</v>
      </c>
      <c r="AM109" s="193">
        <f t="shared" si="76"/>
        <v>0</v>
      </c>
      <c r="AN109" s="193">
        <f t="shared" si="76"/>
        <v>0</v>
      </c>
      <c r="AO109" s="193">
        <f t="shared" si="76"/>
        <v>0</v>
      </c>
      <c r="AP109" s="193">
        <f t="shared" si="76"/>
        <v>0</v>
      </c>
      <c r="AQ109" s="193">
        <f t="shared" si="76"/>
        <v>0</v>
      </c>
      <c r="AR109" s="193">
        <f t="shared" si="76"/>
        <v>0</v>
      </c>
      <c r="AS109" s="193">
        <f t="shared" si="76"/>
        <v>0</v>
      </c>
      <c r="AT109" s="193">
        <f t="shared" si="76"/>
        <v>0</v>
      </c>
      <c r="AU109" s="193">
        <f t="shared" si="76"/>
        <v>0</v>
      </c>
      <c r="AV109" s="193">
        <f t="shared" si="76"/>
        <v>0</v>
      </c>
      <c r="AW109" s="193">
        <f t="shared" si="76"/>
        <v>0</v>
      </c>
      <c r="AX109" s="193">
        <f t="shared" si="76"/>
        <v>0</v>
      </c>
      <c r="AY109" s="193">
        <f t="shared" si="76"/>
        <v>0</v>
      </c>
      <c r="AZ109" s="193">
        <f t="shared" si="76"/>
        <v>0</v>
      </c>
      <c r="BA109" s="193">
        <f t="shared" si="76"/>
        <v>0</v>
      </c>
      <c r="BB109" s="193">
        <f t="shared" si="76"/>
        <v>0</v>
      </c>
      <c r="BC109" s="193">
        <f t="shared" si="76"/>
        <v>0</v>
      </c>
      <c r="BD109" s="193">
        <f t="shared" si="76"/>
        <v>0</v>
      </c>
      <c r="BE109" s="193">
        <f t="shared" si="76"/>
        <v>0</v>
      </c>
      <c r="BF109" s="193">
        <f t="shared" si="76"/>
        <v>0</v>
      </c>
      <c r="BG109" s="193">
        <f t="shared" si="76"/>
        <v>0</v>
      </c>
      <c r="BH109" s="193">
        <f t="shared" si="76"/>
        <v>0</v>
      </c>
      <c r="BI109" s="193">
        <f t="shared" si="76"/>
        <v>0</v>
      </c>
      <c r="BJ109" s="193">
        <f t="shared" si="76"/>
        <v>0</v>
      </c>
      <c r="BK109" s="193">
        <f t="shared" si="76"/>
        <v>0</v>
      </c>
      <c r="BL109" s="193">
        <f t="shared" si="76"/>
        <v>0</v>
      </c>
      <c r="BM109" s="193">
        <f t="shared" si="76"/>
        <v>0</v>
      </c>
      <c r="BN109" s="193">
        <f t="shared" si="76"/>
        <v>0</v>
      </c>
      <c r="BO109" s="193">
        <f t="shared" ref="BO109:CX109" si="77">SUM(BO88:BO96)</f>
        <v>0</v>
      </c>
      <c r="BP109" s="193">
        <f t="shared" si="77"/>
        <v>0</v>
      </c>
      <c r="BQ109" s="193">
        <f t="shared" si="77"/>
        <v>0</v>
      </c>
      <c r="BR109" s="193">
        <f t="shared" si="77"/>
        <v>0</v>
      </c>
      <c r="BS109" s="193">
        <f t="shared" si="77"/>
        <v>0</v>
      </c>
      <c r="BT109" s="193">
        <f t="shared" si="77"/>
        <v>0</v>
      </c>
      <c r="BU109" s="193">
        <f t="shared" si="77"/>
        <v>0</v>
      </c>
      <c r="BV109" s="193">
        <f t="shared" si="77"/>
        <v>0</v>
      </c>
      <c r="BW109" s="193">
        <f t="shared" si="77"/>
        <v>0</v>
      </c>
      <c r="BX109" s="193">
        <f t="shared" si="77"/>
        <v>0</v>
      </c>
      <c r="BY109" s="193">
        <f t="shared" si="77"/>
        <v>0</v>
      </c>
      <c r="BZ109" s="193">
        <f t="shared" si="77"/>
        <v>0</v>
      </c>
      <c r="CA109" s="193">
        <f t="shared" si="77"/>
        <v>0</v>
      </c>
      <c r="CB109" s="193">
        <f t="shared" si="77"/>
        <v>0</v>
      </c>
      <c r="CC109" s="193">
        <f t="shared" si="77"/>
        <v>0</v>
      </c>
      <c r="CD109" s="193">
        <f t="shared" si="77"/>
        <v>0</v>
      </c>
      <c r="CE109" s="193">
        <f t="shared" si="77"/>
        <v>0</v>
      </c>
      <c r="CF109" s="193">
        <f t="shared" si="77"/>
        <v>0</v>
      </c>
      <c r="CG109" s="193">
        <f t="shared" si="77"/>
        <v>0</v>
      </c>
      <c r="CH109" s="193">
        <f t="shared" si="77"/>
        <v>0</v>
      </c>
      <c r="CI109" s="193">
        <f t="shared" si="77"/>
        <v>0</v>
      </c>
      <c r="CJ109" s="193">
        <f t="shared" si="77"/>
        <v>0</v>
      </c>
      <c r="CK109" s="193">
        <f t="shared" si="77"/>
        <v>0</v>
      </c>
      <c r="CL109" s="193">
        <f t="shared" si="77"/>
        <v>0</v>
      </c>
      <c r="CM109" s="193">
        <f t="shared" si="77"/>
        <v>0</v>
      </c>
      <c r="CN109" s="193">
        <f t="shared" si="77"/>
        <v>0</v>
      </c>
      <c r="CO109" s="193">
        <f t="shared" si="77"/>
        <v>0</v>
      </c>
      <c r="CP109" s="193">
        <f t="shared" si="77"/>
        <v>0</v>
      </c>
      <c r="CQ109" s="193">
        <f t="shared" si="77"/>
        <v>0</v>
      </c>
      <c r="CR109" s="193">
        <f t="shared" si="77"/>
        <v>0</v>
      </c>
      <c r="CS109" s="193">
        <f t="shared" si="77"/>
        <v>0</v>
      </c>
      <c r="CT109" s="193">
        <f t="shared" si="77"/>
        <v>0</v>
      </c>
      <c r="CU109" s="193">
        <f t="shared" si="77"/>
        <v>0</v>
      </c>
      <c r="CV109" s="193">
        <f t="shared" si="77"/>
        <v>0</v>
      </c>
      <c r="CW109" s="193">
        <f t="shared" si="77"/>
        <v>0</v>
      </c>
      <c r="CX109" s="193">
        <f t="shared" si="77"/>
        <v>0</v>
      </c>
    </row>
    <row r="110" spans="1:102" ht="20.100000000000001" customHeight="1">
      <c r="A110" s="184">
        <f>SUM(C110:CX110)</f>
        <v>698834133.14813614</v>
      </c>
      <c r="B110" s="110" t="str">
        <f>"Project Expenses (operating expenses or Opex) in real "&amp;C37&amp;"$"</f>
        <v>Project Expenses (operating expenses or Opex) in real 2024$</v>
      </c>
      <c r="C110" s="193">
        <f>SUM(C99:C107)</f>
        <v>0</v>
      </c>
      <c r="D110" s="193">
        <f>SUM(D99:D107)</f>
        <v>23502494.314414505</v>
      </c>
      <c r="E110" s="193">
        <f>SUM(E99:E107)</f>
        <v>23502494.314414505</v>
      </c>
      <c r="F110" s="193">
        <f t="shared" ref="F110:BP110" si="78">SUM(F99:F107)</f>
        <v>23502494.314414505</v>
      </c>
      <c r="G110" s="193">
        <f t="shared" si="78"/>
        <v>23502494.314414505</v>
      </c>
      <c r="H110" s="193">
        <f t="shared" si="78"/>
        <v>23502494.314414505</v>
      </c>
      <c r="I110" s="193">
        <f t="shared" si="78"/>
        <v>23502494.314414505</v>
      </c>
      <c r="J110" s="193">
        <f t="shared" si="78"/>
        <v>23502494.314414505</v>
      </c>
      <c r="K110" s="193">
        <f t="shared" si="78"/>
        <v>23502494.314414505</v>
      </c>
      <c r="L110" s="193">
        <f t="shared" si="78"/>
        <v>23502494.314414505</v>
      </c>
      <c r="M110" s="193">
        <f t="shared" si="78"/>
        <v>23502494.314414505</v>
      </c>
      <c r="N110" s="193">
        <f t="shared" si="78"/>
        <v>23502494.314414505</v>
      </c>
      <c r="O110" s="193">
        <f t="shared" si="78"/>
        <v>23502494.314414505</v>
      </c>
      <c r="P110" s="193">
        <f t="shared" si="78"/>
        <v>23502494.314414505</v>
      </c>
      <c r="Q110" s="193">
        <f t="shared" si="78"/>
        <v>23502494.314414505</v>
      </c>
      <c r="R110" s="193">
        <f t="shared" si="78"/>
        <v>23502494.314414505</v>
      </c>
      <c r="S110" s="193">
        <f t="shared" si="78"/>
        <v>23502494.314414505</v>
      </c>
      <c r="T110" s="193">
        <f t="shared" si="78"/>
        <v>23502494.314414505</v>
      </c>
      <c r="U110" s="193">
        <f t="shared" si="78"/>
        <v>23502494.314414505</v>
      </c>
      <c r="V110" s="193">
        <f t="shared" si="78"/>
        <v>23502494.314414505</v>
      </c>
      <c r="W110" s="193">
        <f t="shared" si="78"/>
        <v>23502494.314414505</v>
      </c>
      <c r="X110" s="193">
        <f t="shared" si="78"/>
        <v>23502494.314414505</v>
      </c>
      <c r="Y110" s="193">
        <f t="shared" si="78"/>
        <v>23502494.314414505</v>
      </c>
      <c r="Z110" s="193">
        <f t="shared" si="78"/>
        <v>23502494.314414505</v>
      </c>
      <c r="AA110" s="193">
        <f t="shared" si="78"/>
        <v>23502494.314414505</v>
      </c>
      <c r="AB110" s="193">
        <f t="shared" si="78"/>
        <v>23502494.314414505</v>
      </c>
      <c r="AC110" s="193">
        <f t="shared" si="78"/>
        <v>23502494.314414505</v>
      </c>
      <c r="AD110" s="193">
        <f t="shared" si="78"/>
        <v>23502494.314414505</v>
      </c>
      <c r="AE110" s="193">
        <f t="shared" si="78"/>
        <v>23502494.314414505</v>
      </c>
      <c r="AF110" s="193">
        <f t="shared" si="78"/>
        <v>23502494.314414505</v>
      </c>
      <c r="AG110" s="193">
        <f t="shared" si="78"/>
        <v>17261798.030115545</v>
      </c>
      <c r="AH110" s="193">
        <f t="shared" si="78"/>
        <v>0</v>
      </c>
      <c r="AI110" s="193">
        <f t="shared" si="78"/>
        <v>0</v>
      </c>
      <c r="AJ110" s="193">
        <f t="shared" si="78"/>
        <v>0</v>
      </c>
      <c r="AK110" s="193">
        <f t="shared" si="78"/>
        <v>0</v>
      </c>
      <c r="AL110" s="193">
        <f t="shared" si="78"/>
        <v>0</v>
      </c>
      <c r="AM110" s="193">
        <f t="shared" si="78"/>
        <v>0</v>
      </c>
      <c r="AN110" s="193">
        <f t="shared" si="78"/>
        <v>0</v>
      </c>
      <c r="AO110" s="193">
        <f t="shared" si="78"/>
        <v>0</v>
      </c>
      <c r="AP110" s="193">
        <f t="shared" si="78"/>
        <v>0</v>
      </c>
      <c r="AQ110" s="193">
        <f t="shared" si="78"/>
        <v>0</v>
      </c>
      <c r="AR110" s="193">
        <f t="shared" si="78"/>
        <v>0</v>
      </c>
      <c r="AS110" s="193">
        <f t="shared" si="78"/>
        <v>0</v>
      </c>
      <c r="AT110" s="193">
        <f t="shared" si="78"/>
        <v>0</v>
      </c>
      <c r="AU110" s="193">
        <f t="shared" si="78"/>
        <v>0</v>
      </c>
      <c r="AV110" s="193">
        <f t="shared" si="78"/>
        <v>0</v>
      </c>
      <c r="AW110" s="193">
        <f t="shared" si="78"/>
        <v>0</v>
      </c>
      <c r="AX110" s="193">
        <f t="shared" si="78"/>
        <v>0</v>
      </c>
      <c r="AY110" s="193">
        <f t="shared" si="78"/>
        <v>0</v>
      </c>
      <c r="AZ110" s="193">
        <f t="shared" si="78"/>
        <v>0</v>
      </c>
      <c r="BA110" s="193">
        <f t="shared" si="78"/>
        <v>0</v>
      </c>
      <c r="BB110" s="193">
        <f t="shared" si="78"/>
        <v>0</v>
      </c>
      <c r="BC110" s="193">
        <f t="shared" si="78"/>
        <v>0</v>
      </c>
      <c r="BD110" s="193">
        <f t="shared" si="78"/>
        <v>0</v>
      </c>
      <c r="BE110" s="193">
        <f t="shared" si="78"/>
        <v>0</v>
      </c>
      <c r="BF110" s="193">
        <f t="shared" si="78"/>
        <v>0</v>
      </c>
      <c r="BG110" s="193">
        <f t="shared" si="78"/>
        <v>0</v>
      </c>
      <c r="BH110" s="193">
        <f t="shared" si="78"/>
        <v>0</v>
      </c>
      <c r="BI110" s="193">
        <f t="shared" si="78"/>
        <v>0</v>
      </c>
      <c r="BJ110" s="193">
        <f t="shared" si="78"/>
        <v>0</v>
      </c>
      <c r="BK110" s="193">
        <f t="shared" si="78"/>
        <v>0</v>
      </c>
      <c r="BL110" s="193">
        <f t="shared" si="78"/>
        <v>0</v>
      </c>
      <c r="BM110" s="193">
        <f t="shared" si="78"/>
        <v>0</v>
      </c>
      <c r="BN110" s="193">
        <f t="shared" si="78"/>
        <v>0</v>
      </c>
      <c r="BO110" s="193">
        <f t="shared" si="78"/>
        <v>0</v>
      </c>
      <c r="BP110" s="193">
        <f t="shared" si="78"/>
        <v>0</v>
      </c>
      <c r="BQ110" s="193">
        <f t="shared" ref="BQ110:CX110" si="79">SUM(BQ99:BQ107)</f>
        <v>0</v>
      </c>
      <c r="BR110" s="193">
        <f t="shared" si="79"/>
        <v>0</v>
      </c>
      <c r="BS110" s="193">
        <f t="shared" si="79"/>
        <v>0</v>
      </c>
      <c r="BT110" s="193">
        <f t="shared" si="79"/>
        <v>0</v>
      </c>
      <c r="BU110" s="193">
        <f t="shared" si="79"/>
        <v>0</v>
      </c>
      <c r="BV110" s="193">
        <f t="shared" si="79"/>
        <v>0</v>
      </c>
      <c r="BW110" s="193">
        <f t="shared" si="79"/>
        <v>0</v>
      </c>
      <c r="BX110" s="193">
        <f t="shared" si="79"/>
        <v>0</v>
      </c>
      <c r="BY110" s="193">
        <f t="shared" si="79"/>
        <v>0</v>
      </c>
      <c r="BZ110" s="193">
        <f t="shared" si="79"/>
        <v>0</v>
      </c>
      <c r="CA110" s="193">
        <f t="shared" si="79"/>
        <v>0</v>
      </c>
      <c r="CB110" s="193">
        <f t="shared" si="79"/>
        <v>0</v>
      </c>
      <c r="CC110" s="193">
        <f t="shared" si="79"/>
        <v>0</v>
      </c>
      <c r="CD110" s="193">
        <f t="shared" si="79"/>
        <v>0</v>
      </c>
      <c r="CE110" s="193">
        <f t="shared" si="79"/>
        <v>0</v>
      </c>
      <c r="CF110" s="193">
        <f t="shared" si="79"/>
        <v>0</v>
      </c>
      <c r="CG110" s="193">
        <f t="shared" si="79"/>
        <v>0</v>
      </c>
      <c r="CH110" s="193">
        <f t="shared" si="79"/>
        <v>0</v>
      </c>
      <c r="CI110" s="193">
        <f t="shared" si="79"/>
        <v>0</v>
      </c>
      <c r="CJ110" s="193">
        <f t="shared" si="79"/>
        <v>0</v>
      </c>
      <c r="CK110" s="193">
        <f t="shared" si="79"/>
        <v>0</v>
      </c>
      <c r="CL110" s="193">
        <f t="shared" si="79"/>
        <v>0</v>
      </c>
      <c r="CM110" s="193">
        <f t="shared" si="79"/>
        <v>0</v>
      </c>
      <c r="CN110" s="193">
        <f t="shared" si="79"/>
        <v>0</v>
      </c>
      <c r="CO110" s="193">
        <f t="shared" si="79"/>
        <v>0</v>
      </c>
      <c r="CP110" s="193">
        <f t="shared" si="79"/>
        <v>0</v>
      </c>
      <c r="CQ110" s="193">
        <f t="shared" si="79"/>
        <v>0</v>
      </c>
      <c r="CR110" s="193">
        <f t="shared" si="79"/>
        <v>0</v>
      </c>
      <c r="CS110" s="193">
        <f t="shared" si="79"/>
        <v>0</v>
      </c>
      <c r="CT110" s="193">
        <f t="shared" si="79"/>
        <v>0</v>
      </c>
      <c r="CU110" s="193">
        <f t="shared" si="79"/>
        <v>0</v>
      </c>
      <c r="CV110" s="193">
        <f t="shared" si="79"/>
        <v>0</v>
      </c>
      <c r="CW110" s="193">
        <f t="shared" si="79"/>
        <v>0</v>
      </c>
      <c r="CX110" s="193">
        <f t="shared" si="79"/>
        <v>0</v>
      </c>
    </row>
    <row r="111" spans="1:102" ht="20.100000000000001" customHeight="1">
      <c r="A111" s="184"/>
      <c r="B111" s="110"/>
      <c r="C111" s="193"/>
      <c r="D111" s="193"/>
      <c r="E111" s="193"/>
      <c r="F111" s="194"/>
      <c r="G111" s="194"/>
      <c r="H111" s="194"/>
      <c r="I111" s="194"/>
      <c r="J111" s="194"/>
      <c r="K111" s="194"/>
      <c r="L111" s="194"/>
      <c r="M111" s="194"/>
      <c r="N111" s="194"/>
      <c r="O111" s="194"/>
      <c r="P111" s="194"/>
      <c r="Q111" s="194"/>
      <c r="R111" s="194"/>
      <c r="S111" s="194"/>
      <c r="T111" s="194"/>
      <c r="U111" s="194"/>
      <c r="V111" s="194"/>
      <c r="W111" s="194"/>
      <c r="X111" s="193"/>
      <c r="Y111" s="193"/>
      <c r="Z111" s="193"/>
      <c r="AA111" s="193"/>
      <c r="AB111" s="193"/>
      <c r="AC111" s="193"/>
      <c r="AD111" s="193"/>
      <c r="AE111" s="193"/>
      <c r="AF111" s="193"/>
      <c r="AG111" s="193"/>
      <c r="AH111" s="193"/>
      <c r="AI111" s="193"/>
      <c r="AJ111" s="193"/>
      <c r="AK111" s="193"/>
      <c r="AL111" s="193"/>
      <c r="AM111" s="193"/>
      <c r="AN111" s="193"/>
      <c r="AO111" s="193"/>
      <c r="AP111" s="193"/>
      <c r="AQ111" s="193"/>
      <c r="AR111" s="193"/>
      <c r="AS111" s="193"/>
      <c r="AT111" s="193"/>
      <c r="AU111" s="193"/>
      <c r="AV111" s="193"/>
      <c r="AW111" s="193"/>
      <c r="AX111" s="193"/>
      <c r="AY111" s="193"/>
      <c r="AZ111" s="193"/>
      <c r="BA111" s="193"/>
      <c r="BB111" s="193"/>
      <c r="BC111" s="193"/>
      <c r="BD111" s="193"/>
      <c r="BE111" s="193"/>
      <c r="BF111" s="193"/>
      <c r="BG111" s="193"/>
      <c r="BH111" s="193"/>
      <c r="BI111" s="193"/>
      <c r="BJ111" s="193"/>
      <c r="BK111" s="193"/>
      <c r="BL111" s="193"/>
      <c r="BM111" s="193"/>
      <c r="BN111" s="193"/>
      <c r="BO111" s="193"/>
      <c r="BP111" s="193"/>
      <c r="BQ111" s="193"/>
      <c r="BR111" s="193"/>
      <c r="BS111" s="193"/>
      <c r="BT111" s="193"/>
      <c r="BU111" s="193"/>
      <c r="BV111" s="193"/>
      <c r="BW111" s="193"/>
      <c r="BX111" s="193"/>
      <c r="BY111" s="193"/>
      <c r="BZ111" s="193"/>
      <c r="CA111" s="193"/>
      <c r="CB111" s="193"/>
      <c r="CC111" s="193"/>
      <c r="CD111" s="193"/>
      <c r="CE111" s="193"/>
      <c r="CF111" s="193"/>
      <c r="CG111" s="193"/>
      <c r="CH111" s="193"/>
      <c r="CI111" s="193"/>
      <c r="CJ111" s="193"/>
      <c r="CK111" s="193"/>
      <c r="CL111" s="193"/>
      <c r="CM111" s="193"/>
      <c r="CN111" s="193"/>
      <c r="CO111" s="193"/>
      <c r="CP111" s="193"/>
      <c r="CQ111" s="193"/>
      <c r="CR111" s="193"/>
      <c r="CS111" s="193"/>
      <c r="CT111" s="193"/>
      <c r="CU111" s="193"/>
      <c r="CV111" s="193"/>
      <c r="CW111" s="193"/>
      <c r="CX111" s="193"/>
    </row>
    <row r="112" spans="1:102" ht="20.100000000000001" customHeight="1">
      <c r="A112" s="184"/>
      <c r="B112" s="103" t="s">
        <v>285</v>
      </c>
      <c r="C112" s="193"/>
      <c r="D112" s="193"/>
      <c r="E112" s="193"/>
      <c r="F112" s="194"/>
      <c r="G112" s="194"/>
      <c r="H112" s="194"/>
      <c r="I112" s="194"/>
      <c r="J112" s="194"/>
      <c r="K112" s="194"/>
      <c r="L112" s="194"/>
      <c r="M112" s="194"/>
      <c r="N112" s="194"/>
      <c r="O112" s="194"/>
      <c r="P112" s="194"/>
      <c r="Q112" s="194"/>
      <c r="R112" s="194"/>
      <c r="S112" s="194"/>
      <c r="T112" s="194"/>
      <c r="U112" s="194"/>
      <c r="V112" s="194"/>
      <c r="W112" s="194"/>
      <c r="X112" s="193"/>
      <c r="Y112" s="193"/>
      <c r="Z112" s="193"/>
      <c r="AA112" s="193"/>
      <c r="AB112" s="193"/>
      <c r="AC112" s="193"/>
      <c r="AD112" s="193"/>
      <c r="AE112" s="193"/>
      <c r="AF112" s="193"/>
      <c r="AG112" s="193"/>
      <c r="AH112" s="193"/>
      <c r="AI112" s="193"/>
      <c r="AJ112" s="193"/>
      <c r="AK112" s="193"/>
      <c r="AL112" s="193"/>
      <c r="AM112" s="193"/>
      <c r="AN112" s="193"/>
      <c r="AO112" s="193"/>
      <c r="AP112" s="193"/>
      <c r="AQ112" s="193"/>
      <c r="AR112" s="193"/>
      <c r="AS112" s="193"/>
      <c r="AT112" s="193"/>
      <c r="AU112" s="193"/>
      <c r="AV112" s="193"/>
      <c r="AW112" s="193"/>
      <c r="AX112" s="193"/>
      <c r="AY112" s="193"/>
      <c r="AZ112" s="193"/>
      <c r="BA112" s="193"/>
      <c r="BB112" s="193"/>
      <c r="BC112" s="193"/>
      <c r="BD112" s="193"/>
      <c r="BE112" s="193"/>
      <c r="BF112" s="193"/>
      <c r="BG112" s="193"/>
      <c r="BH112" s="193"/>
      <c r="BI112" s="193"/>
      <c r="BJ112" s="193"/>
      <c r="BK112" s="193"/>
      <c r="BL112" s="193"/>
      <c r="BM112" s="193"/>
      <c r="BN112" s="193"/>
      <c r="BO112" s="193"/>
      <c r="BP112" s="193"/>
      <c r="BQ112" s="193"/>
      <c r="BR112" s="193"/>
      <c r="BS112" s="193"/>
      <c r="BT112" s="193"/>
      <c r="BU112" s="193"/>
      <c r="BV112" s="193"/>
      <c r="BW112" s="193"/>
      <c r="BX112" s="193"/>
      <c r="BY112" s="193"/>
      <c r="BZ112" s="193"/>
      <c r="CA112" s="193"/>
      <c r="CB112" s="193"/>
      <c r="CC112" s="193"/>
      <c r="CD112" s="193"/>
      <c r="CE112" s="193"/>
      <c r="CF112" s="193"/>
      <c r="CG112" s="193"/>
      <c r="CH112" s="193"/>
      <c r="CI112" s="193"/>
      <c r="CJ112" s="193"/>
      <c r="CK112" s="193"/>
      <c r="CL112" s="193"/>
      <c r="CM112" s="193"/>
      <c r="CN112" s="193"/>
      <c r="CO112" s="193"/>
      <c r="CP112" s="193"/>
      <c r="CQ112" s="193"/>
      <c r="CR112" s="193"/>
      <c r="CS112" s="193"/>
      <c r="CT112" s="193"/>
      <c r="CU112" s="193"/>
      <c r="CV112" s="193"/>
      <c r="CW112" s="193"/>
      <c r="CX112" s="193"/>
    </row>
    <row r="113" spans="1:103" ht="20.100000000000001" customHeight="1">
      <c r="A113" s="184">
        <f>SUM(C113:CX113)</f>
        <v>107497278.11831588</v>
      </c>
      <c r="B113" s="110" t="s">
        <v>286</v>
      </c>
      <c r="C113" s="193">
        <f>C109*C$79</f>
        <v>107497278.11831588</v>
      </c>
      <c r="D113" s="193">
        <f t="shared" ref="D113:BO113" si="80">D109*D$79</f>
        <v>0</v>
      </c>
      <c r="E113" s="193">
        <f t="shared" si="80"/>
        <v>0</v>
      </c>
      <c r="F113" s="193">
        <f t="shared" si="80"/>
        <v>0</v>
      </c>
      <c r="G113" s="193">
        <f t="shared" si="80"/>
        <v>0</v>
      </c>
      <c r="H113" s="193">
        <f t="shared" si="80"/>
        <v>0</v>
      </c>
      <c r="I113" s="193">
        <f t="shared" si="80"/>
        <v>0</v>
      </c>
      <c r="J113" s="193">
        <f t="shared" si="80"/>
        <v>0</v>
      </c>
      <c r="K113" s="193">
        <f t="shared" si="80"/>
        <v>0</v>
      </c>
      <c r="L113" s="193">
        <f t="shared" si="80"/>
        <v>0</v>
      </c>
      <c r="M113" s="193">
        <f t="shared" si="80"/>
        <v>0</v>
      </c>
      <c r="N113" s="193">
        <f t="shared" si="80"/>
        <v>0</v>
      </c>
      <c r="O113" s="193">
        <f t="shared" si="80"/>
        <v>0</v>
      </c>
      <c r="P113" s="193">
        <f t="shared" si="80"/>
        <v>0</v>
      </c>
      <c r="Q113" s="193">
        <f t="shared" si="80"/>
        <v>0</v>
      </c>
      <c r="R113" s="193">
        <f t="shared" si="80"/>
        <v>0</v>
      </c>
      <c r="S113" s="193">
        <f t="shared" si="80"/>
        <v>0</v>
      </c>
      <c r="T113" s="193">
        <f t="shared" si="80"/>
        <v>0</v>
      </c>
      <c r="U113" s="193">
        <f t="shared" si="80"/>
        <v>0</v>
      </c>
      <c r="V113" s="193">
        <f t="shared" si="80"/>
        <v>0</v>
      </c>
      <c r="W113" s="193">
        <f t="shared" si="80"/>
        <v>0</v>
      </c>
      <c r="X113" s="193">
        <f t="shared" si="80"/>
        <v>0</v>
      </c>
      <c r="Y113" s="193">
        <f t="shared" si="80"/>
        <v>0</v>
      </c>
      <c r="Z113" s="193">
        <f t="shared" si="80"/>
        <v>0</v>
      </c>
      <c r="AA113" s="193">
        <f t="shared" si="80"/>
        <v>0</v>
      </c>
      <c r="AB113" s="193">
        <f t="shared" si="80"/>
        <v>0</v>
      </c>
      <c r="AC113" s="193">
        <f t="shared" si="80"/>
        <v>0</v>
      </c>
      <c r="AD113" s="193">
        <f t="shared" si="80"/>
        <v>0</v>
      </c>
      <c r="AE113" s="193">
        <f t="shared" si="80"/>
        <v>0</v>
      </c>
      <c r="AF113" s="193">
        <f t="shared" si="80"/>
        <v>0</v>
      </c>
      <c r="AG113" s="193">
        <f t="shared" si="80"/>
        <v>0</v>
      </c>
      <c r="AH113" s="193">
        <f t="shared" si="80"/>
        <v>0</v>
      </c>
      <c r="AI113" s="193">
        <f t="shared" si="80"/>
        <v>0</v>
      </c>
      <c r="AJ113" s="193">
        <f t="shared" si="80"/>
        <v>0</v>
      </c>
      <c r="AK113" s="193">
        <f t="shared" si="80"/>
        <v>0</v>
      </c>
      <c r="AL113" s="193">
        <f t="shared" si="80"/>
        <v>0</v>
      </c>
      <c r="AM113" s="193">
        <f t="shared" si="80"/>
        <v>0</v>
      </c>
      <c r="AN113" s="193">
        <f t="shared" si="80"/>
        <v>0</v>
      </c>
      <c r="AO113" s="193">
        <f t="shared" si="80"/>
        <v>0</v>
      </c>
      <c r="AP113" s="193">
        <f t="shared" si="80"/>
        <v>0</v>
      </c>
      <c r="AQ113" s="193">
        <f t="shared" si="80"/>
        <v>0</v>
      </c>
      <c r="AR113" s="193">
        <f t="shared" si="80"/>
        <v>0</v>
      </c>
      <c r="AS113" s="193">
        <f t="shared" si="80"/>
        <v>0</v>
      </c>
      <c r="AT113" s="193">
        <f t="shared" si="80"/>
        <v>0</v>
      </c>
      <c r="AU113" s="193">
        <f t="shared" si="80"/>
        <v>0</v>
      </c>
      <c r="AV113" s="193">
        <f t="shared" si="80"/>
        <v>0</v>
      </c>
      <c r="AW113" s="193">
        <f t="shared" si="80"/>
        <v>0</v>
      </c>
      <c r="AX113" s="193">
        <f t="shared" si="80"/>
        <v>0</v>
      </c>
      <c r="AY113" s="193">
        <f t="shared" si="80"/>
        <v>0</v>
      </c>
      <c r="AZ113" s="193">
        <f t="shared" si="80"/>
        <v>0</v>
      </c>
      <c r="BA113" s="193">
        <f t="shared" si="80"/>
        <v>0</v>
      </c>
      <c r="BB113" s="193">
        <f t="shared" si="80"/>
        <v>0</v>
      </c>
      <c r="BC113" s="193">
        <f t="shared" si="80"/>
        <v>0</v>
      </c>
      <c r="BD113" s="193">
        <f t="shared" si="80"/>
        <v>0</v>
      </c>
      <c r="BE113" s="193">
        <f t="shared" si="80"/>
        <v>0</v>
      </c>
      <c r="BF113" s="193">
        <f t="shared" si="80"/>
        <v>0</v>
      </c>
      <c r="BG113" s="193">
        <f t="shared" si="80"/>
        <v>0</v>
      </c>
      <c r="BH113" s="193">
        <f t="shared" si="80"/>
        <v>0</v>
      </c>
      <c r="BI113" s="193">
        <f t="shared" si="80"/>
        <v>0</v>
      </c>
      <c r="BJ113" s="193">
        <f t="shared" si="80"/>
        <v>0</v>
      </c>
      <c r="BK113" s="193">
        <f t="shared" si="80"/>
        <v>0</v>
      </c>
      <c r="BL113" s="193">
        <f t="shared" si="80"/>
        <v>0</v>
      </c>
      <c r="BM113" s="193">
        <f t="shared" si="80"/>
        <v>0</v>
      </c>
      <c r="BN113" s="193">
        <f t="shared" si="80"/>
        <v>0</v>
      </c>
      <c r="BO113" s="193">
        <f t="shared" si="80"/>
        <v>0</v>
      </c>
      <c r="BP113" s="193">
        <f t="shared" ref="BP113:CX113" si="81">BP109*BP$79</f>
        <v>0</v>
      </c>
      <c r="BQ113" s="193">
        <f t="shared" si="81"/>
        <v>0</v>
      </c>
      <c r="BR113" s="193">
        <f t="shared" si="81"/>
        <v>0</v>
      </c>
      <c r="BS113" s="193">
        <f t="shared" si="81"/>
        <v>0</v>
      </c>
      <c r="BT113" s="193">
        <f t="shared" si="81"/>
        <v>0</v>
      </c>
      <c r="BU113" s="193">
        <f t="shared" si="81"/>
        <v>0</v>
      </c>
      <c r="BV113" s="193">
        <f t="shared" si="81"/>
        <v>0</v>
      </c>
      <c r="BW113" s="193">
        <f t="shared" si="81"/>
        <v>0</v>
      </c>
      <c r="BX113" s="193">
        <f t="shared" si="81"/>
        <v>0</v>
      </c>
      <c r="BY113" s="193">
        <f t="shared" si="81"/>
        <v>0</v>
      </c>
      <c r="BZ113" s="193">
        <f t="shared" si="81"/>
        <v>0</v>
      </c>
      <c r="CA113" s="193">
        <f t="shared" si="81"/>
        <v>0</v>
      </c>
      <c r="CB113" s="193">
        <f t="shared" si="81"/>
        <v>0</v>
      </c>
      <c r="CC113" s="193">
        <f t="shared" si="81"/>
        <v>0</v>
      </c>
      <c r="CD113" s="193">
        <f t="shared" si="81"/>
        <v>0</v>
      </c>
      <c r="CE113" s="193">
        <f t="shared" si="81"/>
        <v>0</v>
      </c>
      <c r="CF113" s="193">
        <f t="shared" si="81"/>
        <v>0</v>
      </c>
      <c r="CG113" s="193">
        <f t="shared" si="81"/>
        <v>0</v>
      </c>
      <c r="CH113" s="193">
        <f t="shared" si="81"/>
        <v>0</v>
      </c>
      <c r="CI113" s="193">
        <f t="shared" si="81"/>
        <v>0</v>
      </c>
      <c r="CJ113" s="193">
        <f t="shared" si="81"/>
        <v>0</v>
      </c>
      <c r="CK113" s="193">
        <f t="shared" si="81"/>
        <v>0</v>
      </c>
      <c r="CL113" s="193">
        <f t="shared" si="81"/>
        <v>0</v>
      </c>
      <c r="CM113" s="193">
        <f t="shared" si="81"/>
        <v>0</v>
      </c>
      <c r="CN113" s="193">
        <f t="shared" si="81"/>
        <v>0</v>
      </c>
      <c r="CO113" s="193">
        <f t="shared" si="81"/>
        <v>0</v>
      </c>
      <c r="CP113" s="193">
        <f t="shared" si="81"/>
        <v>0</v>
      </c>
      <c r="CQ113" s="193">
        <f t="shared" si="81"/>
        <v>0</v>
      </c>
      <c r="CR113" s="193">
        <f t="shared" si="81"/>
        <v>0</v>
      </c>
      <c r="CS113" s="193">
        <f t="shared" si="81"/>
        <v>0</v>
      </c>
      <c r="CT113" s="193">
        <f t="shared" si="81"/>
        <v>0</v>
      </c>
      <c r="CU113" s="193">
        <f t="shared" si="81"/>
        <v>0</v>
      </c>
      <c r="CV113" s="193">
        <f t="shared" si="81"/>
        <v>0</v>
      </c>
      <c r="CW113" s="193">
        <f t="shared" si="81"/>
        <v>0</v>
      </c>
      <c r="CX113" s="193">
        <f t="shared" si="81"/>
        <v>0</v>
      </c>
      <c r="CY113" s="193"/>
    </row>
    <row r="114" spans="1:103" ht="20.100000000000001" customHeight="1">
      <c r="A114" s="184">
        <f t="shared" ref="A114" si="82">SUM(C114:CX114)</f>
        <v>1010210481.9819376</v>
      </c>
      <c r="B114" s="110" t="s">
        <v>152</v>
      </c>
      <c r="C114" s="193">
        <f>C110*C$79</f>
        <v>0</v>
      </c>
      <c r="D114" s="193">
        <f t="shared" ref="D114:BO114" si="83">D110*D$79</f>
        <v>24043051.683646038</v>
      </c>
      <c r="E114" s="193">
        <f t="shared" si="83"/>
        <v>24596041.872369893</v>
      </c>
      <c r="F114" s="193">
        <f t="shared" si="83"/>
        <v>25161750.835434396</v>
      </c>
      <c r="G114" s="193">
        <f t="shared" si="83"/>
        <v>25740471.104649387</v>
      </c>
      <c r="H114" s="193">
        <f t="shared" si="83"/>
        <v>26332501.94005632</v>
      </c>
      <c r="I114" s="193">
        <f t="shared" si="83"/>
        <v>26938149.484677609</v>
      </c>
      <c r="J114" s="193">
        <f t="shared" si="83"/>
        <v>27557726.922825195</v>
      </c>
      <c r="K114" s="193">
        <f t="shared" si="83"/>
        <v>28191554.642050173</v>
      </c>
      <c r="L114" s="193">
        <f t="shared" si="83"/>
        <v>28839960.398817323</v>
      </c>
      <c r="M114" s="193">
        <f t="shared" si="83"/>
        <v>29503279.487990119</v>
      </c>
      <c r="N114" s="193">
        <f t="shared" si="83"/>
        <v>30181854.916213889</v>
      </c>
      <c r="O114" s="193">
        <f t="shared" si="83"/>
        <v>30876037.579286806</v>
      </c>
      <c r="P114" s="193">
        <f t="shared" si="83"/>
        <v>31586186.4436104</v>
      </c>
      <c r="Q114" s="193">
        <f t="shared" si="83"/>
        <v>32312668.731813438</v>
      </c>
      <c r="R114" s="193">
        <f t="shared" si="83"/>
        <v>33055860.112645142</v>
      </c>
      <c r="S114" s="193">
        <f t="shared" si="83"/>
        <v>33816144.895235978</v>
      </c>
      <c r="T114" s="193">
        <f t="shared" si="83"/>
        <v>34593916.227826402</v>
      </c>
      <c r="U114" s="193">
        <f t="shared" si="83"/>
        <v>35389576.301066406</v>
      </c>
      <c r="V114" s="193">
        <f t="shared" si="83"/>
        <v>36203536.555990927</v>
      </c>
      <c r="W114" s="193">
        <f t="shared" si="83"/>
        <v>37036217.89677871</v>
      </c>
      <c r="X114" s="193">
        <f t="shared" si="83"/>
        <v>37888050.908404626</v>
      </c>
      <c r="Y114" s="193">
        <f t="shared" si="83"/>
        <v>38759476.079297923</v>
      </c>
      <c r="Z114" s="193">
        <f t="shared" si="83"/>
        <v>39650944.029121779</v>
      </c>
      <c r="AA114" s="193">
        <f t="shared" si="83"/>
        <v>40562915.741791576</v>
      </c>
      <c r="AB114" s="193">
        <f t="shared" si="83"/>
        <v>41495862.803852774</v>
      </c>
      <c r="AC114" s="193">
        <f t="shared" si="83"/>
        <v>42450267.64834138</v>
      </c>
      <c r="AD114" s="193">
        <f t="shared" si="83"/>
        <v>43426623.804253228</v>
      </c>
      <c r="AE114" s="193">
        <f t="shared" si="83"/>
        <v>44425436.151751049</v>
      </c>
      <c r="AF114" s="193">
        <f t="shared" si="83"/>
        <v>45447221.183241323</v>
      </c>
      <c r="AG114" s="193">
        <f t="shared" si="83"/>
        <v>34147195.598897465</v>
      </c>
      <c r="AH114" s="193">
        <f t="shared" si="83"/>
        <v>0</v>
      </c>
      <c r="AI114" s="193">
        <f t="shared" si="83"/>
        <v>0</v>
      </c>
      <c r="AJ114" s="193">
        <f t="shared" si="83"/>
        <v>0</v>
      </c>
      <c r="AK114" s="193">
        <f t="shared" si="83"/>
        <v>0</v>
      </c>
      <c r="AL114" s="193">
        <f t="shared" si="83"/>
        <v>0</v>
      </c>
      <c r="AM114" s="193">
        <f t="shared" si="83"/>
        <v>0</v>
      </c>
      <c r="AN114" s="193">
        <f t="shared" si="83"/>
        <v>0</v>
      </c>
      <c r="AO114" s="193">
        <f t="shared" si="83"/>
        <v>0</v>
      </c>
      <c r="AP114" s="193">
        <f t="shared" si="83"/>
        <v>0</v>
      </c>
      <c r="AQ114" s="193">
        <f t="shared" si="83"/>
        <v>0</v>
      </c>
      <c r="AR114" s="193">
        <f t="shared" si="83"/>
        <v>0</v>
      </c>
      <c r="AS114" s="193">
        <f t="shared" si="83"/>
        <v>0</v>
      </c>
      <c r="AT114" s="193">
        <f t="shared" si="83"/>
        <v>0</v>
      </c>
      <c r="AU114" s="193">
        <f t="shared" si="83"/>
        <v>0</v>
      </c>
      <c r="AV114" s="193">
        <f t="shared" si="83"/>
        <v>0</v>
      </c>
      <c r="AW114" s="193">
        <f t="shared" si="83"/>
        <v>0</v>
      </c>
      <c r="AX114" s="193">
        <f t="shared" si="83"/>
        <v>0</v>
      </c>
      <c r="AY114" s="193">
        <f t="shared" si="83"/>
        <v>0</v>
      </c>
      <c r="AZ114" s="193">
        <f t="shared" si="83"/>
        <v>0</v>
      </c>
      <c r="BA114" s="193">
        <f t="shared" si="83"/>
        <v>0</v>
      </c>
      <c r="BB114" s="193">
        <f t="shared" si="83"/>
        <v>0</v>
      </c>
      <c r="BC114" s="193">
        <f t="shared" si="83"/>
        <v>0</v>
      </c>
      <c r="BD114" s="193">
        <f t="shared" si="83"/>
        <v>0</v>
      </c>
      <c r="BE114" s="193">
        <f t="shared" si="83"/>
        <v>0</v>
      </c>
      <c r="BF114" s="193">
        <f t="shared" si="83"/>
        <v>0</v>
      </c>
      <c r="BG114" s="193">
        <f t="shared" si="83"/>
        <v>0</v>
      </c>
      <c r="BH114" s="193">
        <f t="shared" si="83"/>
        <v>0</v>
      </c>
      <c r="BI114" s="193">
        <f t="shared" si="83"/>
        <v>0</v>
      </c>
      <c r="BJ114" s="193">
        <f t="shared" si="83"/>
        <v>0</v>
      </c>
      <c r="BK114" s="193">
        <f t="shared" si="83"/>
        <v>0</v>
      </c>
      <c r="BL114" s="193">
        <f t="shared" si="83"/>
        <v>0</v>
      </c>
      <c r="BM114" s="193">
        <f t="shared" si="83"/>
        <v>0</v>
      </c>
      <c r="BN114" s="193">
        <f t="shared" si="83"/>
        <v>0</v>
      </c>
      <c r="BO114" s="193">
        <f t="shared" si="83"/>
        <v>0</v>
      </c>
      <c r="BP114" s="193">
        <f t="shared" ref="BP114:CX114" si="84">BP110*BP$79</f>
        <v>0</v>
      </c>
      <c r="BQ114" s="193">
        <f t="shared" si="84"/>
        <v>0</v>
      </c>
      <c r="BR114" s="193">
        <f t="shared" si="84"/>
        <v>0</v>
      </c>
      <c r="BS114" s="193">
        <f t="shared" si="84"/>
        <v>0</v>
      </c>
      <c r="BT114" s="193">
        <f t="shared" si="84"/>
        <v>0</v>
      </c>
      <c r="BU114" s="193">
        <f t="shared" si="84"/>
        <v>0</v>
      </c>
      <c r="BV114" s="193">
        <f t="shared" si="84"/>
        <v>0</v>
      </c>
      <c r="BW114" s="193">
        <f t="shared" si="84"/>
        <v>0</v>
      </c>
      <c r="BX114" s="193">
        <f t="shared" si="84"/>
        <v>0</v>
      </c>
      <c r="BY114" s="193">
        <f t="shared" si="84"/>
        <v>0</v>
      </c>
      <c r="BZ114" s="193">
        <f t="shared" si="84"/>
        <v>0</v>
      </c>
      <c r="CA114" s="193">
        <f t="shared" si="84"/>
        <v>0</v>
      </c>
      <c r="CB114" s="193">
        <f t="shared" si="84"/>
        <v>0</v>
      </c>
      <c r="CC114" s="193">
        <f t="shared" si="84"/>
        <v>0</v>
      </c>
      <c r="CD114" s="193">
        <f t="shared" si="84"/>
        <v>0</v>
      </c>
      <c r="CE114" s="193">
        <f t="shared" si="84"/>
        <v>0</v>
      </c>
      <c r="CF114" s="193">
        <f t="shared" si="84"/>
        <v>0</v>
      </c>
      <c r="CG114" s="193">
        <f t="shared" si="84"/>
        <v>0</v>
      </c>
      <c r="CH114" s="193">
        <f t="shared" si="84"/>
        <v>0</v>
      </c>
      <c r="CI114" s="193">
        <f t="shared" si="84"/>
        <v>0</v>
      </c>
      <c r="CJ114" s="193">
        <f t="shared" si="84"/>
        <v>0</v>
      </c>
      <c r="CK114" s="193">
        <f t="shared" si="84"/>
        <v>0</v>
      </c>
      <c r="CL114" s="193">
        <f t="shared" si="84"/>
        <v>0</v>
      </c>
      <c r="CM114" s="193">
        <f t="shared" si="84"/>
        <v>0</v>
      </c>
      <c r="CN114" s="193">
        <f t="shared" si="84"/>
        <v>0</v>
      </c>
      <c r="CO114" s="193">
        <f t="shared" si="84"/>
        <v>0</v>
      </c>
      <c r="CP114" s="193">
        <f t="shared" si="84"/>
        <v>0</v>
      </c>
      <c r="CQ114" s="193">
        <f t="shared" si="84"/>
        <v>0</v>
      </c>
      <c r="CR114" s="193">
        <f t="shared" si="84"/>
        <v>0</v>
      </c>
      <c r="CS114" s="193">
        <f t="shared" si="84"/>
        <v>0</v>
      </c>
      <c r="CT114" s="193">
        <f t="shared" si="84"/>
        <v>0</v>
      </c>
      <c r="CU114" s="193">
        <f t="shared" si="84"/>
        <v>0</v>
      </c>
      <c r="CV114" s="193">
        <f t="shared" si="84"/>
        <v>0</v>
      </c>
      <c r="CW114" s="193">
        <f t="shared" si="84"/>
        <v>0</v>
      </c>
      <c r="CX114" s="193">
        <f t="shared" si="84"/>
        <v>0</v>
      </c>
      <c r="CY114" s="193"/>
    </row>
    <row r="115" spans="1:103" ht="20.100000000000001" customHeight="1">
      <c r="A115" s="184"/>
      <c r="B115" s="110"/>
      <c r="C115" s="193"/>
      <c r="D115" s="193"/>
      <c r="E115" s="193"/>
      <c r="F115" s="194"/>
      <c r="G115" s="194"/>
      <c r="H115" s="194"/>
      <c r="I115" s="194"/>
      <c r="J115" s="194"/>
      <c r="K115" s="194"/>
      <c r="L115" s="194"/>
      <c r="M115" s="194"/>
      <c r="N115" s="194"/>
      <c r="O115" s="194"/>
      <c r="P115" s="194"/>
      <c r="Q115" s="194"/>
      <c r="R115" s="194"/>
      <c r="S115" s="194"/>
      <c r="T115" s="194"/>
      <c r="U115" s="194"/>
      <c r="V115" s="194"/>
      <c r="W115" s="194"/>
      <c r="X115" s="193"/>
      <c r="Y115" s="193"/>
      <c r="Z115" s="193"/>
      <c r="AA115" s="193"/>
      <c r="AB115" s="193"/>
      <c r="AC115" s="193"/>
      <c r="AD115" s="193"/>
      <c r="AE115" s="193"/>
      <c r="AF115" s="193"/>
      <c r="AG115" s="193"/>
      <c r="AH115" s="193"/>
      <c r="AI115" s="193"/>
      <c r="AJ115" s="193"/>
      <c r="AK115" s="193"/>
      <c r="AL115" s="193"/>
      <c r="AM115" s="193"/>
      <c r="AN115" s="193"/>
      <c r="AO115" s="193"/>
      <c r="AP115" s="193"/>
      <c r="AQ115" s="193"/>
      <c r="AR115" s="193"/>
      <c r="AS115" s="193"/>
      <c r="AT115" s="193"/>
      <c r="AU115" s="193"/>
      <c r="AV115" s="193"/>
      <c r="AW115" s="193"/>
      <c r="AX115" s="193"/>
      <c r="AY115" s="193"/>
      <c r="AZ115" s="193"/>
      <c r="BA115" s="193"/>
      <c r="BB115" s="193"/>
      <c r="BC115" s="193"/>
      <c r="BD115" s="193"/>
      <c r="BE115" s="193"/>
      <c r="BF115" s="193"/>
      <c r="BG115" s="193"/>
      <c r="BH115" s="193"/>
      <c r="BI115" s="193"/>
      <c r="BJ115" s="193"/>
      <c r="BK115" s="193"/>
      <c r="BL115" s="193"/>
      <c r="BM115" s="193"/>
      <c r="BN115" s="193"/>
      <c r="BO115" s="193"/>
      <c r="BP115" s="193"/>
      <c r="BQ115" s="193"/>
      <c r="BR115" s="193"/>
      <c r="BS115" s="193"/>
      <c r="BT115" s="193"/>
      <c r="BU115" s="193"/>
      <c r="BV115" s="193"/>
      <c r="BW115" s="193"/>
      <c r="BX115" s="193"/>
      <c r="BY115" s="193"/>
      <c r="BZ115" s="193"/>
      <c r="CA115" s="193"/>
      <c r="CB115" s="193"/>
      <c r="CC115" s="193"/>
      <c r="CD115" s="193"/>
      <c r="CE115" s="193"/>
      <c r="CF115" s="193"/>
      <c r="CG115" s="193"/>
      <c r="CH115" s="193"/>
      <c r="CI115" s="193"/>
      <c r="CJ115" s="193"/>
      <c r="CK115" s="193"/>
      <c r="CL115" s="193"/>
      <c r="CM115" s="193"/>
      <c r="CN115" s="193"/>
      <c r="CO115" s="193"/>
      <c r="CP115" s="193"/>
      <c r="CQ115" s="193"/>
      <c r="CR115" s="193"/>
      <c r="CS115" s="193"/>
      <c r="CT115" s="193"/>
      <c r="CU115" s="193"/>
      <c r="CV115" s="193"/>
      <c r="CW115" s="193"/>
      <c r="CX115" s="193"/>
    </row>
    <row r="116" spans="1:103" ht="20.100000000000001" customHeight="1">
      <c r="A116" s="184"/>
      <c r="B116" s="103" t="s">
        <v>153</v>
      </c>
      <c r="C116" s="193"/>
      <c r="D116" s="193"/>
      <c r="E116" s="193"/>
      <c r="F116" s="194"/>
      <c r="G116" s="194"/>
      <c r="H116" s="194"/>
      <c r="I116" s="194"/>
      <c r="J116" s="194"/>
      <c r="K116" s="194"/>
      <c r="L116" s="194"/>
      <c r="M116" s="194"/>
      <c r="N116" s="194"/>
      <c r="O116" s="194"/>
      <c r="P116" s="194"/>
      <c r="Q116" s="194"/>
      <c r="R116" s="194"/>
      <c r="S116" s="194"/>
      <c r="T116" s="194"/>
      <c r="U116" s="194"/>
      <c r="V116" s="194"/>
      <c r="W116" s="194"/>
      <c r="X116" s="193"/>
      <c r="Y116" s="193"/>
      <c r="Z116" s="193"/>
      <c r="AA116" s="193"/>
      <c r="AB116" s="193"/>
      <c r="AC116" s="193"/>
      <c r="AD116" s="193"/>
      <c r="AE116" s="193"/>
      <c r="AF116" s="193"/>
      <c r="AG116" s="193"/>
      <c r="AH116" s="193"/>
      <c r="AI116" s="193"/>
      <c r="AJ116" s="193"/>
      <c r="AK116" s="193"/>
      <c r="AL116" s="193"/>
      <c r="AM116" s="193"/>
      <c r="AN116" s="193"/>
      <c r="AO116" s="193"/>
      <c r="AP116" s="193"/>
      <c r="AQ116" s="193"/>
      <c r="AR116" s="193"/>
      <c r="AS116" s="193"/>
      <c r="AT116" s="193"/>
      <c r="AU116" s="193"/>
      <c r="AV116" s="193"/>
      <c r="AW116" s="193"/>
      <c r="AX116" s="193"/>
      <c r="AY116" s="193"/>
      <c r="AZ116" s="193"/>
      <c r="BA116" s="193"/>
      <c r="BB116" s="193"/>
      <c r="BC116" s="193"/>
      <c r="BD116" s="193"/>
      <c r="BE116" s="193"/>
      <c r="BF116" s="193"/>
      <c r="BG116" s="193"/>
      <c r="BH116" s="193"/>
      <c r="BI116" s="193"/>
      <c r="BJ116" s="193"/>
      <c r="BK116" s="193"/>
      <c r="BL116" s="193"/>
      <c r="BM116" s="193"/>
      <c r="BN116" s="193"/>
      <c r="BO116" s="193"/>
      <c r="BP116" s="193"/>
      <c r="BQ116" s="193"/>
      <c r="BR116" s="193"/>
      <c r="BS116" s="193"/>
      <c r="BT116" s="193"/>
      <c r="BU116" s="193"/>
      <c r="BV116" s="193"/>
      <c r="BW116" s="193"/>
      <c r="BX116" s="193"/>
      <c r="BY116" s="193"/>
      <c r="BZ116" s="193"/>
      <c r="CA116" s="193"/>
      <c r="CB116" s="193"/>
      <c r="CC116" s="193"/>
      <c r="CD116" s="193"/>
      <c r="CE116" s="193"/>
      <c r="CF116" s="193"/>
      <c r="CG116" s="193"/>
      <c r="CH116" s="193"/>
      <c r="CI116" s="193"/>
      <c r="CJ116" s="193"/>
      <c r="CK116" s="193"/>
      <c r="CL116" s="193"/>
      <c r="CM116" s="193"/>
      <c r="CN116" s="193"/>
      <c r="CO116" s="193"/>
      <c r="CP116" s="193"/>
      <c r="CQ116" s="193"/>
      <c r="CR116" s="193"/>
      <c r="CS116" s="193"/>
      <c r="CT116" s="193"/>
      <c r="CU116" s="193"/>
      <c r="CV116" s="193"/>
      <c r="CW116" s="193"/>
      <c r="CX116" s="193"/>
    </row>
    <row r="117" spans="1:103" ht="20.100000000000001" customHeight="1">
      <c r="A117" s="184">
        <f>SUM(C117:CX117)</f>
        <v>107497278.11831588</v>
      </c>
      <c r="B117" s="110" t="s">
        <v>154</v>
      </c>
      <c r="C117" s="193">
        <f>C109*C$80</f>
        <v>107497278.11831588</v>
      </c>
      <c r="D117" s="193">
        <f t="shared" ref="D117:BO117" si="85">D109*D$80</f>
        <v>0</v>
      </c>
      <c r="E117" s="193">
        <f t="shared" si="85"/>
        <v>0</v>
      </c>
      <c r="F117" s="193">
        <f t="shared" si="85"/>
        <v>0</v>
      </c>
      <c r="G117" s="193">
        <f t="shared" si="85"/>
        <v>0</v>
      </c>
      <c r="H117" s="193">
        <f t="shared" si="85"/>
        <v>0</v>
      </c>
      <c r="I117" s="193">
        <f t="shared" si="85"/>
        <v>0</v>
      </c>
      <c r="J117" s="193">
        <f t="shared" si="85"/>
        <v>0</v>
      </c>
      <c r="K117" s="193">
        <f t="shared" si="85"/>
        <v>0</v>
      </c>
      <c r="L117" s="193">
        <f t="shared" si="85"/>
        <v>0</v>
      </c>
      <c r="M117" s="193">
        <f t="shared" si="85"/>
        <v>0</v>
      </c>
      <c r="N117" s="193">
        <f t="shared" si="85"/>
        <v>0</v>
      </c>
      <c r="O117" s="193">
        <f t="shared" si="85"/>
        <v>0</v>
      </c>
      <c r="P117" s="193">
        <f t="shared" si="85"/>
        <v>0</v>
      </c>
      <c r="Q117" s="193">
        <f t="shared" si="85"/>
        <v>0</v>
      </c>
      <c r="R117" s="193">
        <f t="shared" si="85"/>
        <v>0</v>
      </c>
      <c r="S117" s="193">
        <f t="shared" si="85"/>
        <v>0</v>
      </c>
      <c r="T117" s="193">
        <f t="shared" si="85"/>
        <v>0</v>
      </c>
      <c r="U117" s="193">
        <f t="shared" si="85"/>
        <v>0</v>
      </c>
      <c r="V117" s="193">
        <f t="shared" si="85"/>
        <v>0</v>
      </c>
      <c r="W117" s="193">
        <f t="shared" si="85"/>
        <v>0</v>
      </c>
      <c r="X117" s="193">
        <f t="shared" si="85"/>
        <v>0</v>
      </c>
      <c r="Y117" s="193">
        <f t="shared" si="85"/>
        <v>0</v>
      </c>
      <c r="Z117" s="193">
        <f t="shared" si="85"/>
        <v>0</v>
      </c>
      <c r="AA117" s="193">
        <f t="shared" si="85"/>
        <v>0</v>
      </c>
      <c r="AB117" s="193">
        <f t="shared" si="85"/>
        <v>0</v>
      </c>
      <c r="AC117" s="193">
        <f t="shared" si="85"/>
        <v>0</v>
      </c>
      <c r="AD117" s="193">
        <f t="shared" si="85"/>
        <v>0</v>
      </c>
      <c r="AE117" s="193">
        <f t="shared" si="85"/>
        <v>0</v>
      </c>
      <c r="AF117" s="193">
        <f t="shared" si="85"/>
        <v>0</v>
      </c>
      <c r="AG117" s="193">
        <f t="shared" si="85"/>
        <v>0</v>
      </c>
      <c r="AH117" s="193">
        <f t="shared" si="85"/>
        <v>0</v>
      </c>
      <c r="AI117" s="193">
        <f t="shared" si="85"/>
        <v>0</v>
      </c>
      <c r="AJ117" s="193">
        <f t="shared" si="85"/>
        <v>0</v>
      </c>
      <c r="AK117" s="193">
        <f t="shared" si="85"/>
        <v>0</v>
      </c>
      <c r="AL117" s="193">
        <f t="shared" si="85"/>
        <v>0</v>
      </c>
      <c r="AM117" s="193">
        <f t="shared" si="85"/>
        <v>0</v>
      </c>
      <c r="AN117" s="193">
        <f t="shared" si="85"/>
        <v>0</v>
      </c>
      <c r="AO117" s="193">
        <f t="shared" si="85"/>
        <v>0</v>
      </c>
      <c r="AP117" s="193">
        <f t="shared" si="85"/>
        <v>0</v>
      </c>
      <c r="AQ117" s="193">
        <f t="shared" si="85"/>
        <v>0</v>
      </c>
      <c r="AR117" s="193">
        <f t="shared" si="85"/>
        <v>0</v>
      </c>
      <c r="AS117" s="193">
        <f t="shared" si="85"/>
        <v>0</v>
      </c>
      <c r="AT117" s="193">
        <f t="shared" si="85"/>
        <v>0</v>
      </c>
      <c r="AU117" s="193">
        <f t="shared" si="85"/>
        <v>0</v>
      </c>
      <c r="AV117" s="193">
        <f t="shared" si="85"/>
        <v>0</v>
      </c>
      <c r="AW117" s="193">
        <f t="shared" si="85"/>
        <v>0</v>
      </c>
      <c r="AX117" s="193">
        <f t="shared" si="85"/>
        <v>0</v>
      </c>
      <c r="AY117" s="193">
        <f t="shared" si="85"/>
        <v>0</v>
      </c>
      <c r="AZ117" s="193">
        <f t="shared" si="85"/>
        <v>0</v>
      </c>
      <c r="BA117" s="193">
        <f t="shared" si="85"/>
        <v>0</v>
      </c>
      <c r="BB117" s="193">
        <f t="shared" si="85"/>
        <v>0</v>
      </c>
      <c r="BC117" s="193">
        <f t="shared" si="85"/>
        <v>0</v>
      </c>
      <c r="BD117" s="193">
        <f t="shared" si="85"/>
        <v>0</v>
      </c>
      <c r="BE117" s="193">
        <f t="shared" si="85"/>
        <v>0</v>
      </c>
      <c r="BF117" s="193">
        <f t="shared" si="85"/>
        <v>0</v>
      </c>
      <c r="BG117" s="193">
        <f t="shared" si="85"/>
        <v>0</v>
      </c>
      <c r="BH117" s="193">
        <f t="shared" si="85"/>
        <v>0</v>
      </c>
      <c r="BI117" s="193">
        <f t="shared" si="85"/>
        <v>0</v>
      </c>
      <c r="BJ117" s="193">
        <f t="shared" si="85"/>
        <v>0</v>
      </c>
      <c r="BK117" s="193">
        <f t="shared" si="85"/>
        <v>0</v>
      </c>
      <c r="BL117" s="193">
        <f t="shared" si="85"/>
        <v>0</v>
      </c>
      <c r="BM117" s="193">
        <f t="shared" si="85"/>
        <v>0</v>
      </c>
      <c r="BN117" s="193">
        <f t="shared" si="85"/>
        <v>0</v>
      </c>
      <c r="BO117" s="193">
        <f t="shared" si="85"/>
        <v>0</v>
      </c>
      <c r="BP117" s="193">
        <f t="shared" ref="BP117:CX117" si="86">BP109*BP$80</f>
        <v>0</v>
      </c>
      <c r="BQ117" s="193">
        <f t="shared" si="86"/>
        <v>0</v>
      </c>
      <c r="BR117" s="193">
        <f t="shared" si="86"/>
        <v>0</v>
      </c>
      <c r="BS117" s="193">
        <f t="shared" si="86"/>
        <v>0</v>
      </c>
      <c r="BT117" s="193">
        <f t="shared" si="86"/>
        <v>0</v>
      </c>
      <c r="BU117" s="193">
        <f t="shared" si="86"/>
        <v>0</v>
      </c>
      <c r="BV117" s="193">
        <f t="shared" si="86"/>
        <v>0</v>
      </c>
      <c r="BW117" s="193">
        <f t="shared" si="86"/>
        <v>0</v>
      </c>
      <c r="BX117" s="193">
        <f t="shared" si="86"/>
        <v>0</v>
      </c>
      <c r="BY117" s="193">
        <f t="shared" si="86"/>
        <v>0</v>
      </c>
      <c r="BZ117" s="193">
        <f t="shared" si="86"/>
        <v>0</v>
      </c>
      <c r="CA117" s="193">
        <f t="shared" si="86"/>
        <v>0</v>
      </c>
      <c r="CB117" s="193">
        <f t="shared" si="86"/>
        <v>0</v>
      </c>
      <c r="CC117" s="193">
        <f t="shared" si="86"/>
        <v>0</v>
      </c>
      <c r="CD117" s="193">
        <f t="shared" si="86"/>
        <v>0</v>
      </c>
      <c r="CE117" s="193">
        <f t="shared" si="86"/>
        <v>0</v>
      </c>
      <c r="CF117" s="193">
        <f t="shared" si="86"/>
        <v>0</v>
      </c>
      <c r="CG117" s="193">
        <f t="shared" si="86"/>
        <v>0</v>
      </c>
      <c r="CH117" s="193">
        <f t="shared" si="86"/>
        <v>0</v>
      </c>
      <c r="CI117" s="193">
        <f t="shared" si="86"/>
        <v>0</v>
      </c>
      <c r="CJ117" s="193">
        <f t="shared" si="86"/>
        <v>0</v>
      </c>
      <c r="CK117" s="193">
        <f t="shared" si="86"/>
        <v>0</v>
      </c>
      <c r="CL117" s="193">
        <f t="shared" si="86"/>
        <v>0</v>
      </c>
      <c r="CM117" s="193">
        <f t="shared" si="86"/>
        <v>0</v>
      </c>
      <c r="CN117" s="193">
        <f t="shared" si="86"/>
        <v>0</v>
      </c>
      <c r="CO117" s="193">
        <f t="shared" si="86"/>
        <v>0</v>
      </c>
      <c r="CP117" s="193">
        <f t="shared" si="86"/>
        <v>0</v>
      </c>
      <c r="CQ117" s="193">
        <f t="shared" si="86"/>
        <v>0</v>
      </c>
      <c r="CR117" s="193">
        <f t="shared" si="86"/>
        <v>0</v>
      </c>
      <c r="CS117" s="193">
        <f t="shared" si="86"/>
        <v>0</v>
      </c>
      <c r="CT117" s="193">
        <f t="shared" si="86"/>
        <v>0</v>
      </c>
      <c r="CU117" s="193">
        <f t="shared" si="86"/>
        <v>0</v>
      </c>
      <c r="CV117" s="193">
        <f t="shared" si="86"/>
        <v>0</v>
      </c>
      <c r="CW117" s="193">
        <f t="shared" si="86"/>
        <v>0</v>
      </c>
      <c r="CX117" s="193">
        <f t="shared" si="86"/>
        <v>0</v>
      </c>
    </row>
    <row r="118" spans="1:103" ht="20.100000000000001" customHeight="1">
      <c r="A118" s="184">
        <f>SUM(C118:CX118)</f>
        <v>2077696282.035145</v>
      </c>
      <c r="B118" s="110" t="s">
        <v>155</v>
      </c>
      <c r="C118" s="193">
        <f>C110*C$80</f>
        <v>0</v>
      </c>
      <c r="D118" s="193">
        <f>D110*D$80</f>
        <v>25004182.369478691</v>
      </c>
      <c r="E118" s="193">
        <f t="shared" ref="E118:BO118" si="87">E110*E$80</f>
        <v>26601820.538796898</v>
      </c>
      <c r="F118" s="193">
        <f t="shared" si="87"/>
        <v>28301539.539327487</v>
      </c>
      <c r="G118" s="193">
        <f t="shared" si="87"/>
        <v>30109861.809192639</v>
      </c>
      <c r="H118" s="193">
        <f t="shared" si="87"/>
        <v>32033726.536638457</v>
      </c>
      <c r="I118" s="193">
        <f t="shared" si="87"/>
        <v>34080516.288216412</v>
      </c>
      <c r="J118" s="193">
        <f t="shared" si="87"/>
        <v>36258085.338368095</v>
      </c>
      <c r="K118" s="193">
        <f t="shared" si="87"/>
        <v>38574789.809124261</v>
      </c>
      <c r="L118" s="193">
        <f t="shared" si="87"/>
        <v>41039519.735574909</v>
      </c>
      <c r="M118" s="193">
        <f t="shared" si="87"/>
        <v>43661733.180157512</v>
      </c>
      <c r="N118" s="193">
        <f t="shared" si="87"/>
        <v>46451492.526672028</v>
      </c>
      <c r="O118" s="193">
        <f t="shared" si="87"/>
        <v>49419503.0932962</v>
      </c>
      <c r="P118" s="193">
        <f t="shared" si="87"/>
        <v>52577154.212773107</v>
      </c>
      <c r="Q118" s="193">
        <f t="shared" si="87"/>
        <v>55936562.937410682</v>
      </c>
      <c r="R118" s="193">
        <f t="shared" si="87"/>
        <v>59510620.536605053</v>
      </c>
      <c r="S118" s="193">
        <f t="shared" si="87"/>
        <v>63313041.965315603</v>
      </c>
      <c r="T118" s="193">
        <f t="shared" si="87"/>
        <v>67358418.493320107</v>
      </c>
      <c r="U118" s="193">
        <f t="shared" si="87"/>
        <v>71662273.697207794</v>
      </c>
      <c r="V118" s="193">
        <f t="shared" si="87"/>
        <v>76241123.029971406</v>
      </c>
      <c r="W118" s="193">
        <f t="shared" si="87"/>
        <v>81112537.196788937</v>
      </c>
      <c r="X118" s="193">
        <f t="shared" si="87"/>
        <v>86295209.580190465</v>
      </c>
      <c r="Y118" s="193">
        <f t="shared" si="87"/>
        <v>91809027.97334519</v>
      </c>
      <c r="Z118" s="193">
        <f t="shared" si="87"/>
        <v>97675150.896735027</v>
      </c>
      <c r="AA118" s="193">
        <f t="shared" si="87"/>
        <v>103916088.79106988</v>
      </c>
      <c r="AB118" s="193">
        <f t="shared" si="87"/>
        <v>110555790.39801085</v>
      </c>
      <c r="AC118" s="193">
        <f t="shared" si="87"/>
        <v>117619734.66017583</v>
      </c>
      <c r="AD118" s="193">
        <f t="shared" si="87"/>
        <v>125135028.49308085</v>
      </c>
      <c r="AE118" s="193">
        <f t="shared" si="87"/>
        <v>133130510.80420414</v>
      </c>
      <c r="AF118" s="193">
        <f t="shared" si="87"/>
        <v>141636863.15833074</v>
      </c>
      <c r="AG118" s="193">
        <f t="shared" si="87"/>
        <v>110674374.44576596</v>
      </c>
      <c r="AH118" s="193">
        <f t="shared" si="87"/>
        <v>0</v>
      </c>
      <c r="AI118" s="193">
        <f t="shared" si="87"/>
        <v>0</v>
      </c>
      <c r="AJ118" s="193">
        <f t="shared" si="87"/>
        <v>0</v>
      </c>
      <c r="AK118" s="193">
        <f t="shared" si="87"/>
        <v>0</v>
      </c>
      <c r="AL118" s="193">
        <f t="shared" si="87"/>
        <v>0</v>
      </c>
      <c r="AM118" s="193">
        <f t="shared" si="87"/>
        <v>0</v>
      </c>
      <c r="AN118" s="193">
        <f t="shared" si="87"/>
        <v>0</v>
      </c>
      <c r="AO118" s="193">
        <f t="shared" si="87"/>
        <v>0</v>
      </c>
      <c r="AP118" s="193">
        <f t="shared" si="87"/>
        <v>0</v>
      </c>
      <c r="AQ118" s="193">
        <f t="shared" si="87"/>
        <v>0</v>
      </c>
      <c r="AR118" s="193">
        <f t="shared" si="87"/>
        <v>0</v>
      </c>
      <c r="AS118" s="193">
        <f t="shared" si="87"/>
        <v>0</v>
      </c>
      <c r="AT118" s="193">
        <f t="shared" si="87"/>
        <v>0</v>
      </c>
      <c r="AU118" s="193">
        <f t="shared" si="87"/>
        <v>0</v>
      </c>
      <c r="AV118" s="193">
        <f t="shared" si="87"/>
        <v>0</v>
      </c>
      <c r="AW118" s="193">
        <f t="shared" si="87"/>
        <v>0</v>
      </c>
      <c r="AX118" s="193">
        <f t="shared" si="87"/>
        <v>0</v>
      </c>
      <c r="AY118" s="193">
        <f t="shared" si="87"/>
        <v>0</v>
      </c>
      <c r="AZ118" s="193">
        <f t="shared" si="87"/>
        <v>0</v>
      </c>
      <c r="BA118" s="193">
        <f t="shared" si="87"/>
        <v>0</v>
      </c>
      <c r="BB118" s="193">
        <f t="shared" si="87"/>
        <v>0</v>
      </c>
      <c r="BC118" s="193">
        <f t="shared" si="87"/>
        <v>0</v>
      </c>
      <c r="BD118" s="193">
        <f t="shared" si="87"/>
        <v>0</v>
      </c>
      <c r="BE118" s="193">
        <f t="shared" si="87"/>
        <v>0</v>
      </c>
      <c r="BF118" s="193">
        <f t="shared" si="87"/>
        <v>0</v>
      </c>
      <c r="BG118" s="193">
        <f t="shared" si="87"/>
        <v>0</v>
      </c>
      <c r="BH118" s="193">
        <f t="shared" si="87"/>
        <v>0</v>
      </c>
      <c r="BI118" s="193">
        <f t="shared" si="87"/>
        <v>0</v>
      </c>
      <c r="BJ118" s="193">
        <f t="shared" si="87"/>
        <v>0</v>
      </c>
      <c r="BK118" s="193">
        <f t="shared" si="87"/>
        <v>0</v>
      </c>
      <c r="BL118" s="193">
        <f t="shared" si="87"/>
        <v>0</v>
      </c>
      <c r="BM118" s="193">
        <f t="shared" si="87"/>
        <v>0</v>
      </c>
      <c r="BN118" s="193">
        <f t="shared" si="87"/>
        <v>0</v>
      </c>
      <c r="BO118" s="193">
        <f t="shared" si="87"/>
        <v>0</v>
      </c>
      <c r="BP118" s="193">
        <f t="shared" ref="BP118:CX118" si="88">BP110*BP$80</f>
        <v>0</v>
      </c>
      <c r="BQ118" s="193">
        <f t="shared" si="88"/>
        <v>0</v>
      </c>
      <c r="BR118" s="193">
        <f t="shared" si="88"/>
        <v>0</v>
      </c>
      <c r="BS118" s="193">
        <f t="shared" si="88"/>
        <v>0</v>
      </c>
      <c r="BT118" s="193">
        <f t="shared" si="88"/>
        <v>0</v>
      </c>
      <c r="BU118" s="193">
        <f t="shared" si="88"/>
        <v>0</v>
      </c>
      <c r="BV118" s="193">
        <f t="shared" si="88"/>
        <v>0</v>
      </c>
      <c r="BW118" s="193">
        <f t="shared" si="88"/>
        <v>0</v>
      </c>
      <c r="BX118" s="193">
        <f t="shared" si="88"/>
        <v>0</v>
      </c>
      <c r="BY118" s="193">
        <f t="shared" si="88"/>
        <v>0</v>
      </c>
      <c r="BZ118" s="193">
        <f t="shared" si="88"/>
        <v>0</v>
      </c>
      <c r="CA118" s="193">
        <f t="shared" si="88"/>
        <v>0</v>
      </c>
      <c r="CB118" s="193">
        <f t="shared" si="88"/>
        <v>0</v>
      </c>
      <c r="CC118" s="193">
        <f t="shared" si="88"/>
        <v>0</v>
      </c>
      <c r="CD118" s="193">
        <f t="shared" si="88"/>
        <v>0</v>
      </c>
      <c r="CE118" s="193">
        <f t="shared" si="88"/>
        <v>0</v>
      </c>
      <c r="CF118" s="193">
        <f t="shared" si="88"/>
        <v>0</v>
      </c>
      <c r="CG118" s="193">
        <f t="shared" si="88"/>
        <v>0</v>
      </c>
      <c r="CH118" s="193">
        <f t="shared" si="88"/>
        <v>0</v>
      </c>
      <c r="CI118" s="193">
        <f t="shared" si="88"/>
        <v>0</v>
      </c>
      <c r="CJ118" s="193">
        <f t="shared" si="88"/>
        <v>0</v>
      </c>
      <c r="CK118" s="193">
        <f t="shared" si="88"/>
        <v>0</v>
      </c>
      <c r="CL118" s="193">
        <f t="shared" si="88"/>
        <v>0</v>
      </c>
      <c r="CM118" s="193">
        <f t="shared" si="88"/>
        <v>0</v>
      </c>
      <c r="CN118" s="193">
        <f t="shared" si="88"/>
        <v>0</v>
      </c>
      <c r="CO118" s="193">
        <f t="shared" si="88"/>
        <v>0</v>
      </c>
      <c r="CP118" s="193">
        <f t="shared" si="88"/>
        <v>0</v>
      </c>
      <c r="CQ118" s="193">
        <f t="shared" si="88"/>
        <v>0</v>
      </c>
      <c r="CR118" s="193">
        <f t="shared" si="88"/>
        <v>0</v>
      </c>
      <c r="CS118" s="193">
        <f t="shared" si="88"/>
        <v>0</v>
      </c>
      <c r="CT118" s="193">
        <f t="shared" si="88"/>
        <v>0</v>
      </c>
      <c r="CU118" s="193">
        <f t="shared" si="88"/>
        <v>0</v>
      </c>
      <c r="CV118" s="193">
        <f t="shared" si="88"/>
        <v>0</v>
      </c>
      <c r="CW118" s="193">
        <f t="shared" si="88"/>
        <v>0</v>
      </c>
      <c r="CX118" s="193">
        <f t="shared" si="88"/>
        <v>0</v>
      </c>
    </row>
    <row r="119" spans="1:103" ht="20.100000000000001" customHeight="1">
      <c r="A119" s="184"/>
      <c r="B119" s="110"/>
      <c r="C119" s="193"/>
      <c r="D119" s="193"/>
      <c r="E119" s="193"/>
      <c r="F119" s="194"/>
      <c r="G119" s="194"/>
      <c r="H119" s="194"/>
      <c r="I119" s="194"/>
      <c r="J119" s="194"/>
      <c r="K119" s="194"/>
      <c r="L119" s="194"/>
      <c r="M119" s="194"/>
      <c r="N119" s="194"/>
      <c r="O119" s="194"/>
      <c r="P119" s="194"/>
      <c r="Q119" s="194"/>
      <c r="R119" s="194"/>
      <c r="S119" s="194"/>
      <c r="T119" s="194"/>
      <c r="U119" s="194"/>
      <c r="V119" s="194"/>
      <c r="W119" s="194"/>
      <c r="X119" s="193"/>
      <c r="Y119" s="193"/>
      <c r="Z119" s="193"/>
      <c r="AA119" s="193"/>
      <c r="AB119" s="193"/>
      <c r="AC119" s="193"/>
      <c r="AD119" s="193"/>
      <c r="AE119" s="193"/>
      <c r="AF119" s="193"/>
      <c r="AG119" s="193"/>
      <c r="AH119" s="193"/>
      <c r="AI119" s="193"/>
      <c r="AJ119" s="193"/>
      <c r="AK119" s="193"/>
      <c r="AL119" s="193"/>
      <c r="AM119" s="193"/>
      <c r="AN119" s="193"/>
      <c r="AO119" s="193"/>
      <c r="AP119" s="193"/>
      <c r="AQ119" s="193"/>
      <c r="AR119" s="193"/>
      <c r="AS119" s="193"/>
      <c r="AT119" s="193"/>
      <c r="AU119" s="193"/>
      <c r="AV119" s="193"/>
      <c r="AW119" s="193"/>
      <c r="AX119" s="193"/>
      <c r="AY119" s="193"/>
      <c r="AZ119" s="193"/>
      <c r="BA119" s="193"/>
      <c r="BB119" s="193"/>
      <c r="BC119" s="193"/>
      <c r="BD119" s="193"/>
      <c r="BE119" s="193"/>
      <c r="BF119" s="193"/>
      <c r="BG119" s="193"/>
      <c r="BH119" s="193"/>
      <c r="BI119" s="193"/>
      <c r="BJ119" s="193"/>
      <c r="BK119" s="193"/>
      <c r="BL119" s="193"/>
      <c r="BM119" s="193"/>
      <c r="BN119" s="193"/>
      <c r="BO119" s="193"/>
      <c r="BP119" s="193"/>
      <c r="BQ119" s="193"/>
      <c r="BR119" s="193"/>
      <c r="BS119" s="193"/>
      <c r="BT119" s="193"/>
      <c r="BU119" s="193"/>
      <c r="BV119" s="193"/>
      <c r="BW119" s="193"/>
      <c r="BX119" s="193"/>
      <c r="BY119" s="193"/>
      <c r="BZ119" s="193"/>
      <c r="CA119" s="193"/>
      <c r="CB119" s="193"/>
      <c r="CC119" s="193"/>
      <c r="CD119" s="193"/>
      <c r="CE119" s="193"/>
      <c r="CF119" s="193"/>
      <c r="CG119" s="193"/>
      <c r="CH119" s="193"/>
      <c r="CI119" s="193"/>
      <c r="CJ119" s="193"/>
      <c r="CK119" s="193"/>
      <c r="CL119" s="193"/>
      <c r="CM119" s="193"/>
      <c r="CN119" s="193"/>
      <c r="CO119" s="193"/>
      <c r="CP119" s="193"/>
      <c r="CQ119" s="193"/>
      <c r="CR119" s="193"/>
      <c r="CS119" s="193"/>
      <c r="CT119" s="193"/>
      <c r="CU119" s="193"/>
      <c r="CV119" s="193"/>
      <c r="CW119" s="193"/>
      <c r="CX119" s="193"/>
    </row>
    <row r="120" spans="1:103" ht="20.100000000000001" customHeight="1">
      <c r="A120" s="123"/>
      <c r="B120" s="103" t="s">
        <v>156</v>
      </c>
      <c r="C120" s="123"/>
      <c r="D120" s="123"/>
      <c r="E120" s="123"/>
      <c r="F120" s="116"/>
      <c r="G120" s="116"/>
      <c r="H120" s="116"/>
      <c r="I120" s="116"/>
      <c r="J120" s="116"/>
      <c r="K120" s="116"/>
      <c r="L120" s="116"/>
      <c r="M120" s="116"/>
      <c r="N120" s="116"/>
      <c r="O120" s="116"/>
      <c r="P120" s="116"/>
      <c r="Q120" s="116"/>
      <c r="R120" s="116"/>
      <c r="S120" s="116"/>
      <c r="T120" s="116"/>
      <c r="U120" s="116"/>
      <c r="V120" s="116"/>
      <c r="W120" s="116"/>
      <c r="X120" s="123"/>
      <c r="Y120" s="123"/>
      <c r="Z120" s="123"/>
      <c r="AA120" s="123"/>
      <c r="AB120" s="123"/>
      <c r="AC120" s="123"/>
      <c r="AD120" s="123"/>
      <c r="AE120" s="123"/>
      <c r="AF120" s="123"/>
      <c r="AG120" s="123"/>
      <c r="AH120" s="123"/>
      <c r="AI120" s="123"/>
      <c r="AJ120" s="123"/>
      <c r="AK120" s="123"/>
      <c r="AL120" s="123"/>
      <c r="AM120" s="123"/>
      <c r="AN120" s="123"/>
      <c r="AO120" s="123"/>
      <c r="AP120" s="123"/>
      <c r="AQ120" s="123"/>
      <c r="AR120" s="123"/>
      <c r="AS120" s="123"/>
      <c r="AT120" s="123"/>
      <c r="AU120" s="123"/>
      <c r="AV120" s="123"/>
      <c r="AW120" s="123"/>
      <c r="AX120" s="123"/>
      <c r="AY120" s="123"/>
      <c r="AZ120" s="123"/>
      <c r="BA120" s="123"/>
      <c r="BB120" s="123"/>
      <c r="BC120" s="123"/>
      <c r="BD120" s="123"/>
      <c r="BE120" s="123"/>
      <c r="BF120" s="123"/>
      <c r="BG120" s="123"/>
      <c r="BH120" s="123"/>
      <c r="BI120" s="123"/>
      <c r="BJ120" s="123"/>
      <c r="BK120" s="123"/>
      <c r="BL120" s="123"/>
      <c r="BM120" s="123"/>
      <c r="BN120" s="123"/>
      <c r="BO120" s="123"/>
      <c r="BP120" s="123"/>
      <c r="BQ120" s="123"/>
      <c r="BR120" s="123"/>
      <c r="BS120" s="123"/>
      <c r="BT120" s="123"/>
      <c r="BU120" s="123"/>
      <c r="BV120" s="123"/>
      <c r="BW120" s="123"/>
      <c r="BX120" s="123"/>
      <c r="BY120" s="123"/>
      <c r="BZ120" s="123"/>
      <c r="CA120" s="123"/>
      <c r="CB120" s="123"/>
      <c r="CC120" s="123"/>
      <c r="CD120" s="123"/>
      <c r="CE120" s="123"/>
      <c r="CF120" s="123"/>
      <c r="CG120" s="123"/>
      <c r="CH120" s="123"/>
      <c r="CI120" s="123"/>
      <c r="CJ120" s="123"/>
      <c r="CK120" s="123"/>
      <c r="CL120" s="123"/>
      <c r="CM120" s="123"/>
      <c r="CN120" s="123"/>
      <c r="CO120" s="123"/>
      <c r="CP120" s="123"/>
      <c r="CQ120" s="123"/>
      <c r="CR120" s="123"/>
      <c r="CS120" s="123"/>
      <c r="CT120" s="123"/>
      <c r="CU120" s="123"/>
      <c r="CV120" s="123"/>
      <c r="CW120" s="123"/>
      <c r="CX120" s="123"/>
    </row>
    <row r="121" spans="1:103" ht="20.100000000000001" customHeight="1">
      <c r="A121" s="184">
        <f t="shared" ref="A121:A124" si="89">SUM(C121:CX121)</f>
        <v>107497278.11831588</v>
      </c>
      <c r="B121" s="110" t="s">
        <v>287</v>
      </c>
      <c r="C121" s="123">
        <f>C113</f>
        <v>107497278.11831588</v>
      </c>
      <c r="D121" s="123">
        <f t="shared" ref="D121:BO121" si="90">D113</f>
        <v>0</v>
      </c>
      <c r="E121" s="123">
        <f t="shared" si="90"/>
        <v>0</v>
      </c>
      <c r="F121" s="123">
        <f t="shared" si="90"/>
        <v>0</v>
      </c>
      <c r="G121" s="123">
        <f t="shared" si="90"/>
        <v>0</v>
      </c>
      <c r="H121" s="123">
        <f t="shared" si="90"/>
        <v>0</v>
      </c>
      <c r="I121" s="123">
        <f t="shared" si="90"/>
        <v>0</v>
      </c>
      <c r="J121" s="123">
        <f t="shared" si="90"/>
        <v>0</v>
      </c>
      <c r="K121" s="123">
        <f t="shared" si="90"/>
        <v>0</v>
      </c>
      <c r="L121" s="123">
        <f t="shared" si="90"/>
        <v>0</v>
      </c>
      <c r="M121" s="123">
        <f t="shared" si="90"/>
        <v>0</v>
      </c>
      <c r="N121" s="123">
        <f t="shared" si="90"/>
        <v>0</v>
      </c>
      <c r="O121" s="123">
        <f t="shared" si="90"/>
        <v>0</v>
      </c>
      <c r="P121" s="123">
        <f t="shared" si="90"/>
        <v>0</v>
      </c>
      <c r="Q121" s="123">
        <f t="shared" si="90"/>
        <v>0</v>
      </c>
      <c r="R121" s="123">
        <f t="shared" si="90"/>
        <v>0</v>
      </c>
      <c r="S121" s="123">
        <f t="shared" si="90"/>
        <v>0</v>
      </c>
      <c r="T121" s="123">
        <f t="shared" si="90"/>
        <v>0</v>
      </c>
      <c r="U121" s="123">
        <f t="shared" si="90"/>
        <v>0</v>
      </c>
      <c r="V121" s="123">
        <f t="shared" si="90"/>
        <v>0</v>
      </c>
      <c r="W121" s="123">
        <f t="shared" si="90"/>
        <v>0</v>
      </c>
      <c r="X121" s="123">
        <f t="shared" si="90"/>
        <v>0</v>
      </c>
      <c r="Y121" s="123">
        <f t="shared" si="90"/>
        <v>0</v>
      </c>
      <c r="Z121" s="123">
        <f t="shared" si="90"/>
        <v>0</v>
      </c>
      <c r="AA121" s="123">
        <f t="shared" si="90"/>
        <v>0</v>
      </c>
      <c r="AB121" s="123">
        <f t="shared" si="90"/>
        <v>0</v>
      </c>
      <c r="AC121" s="123">
        <f t="shared" si="90"/>
        <v>0</v>
      </c>
      <c r="AD121" s="123">
        <f t="shared" si="90"/>
        <v>0</v>
      </c>
      <c r="AE121" s="123">
        <f t="shared" si="90"/>
        <v>0</v>
      </c>
      <c r="AF121" s="123">
        <f t="shared" si="90"/>
        <v>0</v>
      </c>
      <c r="AG121" s="123">
        <f t="shared" si="90"/>
        <v>0</v>
      </c>
      <c r="AH121" s="123">
        <f t="shared" si="90"/>
        <v>0</v>
      </c>
      <c r="AI121" s="123">
        <f t="shared" si="90"/>
        <v>0</v>
      </c>
      <c r="AJ121" s="123">
        <f t="shared" si="90"/>
        <v>0</v>
      </c>
      <c r="AK121" s="123">
        <f t="shared" si="90"/>
        <v>0</v>
      </c>
      <c r="AL121" s="123">
        <f t="shared" si="90"/>
        <v>0</v>
      </c>
      <c r="AM121" s="123">
        <f t="shared" si="90"/>
        <v>0</v>
      </c>
      <c r="AN121" s="123">
        <f t="shared" si="90"/>
        <v>0</v>
      </c>
      <c r="AO121" s="123">
        <f t="shared" si="90"/>
        <v>0</v>
      </c>
      <c r="AP121" s="123">
        <f t="shared" si="90"/>
        <v>0</v>
      </c>
      <c r="AQ121" s="123">
        <f t="shared" si="90"/>
        <v>0</v>
      </c>
      <c r="AR121" s="123">
        <f t="shared" si="90"/>
        <v>0</v>
      </c>
      <c r="AS121" s="123">
        <f t="shared" si="90"/>
        <v>0</v>
      </c>
      <c r="AT121" s="123">
        <f t="shared" si="90"/>
        <v>0</v>
      </c>
      <c r="AU121" s="123">
        <f t="shared" si="90"/>
        <v>0</v>
      </c>
      <c r="AV121" s="123">
        <f t="shared" si="90"/>
        <v>0</v>
      </c>
      <c r="AW121" s="123">
        <f t="shared" si="90"/>
        <v>0</v>
      </c>
      <c r="AX121" s="123">
        <f t="shared" si="90"/>
        <v>0</v>
      </c>
      <c r="AY121" s="123">
        <f t="shared" si="90"/>
        <v>0</v>
      </c>
      <c r="AZ121" s="123">
        <f t="shared" si="90"/>
        <v>0</v>
      </c>
      <c r="BA121" s="123">
        <f t="shared" si="90"/>
        <v>0</v>
      </c>
      <c r="BB121" s="123">
        <f t="shared" si="90"/>
        <v>0</v>
      </c>
      <c r="BC121" s="123">
        <f t="shared" si="90"/>
        <v>0</v>
      </c>
      <c r="BD121" s="123">
        <f t="shared" si="90"/>
        <v>0</v>
      </c>
      <c r="BE121" s="123">
        <f t="shared" si="90"/>
        <v>0</v>
      </c>
      <c r="BF121" s="123">
        <f t="shared" si="90"/>
        <v>0</v>
      </c>
      <c r="BG121" s="123">
        <f t="shared" si="90"/>
        <v>0</v>
      </c>
      <c r="BH121" s="123">
        <f t="shared" si="90"/>
        <v>0</v>
      </c>
      <c r="BI121" s="123">
        <f t="shared" si="90"/>
        <v>0</v>
      </c>
      <c r="BJ121" s="123">
        <f t="shared" si="90"/>
        <v>0</v>
      </c>
      <c r="BK121" s="123">
        <f t="shared" si="90"/>
        <v>0</v>
      </c>
      <c r="BL121" s="123">
        <f t="shared" si="90"/>
        <v>0</v>
      </c>
      <c r="BM121" s="123">
        <f t="shared" si="90"/>
        <v>0</v>
      </c>
      <c r="BN121" s="123">
        <f t="shared" si="90"/>
        <v>0</v>
      </c>
      <c r="BO121" s="123">
        <f t="shared" si="90"/>
        <v>0</v>
      </c>
      <c r="BP121" s="123">
        <f t="shared" ref="BP121:CX121" si="91">BP113</f>
        <v>0</v>
      </c>
      <c r="BQ121" s="123">
        <f t="shared" si="91"/>
        <v>0</v>
      </c>
      <c r="BR121" s="123">
        <f t="shared" si="91"/>
        <v>0</v>
      </c>
      <c r="BS121" s="123">
        <f t="shared" si="91"/>
        <v>0</v>
      </c>
      <c r="BT121" s="123">
        <f t="shared" si="91"/>
        <v>0</v>
      </c>
      <c r="BU121" s="123">
        <f t="shared" si="91"/>
        <v>0</v>
      </c>
      <c r="BV121" s="123">
        <f t="shared" si="91"/>
        <v>0</v>
      </c>
      <c r="BW121" s="123">
        <f t="shared" si="91"/>
        <v>0</v>
      </c>
      <c r="BX121" s="123">
        <f t="shared" si="91"/>
        <v>0</v>
      </c>
      <c r="BY121" s="123">
        <f t="shared" si="91"/>
        <v>0</v>
      </c>
      <c r="BZ121" s="123">
        <f t="shared" si="91"/>
        <v>0</v>
      </c>
      <c r="CA121" s="123">
        <f t="shared" si="91"/>
        <v>0</v>
      </c>
      <c r="CB121" s="123">
        <f t="shared" si="91"/>
        <v>0</v>
      </c>
      <c r="CC121" s="123">
        <f t="shared" si="91"/>
        <v>0</v>
      </c>
      <c r="CD121" s="123">
        <f t="shared" si="91"/>
        <v>0</v>
      </c>
      <c r="CE121" s="123">
        <f t="shared" si="91"/>
        <v>0</v>
      </c>
      <c r="CF121" s="123">
        <f t="shared" si="91"/>
        <v>0</v>
      </c>
      <c r="CG121" s="123">
        <f t="shared" si="91"/>
        <v>0</v>
      </c>
      <c r="CH121" s="123">
        <f t="shared" si="91"/>
        <v>0</v>
      </c>
      <c r="CI121" s="123">
        <f t="shared" si="91"/>
        <v>0</v>
      </c>
      <c r="CJ121" s="123">
        <f t="shared" si="91"/>
        <v>0</v>
      </c>
      <c r="CK121" s="123">
        <f t="shared" si="91"/>
        <v>0</v>
      </c>
      <c r="CL121" s="123">
        <f t="shared" si="91"/>
        <v>0</v>
      </c>
      <c r="CM121" s="123">
        <f t="shared" si="91"/>
        <v>0</v>
      </c>
      <c r="CN121" s="123">
        <f t="shared" si="91"/>
        <v>0</v>
      </c>
      <c r="CO121" s="123">
        <f t="shared" si="91"/>
        <v>0</v>
      </c>
      <c r="CP121" s="123">
        <f t="shared" si="91"/>
        <v>0</v>
      </c>
      <c r="CQ121" s="123">
        <f t="shared" si="91"/>
        <v>0</v>
      </c>
      <c r="CR121" s="123">
        <f t="shared" si="91"/>
        <v>0</v>
      </c>
      <c r="CS121" s="123">
        <f t="shared" si="91"/>
        <v>0</v>
      </c>
      <c r="CT121" s="123">
        <f t="shared" si="91"/>
        <v>0</v>
      </c>
      <c r="CU121" s="123">
        <f t="shared" si="91"/>
        <v>0</v>
      </c>
      <c r="CV121" s="123">
        <f t="shared" si="91"/>
        <v>0</v>
      </c>
      <c r="CW121" s="123">
        <f t="shared" si="91"/>
        <v>0</v>
      </c>
      <c r="CX121" s="123">
        <f t="shared" si="91"/>
        <v>0</v>
      </c>
    </row>
    <row r="122" spans="1:103" ht="20.100000000000001" customHeight="1">
      <c r="A122" s="184">
        <f>SUM(C122:CX122)</f>
        <v>107497278.11831588</v>
      </c>
      <c r="B122" s="110" t="s">
        <v>174</v>
      </c>
      <c r="C122" s="123">
        <f t="shared" ref="C122:AH122" si="92">IF(C84&lt;$C$41,C121,0)</f>
        <v>107497278.11831588</v>
      </c>
      <c r="D122" s="123">
        <f t="shared" si="92"/>
        <v>0</v>
      </c>
      <c r="E122" s="123">
        <f t="shared" si="92"/>
        <v>0</v>
      </c>
      <c r="F122" s="123">
        <f t="shared" si="92"/>
        <v>0</v>
      </c>
      <c r="G122" s="123">
        <f t="shared" si="92"/>
        <v>0</v>
      </c>
      <c r="H122" s="123">
        <f t="shared" si="92"/>
        <v>0</v>
      </c>
      <c r="I122" s="123">
        <f t="shared" si="92"/>
        <v>0</v>
      </c>
      <c r="J122" s="123">
        <f t="shared" si="92"/>
        <v>0</v>
      </c>
      <c r="K122" s="123">
        <f t="shared" si="92"/>
        <v>0</v>
      </c>
      <c r="L122" s="123">
        <f t="shared" si="92"/>
        <v>0</v>
      </c>
      <c r="M122" s="123">
        <f t="shared" si="92"/>
        <v>0</v>
      </c>
      <c r="N122" s="123">
        <f t="shared" si="92"/>
        <v>0</v>
      </c>
      <c r="O122" s="123">
        <f t="shared" si="92"/>
        <v>0</v>
      </c>
      <c r="P122" s="123">
        <f t="shared" si="92"/>
        <v>0</v>
      </c>
      <c r="Q122" s="123">
        <f t="shared" si="92"/>
        <v>0</v>
      </c>
      <c r="R122" s="123">
        <f t="shared" si="92"/>
        <v>0</v>
      </c>
      <c r="S122" s="123">
        <f t="shared" si="92"/>
        <v>0</v>
      </c>
      <c r="T122" s="123">
        <f t="shared" si="92"/>
        <v>0</v>
      </c>
      <c r="U122" s="123">
        <f t="shared" si="92"/>
        <v>0</v>
      </c>
      <c r="V122" s="123">
        <f t="shared" si="92"/>
        <v>0</v>
      </c>
      <c r="W122" s="123">
        <f t="shared" si="92"/>
        <v>0</v>
      </c>
      <c r="X122" s="123">
        <f t="shared" si="92"/>
        <v>0</v>
      </c>
      <c r="Y122" s="123">
        <f t="shared" si="92"/>
        <v>0</v>
      </c>
      <c r="Z122" s="123">
        <f t="shared" si="92"/>
        <v>0</v>
      </c>
      <c r="AA122" s="123">
        <f t="shared" si="92"/>
        <v>0</v>
      </c>
      <c r="AB122" s="123">
        <f t="shared" si="92"/>
        <v>0</v>
      </c>
      <c r="AC122" s="123">
        <f t="shared" si="92"/>
        <v>0</v>
      </c>
      <c r="AD122" s="123">
        <f t="shared" si="92"/>
        <v>0</v>
      </c>
      <c r="AE122" s="123">
        <f t="shared" si="92"/>
        <v>0</v>
      </c>
      <c r="AF122" s="123">
        <f t="shared" si="92"/>
        <v>0</v>
      </c>
      <c r="AG122" s="123">
        <f t="shared" si="92"/>
        <v>0</v>
      </c>
      <c r="AH122" s="123">
        <f t="shared" si="92"/>
        <v>0</v>
      </c>
      <c r="AI122" s="123">
        <f t="shared" ref="AI122:BN122" si="93">IF(AI84&lt;$C$41,AI121,0)</f>
        <v>0</v>
      </c>
      <c r="AJ122" s="123">
        <f t="shared" si="93"/>
        <v>0</v>
      </c>
      <c r="AK122" s="123">
        <f t="shared" si="93"/>
        <v>0</v>
      </c>
      <c r="AL122" s="123">
        <f t="shared" si="93"/>
        <v>0</v>
      </c>
      <c r="AM122" s="123">
        <f t="shared" si="93"/>
        <v>0</v>
      </c>
      <c r="AN122" s="123">
        <f t="shared" si="93"/>
        <v>0</v>
      </c>
      <c r="AO122" s="123">
        <f t="shared" si="93"/>
        <v>0</v>
      </c>
      <c r="AP122" s="123">
        <f t="shared" si="93"/>
        <v>0</v>
      </c>
      <c r="AQ122" s="123">
        <f t="shared" si="93"/>
        <v>0</v>
      </c>
      <c r="AR122" s="123">
        <f t="shared" si="93"/>
        <v>0</v>
      </c>
      <c r="AS122" s="123">
        <f t="shared" si="93"/>
        <v>0</v>
      </c>
      <c r="AT122" s="123">
        <f t="shared" si="93"/>
        <v>0</v>
      </c>
      <c r="AU122" s="123">
        <f t="shared" si="93"/>
        <v>0</v>
      </c>
      <c r="AV122" s="123">
        <f t="shared" si="93"/>
        <v>0</v>
      </c>
      <c r="AW122" s="123">
        <f t="shared" si="93"/>
        <v>0</v>
      </c>
      <c r="AX122" s="123">
        <f t="shared" si="93"/>
        <v>0</v>
      </c>
      <c r="AY122" s="123">
        <f t="shared" si="93"/>
        <v>0</v>
      </c>
      <c r="AZ122" s="123">
        <f t="shared" si="93"/>
        <v>0</v>
      </c>
      <c r="BA122" s="123">
        <f t="shared" si="93"/>
        <v>0</v>
      </c>
      <c r="BB122" s="123">
        <f t="shared" si="93"/>
        <v>0</v>
      </c>
      <c r="BC122" s="123">
        <f t="shared" si="93"/>
        <v>0</v>
      </c>
      <c r="BD122" s="123">
        <f t="shared" si="93"/>
        <v>0</v>
      </c>
      <c r="BE122" s="123">
        <f t="shared" si="93"/>
        <v>0</v>
      </c>
      <c r="BF122" s="123">
        <f t="shared" si="93"/>
        <v>0</v>
      </c>
      <c r="BG122" s="123">
        <f t="shared" si="93"/>
        <v>0</v>
      </c>
      <c r="BH122" s="123">
        <f t="shared" si="93"/>
        <v>0</v>
      </c>
      <c r="BI122" s="123">
        <f t="shared" si="93"/>
        <v>0</v>
      </c>
      <c r="BJ122" s="123">
        <f t="shared" si="93"/>
        <v>0</v>
      </c>
      <c r="BK122" s="123">
        <f t="shared" si="93"/>
        <v>0</v>
      </c>
      <c r="BL122" s="123">
        <f t="shared" si="93"/>
        <v>0</v>
      </c>
      <c r="BM122" s="123">
        <f t="shared" si="93"/>
        <v>0</v>
      </c>
      <c r="BN122" s="123">
        <f t="shared" si="93"/>
        <v>0</v>
      </c>
      <c r="BO122" s="123">
        <f t="shared" ref="BO122:CT122" si="94">IF(BO84&lt;$C$41,BO121,0)</f>
        <v>0</v>
      </c>
      <c r="BP122" s="123">
        <f t="shared" si="94"/>
        <v>0</v>
      </c>
      <c r="BQ122" s="123">
        <f t="shared" si="94"/>
        <v>0</v>
      </c>
      <c r="BR122" s="123">
        <f t="shared" si="94"/>
        <v>0</v>
      </c>
      <c r="BS122" s="123">
        <f t="shared" si="94"/>
        <v>0</v>
      </c>
      <c r="BT122" s="123">
        <f t="shared" si="94"/>
        <v>0</v>
      </c>
      <c r="BU122" s="123">
        <f t="shared" si="94"/>
        <v>0</v>
      </c>
      <c r="BV122" s="123">
        <f t="shared" si="94"/>
        <v>0</v>
      </c>
      <c r="BW122" s="123">
        <f t="shared" si="94"/>
        <v>0</v>
      </c>
      <c r="BX122" s="123">
        <f t="shared" si="94"/>
        <v>0</v>
      </c>
      <c r="BY122" s="123">
        <f t="shared" si="94"/>
        <v>0</v>
      </c>
      <c r="BZ122" s="123">
        <f t="shared" si="94"/>
        <v>0</v>
      </c>
      <c r="CA122" s="123">
        <f t="shared" si="94"/>
        <v>0</v>
      </c>
      <c r="CB122" s="123">
        <f t="shared" si="94"/>
        <v>0</v>
      </c>
      <c r="CC122" s="123">
        <f t="shared" si="94"/>
        <v>0</v>
      </c>
      <c r="CD122" s="123">
        <f t="shared" si="94"/>
        <v>0</v>
      </c>
      <c r="CE122" s="123">
        <f t="shared" si="94"/>
        <v>0</v>
      </c>
      <c r="CF122" s="123">
        <f t="shared" si="94"/>
        <v>0</v>
      </c>
      <c r="CG122" s="123">
        <f t="shared" si="94"/>
        <v>0</v>
      </c>
      <c r="CH122" s="123">
        <f t="shared" si="94"/>
        <v>0</v>
      </c>
      <c r="CI122" s="123">
        <f t="shared" si="94"/>
        <v>0</v>
      </c>
      <c r="CJ122" s="123">
        <f t="shared" si="94"/>
        <v>0</v>
      </c>
      <c r="CK122" s="123">
        <f t="shared" si="94"/>
        <v>0</v>
      </c>
      <c r="CL122" s="123">
        <f t="shared" si="94"/>
        <v>0</v>
      </c>
      <c r="CM122" s="123">
        <f t="shared" si="94"/>
        <v>0</v>
      </c>
      <c r="CN122" s="123">
        <f t="shared" si="94"/>
        <v>0</v>
      </c>
      <c r="CO122" s="123">
        <f t="shared" si="94"/>
        <v>0</v>
      </c>
      <c r="CP122" s="123">
        <f t="shared" si="94"/>
        <v>0</v>
      </c>
      <c r="CQ122" s="123">
        <f t="shared" si="94"/>
        <v>0</v>
      </c>
      <c r="CR122" s="123">
        <f t="shared" si="94"/>
        <v>0</v>
      </c>
      <c r="CS122" s="123">
        <f t="shared" si="94"/>
        <v>0</v>
      </c>
      <c r="CT122" s="123">
        <f t="shared" si="94"/>
        <v>0</v>
      </c>
      <c r="CU122" s="123">
        <f t="shared" ref="CU122:CX122" si="95">IF(CU84&lt;$C$41,CU121,0)</f>
        <v>0</v>
      </c>
      <c r="CV122" s="123">
        <f t="shared" si="95"/>
        <v>0</v>
      </c>
      <c r="CW122" s="123">
        <f t="shared" si="95"/>
        <v>0</v>
      </c>
      <c r="CX122" s="123">
        <f t="shared" si="95"/>
        <v>0</v>
      </c>
    </row>
    <row r="123" spans="1:103" ht="20.100000000000001" customHeight="1">
      <c r="A123" s="195">
        <f>SUM(C123:CX123)</f>
        <v>0.99999999999999989</v>
      </c>
      <c r="B123" s="110" t="s">
        <v>173</v>
      </c>
      <c r="C123" s="195">
        <f t="shared" ref="C123:AH123" si="96">IF(AND(C84&gt;$C$41,C84&lt;$C$43),$C$32,IF(OR(C84=$C$41,C84=$C$43),$C$32/2,0))</f>
        <v>0</v>
      </c>
      <c r="D123" s="195">
        <f t="shared" si="96"/>
        <v>0.05</v>
      </c>
      <c r="E123" s="195">
        <f t="shared" si="96"/>
        <v>0.1</v>
      </c>
      <c r="F123" s="195">
        <f t="shared" si="96"/>
        <v>0.1</v>
      </c>
      <c r="G123" s="195">
        <f t="shared" si="96"/>
        <v>0.1</v>
      </c>
      <c r="H123" s="195">
        <f t="shared" si="96"/>
        <v>0.1</v>
      </c>
      <c r="I123" s="195">
        <f t="shared" si="96"/>
        <v>0.1</v>
      </c>
      <c r="J123" s="195">
        <f t="shared" si="96"/>
        <v>0.1</v>
      </c>
      <c r="K123" s="195">
        <f t="shared" si="96"/>
        <v>0.1</v>
      </c>
      <c r="L123" s="195">
        <f t="shared" si="96"/>
        <v>0.1</v>
      </c>
      <c r="M123" s="195">
        <f t="shared" si="96"/>
        <v>0.1</v>
      </c>
      <c r="N123" s="195">
        <f t="shared" si="96"/>
        <v>0.05</v>
      </c>
      <c r="O123" s="195">
        <f t="shared" si="96"/>
        <v>0</v>
      </c>
      <c r="P123" s="195">
        <f t="shared" si="96"/>
        <v>0</v>
      </c>
      <c r="Q123" s="195">
        <f t="shared" si="96"/>
        <v>0</v>
      </c>
      <c r="R123" s="195">
        <f t="shared" si="96"/>
        <v>0</v>
      </c>
      <c r="S123" s="195">
        <f t="shared" si="96"/>
        <v>0</v>
      </c>
      <c r="T123" s="195">
        <f t="shared" si="96"/>
        <v>0</v>
      </c>
      <c r="U123" s="195">
        <f t="shared" si="96"/>
        <v>0</v>
      </c>
      <c r="V123" s="195">
        <f t="shared" si="96"/>
        <v>0</v>
      </c>
      <c r="W123" s="195">
        <f t="shared" si="96"/>
        <v>0</v>
      </c>
      <c r="X123" s="195">
        <f t="shared" si="96"/>
        <v>0</v>
      </c>
      <c r="Y123" s="195">
        <f t="shared" si="96"/>
        <v>0</v>
      </c>
      <c r="Z123" s="195">
        <f t="shared" si="96"/>
        <v>0</v>
      </c>
      <c r="AA123" s="195">
        <f t="shared" si="96"/>
        <v>0</v>
      </c>
      <c r="AB123" s="195">
        <f t="shared" si="96"/>
        <v>0</v>
      </c>
      <c r="AC123" s="195">
        <f t="shared" si="96"/>
        <v>0</v>
      </c>
      <c r="AD123" s="195">
        <f t="shared" si="96"/>
        <v>0</v>
      </c>
      <c r="AE123" s="195">
        <f t="shared" si="96"/>
        <v>0</v>
      </c>
      <c r="AF123" s="195">
        <f t="shared" si="96"/>
        <v>0</v>
      </c>
      <c r="AG123" s="195">
        <f t="shared" si="96"/>
        <v>0</v>
      </c>
      <c r="AH123" s="195">
        <f t="shared" si="96"/>
        <v>0</v>
      </c>
      <c r="AI123" s="195">
        <f t="shared" ref="AI123:BN123" si="97">IF(AND(AI84&gt;$C$41,AI84&lt;$C$43),$C$32,IF(OR(AI84=$C$41,AI84=$C$43),$C$32/2,0))</f>
        <v>0</v>
      </c>
      <c r="AJ123" s="195">
        <f t="shared" si="97"/>
        <v>0</v>
      </c>
      <c r="AK123" s="195">
        <f t="shared" si="97"/>
        <v>0</v>
      </c>
      <c r="AL123" s="195">
        <f t="shared" si="97"/>
        <v>0</v>
      </c>
      <c r="AM123" s="195">
        <f t="shared" si="97"/>
        <v>0</v>
      </c>
      <c r="AN123" s="195">
        <f t="shared" si="97"/>
        <v>0</v>
      </c>
      <c r="AO123" s="195">
        <f t="shared" si="97"/>
        <v>0</v>
      </c>
      <c r="AP123" s="195">
        <f t="shared" si="97"/>
        <v>0</v>
      </c>
      <c r="AQ123" s="195">
        <f t="shared" si="97"/>
        <v>0</v>
      </c>
      <c r="AR123" s="195">
        <f t="shared" si="97"/>
        <v>0</v>
      </c>
      <c r="AS123" s="195">
        <f t="shared" si="97"/>
        <v>0</v>
      </c>
      <c r="AT123" s="195">
        <f t="shared" si="97"/>
        <v>0</v>
      </c>
      <c r="AU123" s="195">
        <f t="shared" si="97"/>
        <v>0</v>
      </c>
      <c r="AV123" s="195">
        <f t="shared" si="97"/>
        <v>0</v>
      </c>
      <c r="AW123" s="195">
        <f t="shared" si="97"/>
        <v>0</v>
      </c>
      <c r="AX123" s="195">
        <f t="shared" si="97"/>
        <v>0</v>
      </c>
      <c r="AY123" s="195">
        <f t="shared" si="97"/>
        <v>0</v>
      </c>
      <c r="AZ123" s="195">
        <f t="shared" si="97"/>
        <v>0</v>
      </c>
      <c r="BA123" s="195">
        <f t="shared" si="97"/>
        <v>0</v>
      </c>
      <c r="BB123" s="195">
        <f t="shared" si="97"/>
        <v>0</v>
      </c>
      <c r="BC123" s="195">
        <f t="shared" si="97"/>
        <v>0</v>
      </c>
      <c r="BD123" s="195">
        <f t="shared" si="97"/>
        <v>0</v>
      </c>
      <c r="BE123" s="195">
        <f t="shared" si="97"/>
        <v>0</v>
      </c>
      <c r="BF123" s="195">
        <f t="shared" si="97"/>
        <v>0</v>
      </c>
      <c r="BG123" s="195">
        <f t="shared" si="97"/>
        <v>0</v>
      </c>
      <c r="BH123" s="195">
        <f t="shared" si="97"/>
        <v>0</v>
      </c>
      <c r="BI123" s="195">
        <f t="shared" si="97"/>
        <v>0</v>
      </c>
      <c r="BJ123" s="195">
        <f t="shared" si="97"/>
        <v>0</v>
      </c>
      <c r="BK123" s="195">
        <f t="shared" si="97"/>
        <v>0</v>
      </c>
      <c r="BL123" s="195">
        <f t="shared" si="97"/>
        <v>0</v>
      </c>
      <c r="BM123" s="195">
        <f t="shared" si="97"/>
        <v>0</v>
      </c>
      <c r="BN123" s="195">
        <f t="shared" si="97"/>
        <v>0</v>
      </c>
      <c r="BO123" s="195">
        <f t="shared" ref="BO123:CX123" si="98">IF(AND(BO84&gt;$C$41,BO84&lt;$C$43),$C$32,IF(OR(BO84=$C$41,BO84=$C$43),$C$32/2,0))</f>
        <v>0</v>
      </c>
      <c r="BP123" s="195">
        <f t="shared" si="98"/>
        <v>0</v>
      </c>
      <c r="BQ123" s="195">
        <f t="shared" si="98"/>
        <v>0</v>
      </c>
      <c r="BR123" s="195">
        <f t="shared" si="98"/>
        <v>0</v>
      </c>
      <c r="BS123" s="195">
        <f t="shared" si="98"/>
        <v>0</v>
      </c>
      <c r="BT123" s="195">
        <f t="shared" si="98"/>
        <v>0</v>
      </c>
      <c r="BU123" s="195">
        <f t="shared" si="98"/>
        <v>0</v>
      </c>
      <c r="BV123" s="195">
        <f t="shared" si="98"/>
        <v>0</v>
      </c>
      <c r="BW123" s="195">
        <f t="shared" si="98"/>
        <v>0</v>
      </c>
      <c r="BX123" s="195">
        <f t="shared" si="98"/>
        <v>0</v>
      </c>
      <c r="BY123" s="195">
        <f t="shared" si="98"/>
        <v>0</v>
      </c>
      <c r="BZ123" s="195">
        <f t="shared" si="98"/>
        <v>0</v>
      </c>
      <c r="CA123" s="195">
        <f t="shared" si="98"/>
        <v>0</v>
      </c>
      <c r="CB123" s="195">
        <f t="shared" si="98"/>
        <v>0</v>
      </c>
      <c r="CC123" s="195">
        <f t="shared" si="98"/>
        <v>0</v>
      </c>
      <c r="CD123" s="195">
        <f t="shared" si="98"/>
        <v>0</v>
      </c>
      <c r="CE123" s="195">
        <f t="shared" si="98"/>
        <v>0</v>
      </c>
      <c r="CF123" s="195">
        <f t="shared" si="98"/>
        <v>0</v>
      </c>
      <c r="CG123" s="195">
        <f t="shared" si="98"/>
        <v>0</v>
      </c>
      <c r="CH123" s="195">
        <f t="shared" si="98"/>
        <v>0</v>
      </c>
      <c r="CI123" s="195">
        <f t="shared" si="98"/>
        <v>0</v>
      </c>
      <c r="CJ123" s="195">
        <f t="shared" si="98"/>
        <v>0</v>
      </c>
      <c r="CK123" s="195">
        <f t="shared" si="98"/>
        <v>0</v>
      </c>
      <c r="CL123" s="195">
        <f t="shared" si="98"/>
        <v>0</v>
      </c>
      <c r="CM123" s="195">
        <f t="shared" si="98"/>
        <v>0</v>
      </c>
      <c r="CN123" s="195">
        <f t="shared" si="98"/>
        <v>0</v>
      </c>
      <c r="CO123" s="195">
        <f t="shared" si="98"/>
        <v>0</v>
      </c>
      <c r="CP123" s="195">
        <f t="shared" si="98"/>
        <v>0</v>
      </c>
      <c r="CQ123" s="195">
        <f t="shared" si="98"/>
        <v>0</v>
      </c>
      <c r="CR123" s="195">
        <f t="shared" si="98"/>
        <v>0</v>
      </c>
      <c r="CS123" s="195">
        <f t="shared" si="98"/>
        <v>0</v>
      </c>
      <c r="CT123" s="195">
        <f t="shared" si="98"/>
        <v>0</v>
      </c>
      <c r="CU123" s="195">
        <f t="shared" si="98"/>
        <v>0</v>
      </c>
      <c r="CV123" s="195">
        <f t="shared" si="98"/>
        <v>0</v>
      </c>
      <c r="CW123" s="195">
        <f t="shared" si="98"/>
        <v>0</v>
      </c>
      <c r="CX123" s="195">
        <f t="shared" si="98"/>
        <v>0</v>
      </c>
    </row>
    <row r="124" spans="1:103" ht="20.100000000000001" customHeight="1">
      <c r="A124" s="184">
        <f t="shared" si="89"/>
        <v>107497278.11831589</v>
      </c>
      <c r="B124" s="110" t="str">
        <f>"Depreciation Schedule - straight line"&amp;ROUND(C31,0)&amp;" years"</f>
        <v>Depreciation Schedule - straight line10 years</v>
      </c>
      <c r="C124" s="196">
        <f t="shared" ref="C124:AH124" si="99">IF(C84&lt;=$C$43,$A$122*C123,0)</f>
        <v>0</v>
      </c>
      <c r="D124" s="196">
        <f t="shared" si="99"/>
        <v>5374863.905915794</v>
      </c>
      <c r="E124" s="196">
        <f t="shared" si="99"/>
        <v>10749727.811831588</v>
      </c>
      <c r="F124" s="196">
        <f t="shared" si="99"/>
        <v>10749727.811831588</v>
      </c>
      <c r="G124" s="196">
        <f t="shared" si="99"/>
        <v>10749727.811831588</v>
      </c>
      <c r="H124" s="196">
        <f t="shared" si="99"/>
        <v>10749727.811831588</v>
      </c>
      <c r="I124" s="196">
        <f t="shared" si="99"/>
        <v>10749727.811831588</v>
      </c>
      <c r="J124" s="196">
        <f t="shared" si="99"/>
        <v>10749727.811831588</v>
      </c>
      <c r="K124" s="196">
        <f t="shared" si="99"/>
        <v>10749727.811831588</v>
      </c>
      <c r="L124" s="196">
        <f t="shared" si="99"/>
        <v>10749727.811831588</v>
      </c>
      <c r="M124" s="196">
        <f t="shared" si="99"/>
        <v>10749727.811831588</v>
      </c>
      <c r="N124" s="196">
        <f t="shared" si="99"/>
        <v>5374863.905915794</v>
      </c>
      <c r="O124" s="196">
        <f t="shared" si="99"/>
        <v>0</v>
      </c>
      <c r="P124" s="196">
        <f t="shared" si="99"/>
        <v>0</v>
      </c>
      <c r="Q124" s="196">
        <f t="shared" si="99"/>
        <v>0</v>
      </c>
      <c r="R124" s="196">
        <f t="shared" si="99"/>
        <v>0</v>
      </c>
      <c r="S124" s="196">
        <f t="shared" si="99"/>
        <v>0</v>
      </c>
      <c r="T124" s="196">
        <f t="shared" si="99"/>
        <v>0</v>
      </c>
      <c r="U124" s="196">
        <f t="shared" si="99"/>
        <v>0</v>
      </c>
      <c r="V124" s="196">
        <f t="shared" si="99"/>
        <v>0</v>
      </c>
      <c r="W124" s="196">
        <f t="shared" si="99"/>
        <v>0</v>
      </c>
      <c r="X124" s="196">
        <f t="shared" si="99"/>
        <v>0</v>
      </c>
      <c r="Y124" s="196">
        <f t="shared" si="99"/>
        <v>0</v>
      </c>
      <c r="Z124" s="196">
        <f t="shared" si="99"/>
        <v>0</v>
      </c>
      <c r="AA124" s="196">
        <f t="shared" si="99"/>
        <v>0</v>
      </c>
      <c r="AB124" s="196">
        <f t="shared" si="99"/>
        <v>0</v>
      </c>
      <c r="AC124" s="196">
        <f t="shared" si="99"/>
        <v>0</v>
      </c>
      <c r="AD124" s="196">
        <f t="shared" si="99"/>
        <v>0</v>
      </c>
      <c r="AE124" s="196">
        <f t="shared" si="99"/>
        <v>0</v>
      </c>
      <c r="AF124" s="196">
        <f t="shared" si="99"/>
        <v>0</v>
      </c>
      <c r="AG124" s="196">
        <f t="shared" si="99"/>
        <v>0</v>
      </c>
      <c r="AH124" s="196">
        <f t="shared" si="99"/>
        <v>0</v>
      </c>
      <c r="AI124" s="196">
        <f t="shared" ref="AI124:BN124" si="100">IF(AI84&lt;=$C$43,$A$122*AI123,0)</f>
        <v>0</v>
      </c>
      <c r="AJ124" s="196">
        <f t="shared" si="100"/>
        <v>0</v>
      </c>
      <c r="AK124" s="196">
        <f t="shared" si="100"/>
        <v>0</v>
      </c>
      <c r="AL124" s="196">
        <f t="shared" si="100"/>
        <v>0</v>
      </c>
      <c r="AM124" s="196">
        <f t="shared" si="100"/>
        <v>0</v>
      </c>
      <c r="AN124" s="196">
        <f t="shared" si="100"/>
        <v>0</v>
      </c>
      <c r="AO124" s="196">
        <f t="shared" si="100"/>
        <v>0</v>
      </c>
      <c r="AP124" s="196">
        <f t="shared" si="100"/>
        <v>0</v>
      </c>
      <c r="AQ124" s="196">
        <f t="shared" si="100"/>
        <v>0</v>
      </c>
      <c r="AR124" s="196">
        <f t="shared" si="100"/>
        <v>0</v>
      </c>
      <c r="AS124" s="196">
        <f t="shared" si="100"/>
        <v>0</v>
      </c>
      <c r="AT124" s="196">
        <f t="shared" si="100"/>
        <v>0</v>
      </c>
      <c r="AU124" s="196">
        <f t="shared" si="100"/>
        <v>0</v>
      </c>
      <c r="AV124" s="196">
        <f t="shared" si="100"/>
        <v>0</v>
      </c>
      <c r="AW124" s="196">
        <f t="shared" si="100"/>
        <v>0</v>
      </c>
      <c r="AX124" s="196">
        <f t="shared" si="100"/>
        <v>0</v>
      </c>
      <c r="AY124" s="196">
        <f t="shared" si="100"/>
        <v>0</v>
      </c>
      <c r="AZ124" s="196">
        <f t="shared" si="100"/>
        <v>0</v>
      </c>
      <c r="BA124" s="196">
        <f t="shared" si="100"/>
        <v>0</v>
      </c>
      <c r="BB124" s="196">
        <f t="shared" si="100"/>
        <v>0</v>
      </c>
      <c r="BC124" s="196">
        <f t="shared" si="100"/>
        <v>0</v>
      </c>
      <c r="BD124" s="196">
        <f t="shared" si="100"/>
        <v>0</v>
      </c>
      <c r="BE124" s="196">
        <f t="shared" si="100"/>
        <v>0</v>
      </c>
      <c r="BF124" s="196">
        <f t="shared" si="100"/>
        <v>0</v>
      </c>
      <c r="BG124" s="196">
        <f t="shared" si="100"/>
        <v>0</v>
      </c>
      <c r="BH124" s="196">
        <f t="shared" si="100"/>
        <v>0</v>
      </c>
      <c r="BI124" s="196">
        <f t="shared" si="100"/>
        <v>0</v>
      </c>
      <c r="BJ124" s="196">
        <f t="shared" si="100"/>
        <v>0</v>
      </c>
      <c r="BK124" s="196">
        <f t="shared" si="100"/>
        <v>0</v>
      </c>
      <c r="BL124" s="196">
        <f t="shared" si="100"/>
        <v>0</v>
      </c>
      <c r="BM124" s="196">
        <f t="shared" si="100"/>
        <v>0</v>
      </c>
      <c r="BN124" s="196">
        <f t="shared" si="100"/>
        <v>0</v>
      </c>
      <c r="BO124" s="196">
        <f t="shared" ref="BO124:CT124" si="101">IF(BO84&lt;=$C$43,$A$122*BO123,0)</f>
        <v>0</v>
      </c>
      <c r="BP124" s="196">
        <f t="shared" si="101"/>
        <v>0</v>
      </c>
      <c r="BQ124" s="196">
        <f t="shared" si="101"/>
        <v>0</v>
      </c>
      <c r="BR124" s="196">
        <f t="shared" si="101"/>
        <v>0</v>
      </c>
      <c r="BS124" s="196">
        <f t="shared" si="101"/>
        <v>0</v>
      </c>
      <c r="BT124" s="196">
        <f t="shared" si="101"/>
        <v>0</v>
      </c>
      <c r="BU124" s="196">
        <f t="shared" si="101"/>
        <v>0</v>
      </c>
      <c r="BV124" s="196">
        <f t="shared" si="101"/>
        <v>0</v>
      </c>
      <c r="BW124" s="196">
        <f t="shared" si="101"/>
        <v>0</v>
      </c>
      <c r="BX124" s="196">
        <f t="shared" si="101"/>
        <v>0</v>
      </c>
      <c r="BY124" s="196">
        <f t="shared" si="101"/>
        <v>0</v>
      </c>
      <c r="BZ124" s="196">
        <f t="shared" si="101"/>
        <v>0</v>
      </c>
      <c r="CA124" s="196">
        <f t="shared" si="101"/>
        <v>0</v>
      </c>
      <c r="CB124" s="196">
        <f t="shared" si="101"/>
        <v>0</v>
      </c>
      <c r="CC124" s="196">
        <f t="shared" si="101"/>
        <v>0</v>
      </c>
      <c r="CD124" s="196">
        <f t="shared" si="101"/>
        <v>0</v>
      </c>
      <c r="CE124" s="196">
        <f t="shared" si="101"/>
        <v>0</v>
      </c>
      <c r="CF124" s="196">
        <f t="shared" si="101"/>
        <v>0</v>
      </c>
      <c r="CG124" s="196">
        <f t="shared" si="101"/>
        <v>0</v>
      </c>
      <c r="CH124" s="196">
        <f t="shared" si="101"/>
        <v>0</v>
      </c>
      <c r="CI124" s="196">
        <f t="shared" si="101"/>
        <v>0</v>
      </c>
      <c r="CJ124" s="196">
        <f t="shared" si="101"/>
        <v>0</v>
      </c>
      <c r="CK124" s="196">
        <f t="shared" si="101"/>
        <v>0</v>
      </c>
      <c r="CL124" s="196">
        <f t="shared" si="101"/>
        <v>0</v>
      </c>
      <c r="CM124" s="196">
        <f t="shared" si="101"/>
        <v>0</v>
      </c>
      <c r="CN124" s="196">
        <f t="shared" si="101"/>
        <v>0</v>
      </c>
      <c r="CO124" s="196">
        <f t="shared" si="101"/>
        <v>0</v>
      </c>
      <c r="CP124" s="196">
        <f t="shared" si="101"/>
        <v>0</v>
      </c>
      <c r="CQ124" s="196">
        <f t="shared" si="101"/>
        <v>0</v>
      </c>
      <c r="CR124" s="196">
        <f t="shared" si="101"/>
        <v>0</v>
      </c>
      <c r="CS124" s="196">
        <f t="shared" si="101"/>
        <v>0</v>
      </c>
      <c r="CT124" s="196">
        <f t="shared" si="101"/>
        <v>0</v>
      </c>
      <c r="CU124" s="196">
        <f t="shared" ref="CU124:CX124" si="102">IF(CU84&lt;=$C$43,$A$122*CU123,0)</f>
        <v>0</v>
      </c>
      <c r="CV124" s="196">
        <f t="shared" si="102"/>
        <v>0</v>
      </c>
      <c r="CW124" s="196">
        <f t="shared" si="102"/>
        <v>0</v>
      </c>
      <c r="CX124" s="196">
        <f t="shared" si="102"/>
        <v>0</v>
      </c>
    </row>
    <row r="125" spans="1:103" ht="20.100000000000001" customHeight="1">
      <c r="A125" s="184"/>
      <c r="B125" s="110"/>
      <c r="C125" s="196"/>
      <c r="D125" s="196"/>
      <c r="E125" s="196"/>
      <c r="F125" s="196"/>
      <c r="G125" s="196"/>
      <c r="H125" s="196"/>
      <c r="I125" s="196"/>
      <c r="J125" s="196"/>
      <c r="K125" s="196"/>
      <c r="L125" s="196"/>
      <c r="M125" s="196"/>
      <c r="N125" s="196"/>
      <c r="O125" s="196"/>
      <c r="P125" s="196"/>
      <c r="Q125" s="196"/>
      <c r="R125" s="196"/>
      <c r="S125" s="196"/>
      <c r="T125" s="196"/>
      <c r="U125" s="196"/>
      <c r="V125" s="196"/>
      <c r="W125" s="196"/>
      <c r="X125" s="196"/>
      <c r="Y125" s="196"/>
      <c r="Z125" s="196"/>
      <c r="AA125" s="196"/>
      <c r="AB125" s="196"/>
      <c r="AC125" s="196"/>
      <c r="AD125" s="196"/>
      <c r="AE125" s="196"/>
      <c r="AF125" s="196"/>
      <c r="AG125" s="196"/>
      <c r="AH125" s="196"/>
      <c r="AI125" s="196"/>
      <c r="AJ125" s="196"/>
      <c r="AK125" s="196"/>
      <c r="AL125" s="196"/>
      <c r="AM125" s="196"/>
      <c r="AN125" s="196"/>
      <c r="AO125" s="196"/>
      <c r="AP125" s="196"/>
      <c r="AQ125" s="196"/>
      <c r="AR125" s="196"/>
      <c r="AS125" s="196"/>
      <c r="AT125" s="196"/>
      <c r="AU125" s="196"/>
      <c r="AV125" s="196"/>
      <c r="AW125" s="196"/>
      <c r="AX125" s="196"/>
      <c r="AY125" s="196"/>
      <c r="AZ125" s="196"/>
      <c r="BA125" s="196"/>
      <c r="BB125" s="196"/>
      <c r="BC125" s="196"/>
      <c r="BD125" s="196"/>
      <c r="BE125" s="196"/>
      <c r="BF125" s="196"/>
      <c r="BG125" s="196"/>
      <c r="BH125" s="196"/>
      <c r="BI125" s="196"/>
      <c r="BJ125" s="196"/>
      <c r="BK125" s="196"/>
      <c r="BL125" s="196"/>
      <c r="BM125" s="196"/>
      <c r="BN125" s="196"/>
      <c r="BO125" s="196"/>
      <c r="BP125" s="196"/>
      <c r="BQ125" s="196"/>
      <c r="BR125" s="196"/>
      <c r="BS125" s="196"/>
      <c r="BT125" s="196"/>
      <c r="BU125" s="196"/>
      <c r="BV125" s="196"/>
      <c r="BW125" s="196"/>
      <c r="BX125" s="196"/>
      <c r="BY125" s="196"/>
      <c r="BZ125" s="196"/>
      <c r="CA125" s="196"/>
      <c r="CB125" s="196"/>
      <c r="CC125" s="196"/>
      <c r="CD125" s="196"/>
      <c r="CE125" s="196"/>
      <c r="CF125" s="196"/>
      <c r="CG125" s="196"/>
      <c r="CH125" s="196"/>
      <c r="CI125" s="196"/>
      <c r="CJ125" s="196"/>
      <c r="CK125" s="196"/>
      <c r="CL125" s="196"/>
      <c r="CM125" s="196"/>
      <c r="CN125" s="196"/>
      <c r="CO125" s="196"/>
      <c r="CP125" s="196"/>
      <c r="CQ125" s="196"/>
      <c r="CR125" s="196"/>
      <c r="CS125" s="196"/>
      <c r="CT125" s="196"/>
      <c r="CU125" s="196"/>
      <c r="CV125" s="196"/>
      <c r="CW125" s="196"/>
      <c r="CX125" s="196"/>
    </row>
    <row r="126" spans="1:103" s="99" customFormat="1" ht="20.100000000000001" customHeight="1">
      <c r="A126" s="101" t="s">
        <v>115</v>
      </c>
      <c r="C126" s="197"/>
      <c r="D126" s="197"/>
      <c r="E126" s="197"/>
      <c r="F126" s="198"/>
      <c r="G126" s="198"/>
      <c r="H126" s="198"/>
      <c r="I126" s="198"/>
      <c r="J126" s="198"/>
      <c r="K126" s="198"/>
      <c r="L126" s="198"/>
      <c r="M126" s="198"/>
      <c r="N126" s="198"/>
      <c r="O126" s="198"/>
      <c r="P126" s="198"/>
      <c r="Q126" s="198"/>
      <c r="R126" s="198"/>
      <c r="S126" s="198"/>
      <c r="T126" s="198"/>
      <c r="U126" s="198"/>
      <c r="V126" s="198"/>
      <c r="W126" s="198"/>
      <c r="X126" s="197"/>
      <c r="Y126" s="197"/>
      <c r="Z126" s="197"/>
      <c r="AA126" s="197"/>
      <c r="AB126" s="197"/>
      <c r="AC126" s="197"/>
      <c r="AD126" s="197"/>
      <c r="AE126" s="197"/>
      <c r="AF126" s="197"/>
      <c r="AG126" s="197"/>
      <c r="AH126" s="197"/>
      <c r="AI126" s="197"/>
      <c r="AJ126" s="197"/>
      <c r="AK126" s="197"/>
      <c r="AL126" s="197"/>
      <c r="AM126" s="197"/>
      <c r="AN126" s="197"/>
      <c r="AO126" s="197"/>
      <c r="AP126" s="197"/>
      <c r="AQ126" s="197"/>
      <c r="AR126" s="197"/>
      <c r="AS126" s="197"/>
      <c r="AT126" s="197"/>
      <c r="AU126" s="197"/>
      <c r="AV126" s="197"/>
      <c r="AW126" s="197"/>
      <c r="AX126" s="197"/>
      <c r="AY126" s="197"/>
      <c r="AZ126" s="197"/>
      <c r="BA126" s="197"/>
      <c r="BB126" s="197"/>
      <c r="BC126" s="197"/>
      <c r="BD126" s="197"/>
      <c r="BE126" s="197"/>
      <c r="BF126" s="197"/>
      <c r="BG126" s="197"/>
      <c r="BH126" s="197"/>
      <c r="BI126" s="197"/>
      <c r="BJ126" s="197"/>
      <c r="BK126" s="197"/>
      <c r="BL126" s="197"/>
      <c r="BM126" s="197"/>
      <c r="BN126" s="197"/>
      <c r="BO126" s="197"/>
      <c r="BP126" s="197"/>
      <c r="BQ126" s="197"/>
      <c r="BR126" s="197"/>
      <c r="BS126" s="197"/>
      <c r="BT126" s="197"/>
      <c r="BU126" s="197"/>
      <c r="BV126" s="197"/>
      <c r="BW126" s="197"/>
      <c r="BX126" s="197"/>
      <c r="BY126" s="197"/>
      <c r="BZ126" s="197"/>
      <c r="CA126" s="197"/>
      <c r="CB126" s="197"/>
      <c r="CC126" s="197"/>
      <c r="CD126" s="197"/>
      <c r="CE126" s="197"/>
      <c r="CF126" s="197"/>
      <c r="CG126" s="197"/>
      <c r="CH126" s="197"/>
      <c r="CI126" s="197"/>
      <c r="CJ126" s="197"/>
      <c r="CK126" s="197"/>
      <c r="CL126" s="197"/>
      <c r="CM126" s="197"/>
      <c r="CN126" s="197"/>
      <c r="CO126" s="197"/>
      <c r="CP126" s="197"/>
      <c r="CQ126" s="197"/>
      <c r="CR126" s="197"/>
      <c r="CS126" s="197"/>
      <c r="CT126" s="197"/>
      <c r="CU126" s="197"/>
      <c r="CV126" s="197"/>
      <c r="CW126" s="197"/>
      <c r="CX126" s="197"/>
    </row>
    <row r="127" spans="1:103" ht="20.100000000000001" customHeight="1">
      <c r="A127" s="123"/>
      <c r="B127" s="169" t="s">
        <v>147</v>
      </c>
      <c r="C127" s="137">
        <f>$C$38</f>
        <v>2024</v>
      </c>
      <c r="D127" s="137">
        <f t="shared" ref="D127:BO128" si="103">C127+1</f>
        <v>2025</v>
      </c>
      <c r="E127" s="137">
        <f t="shared" si="103"/>
        <v>2026</v>
      </c>
      <c r="F127" s="137">
        <f t="shared" si="103"/>
        <v>2027</v>
      </c>
      <c r="G127" s="137">
        <f t="shared" si="103"/>
        <v>2028</v>
      </c>
      <c r="H127" s="137">
        <f t="shared" si="103"/>
        <v>2029</v>
      </c>
      <c r="I127" s="137">
        <f t="shared" si="103"/>
        <v>2030</v>
      </c>
      <c r="J127" s="137">
        <f t="shared" si="103"/>
        <v>2031</v>
      </c>
      <c r="K127" s="137">
        <f t="shared" si="103"/>
        <v>2032</v>
      </c>
      <c r="L127" s="137">
        <f t="shared" si="103"/>
        <v>2033</v>
      </c>
      <c r="M127" s="137">
        <f t="shared" si="103"/>
        <v>2034</v>
      </c>
      <c r="N127" s="137">
        <f t="shared" si="103"/>
        <v>2035</v>
      </c>
      <c r="O127" s="137">
        <f t="shared" si="103"/>
        <v>2036</v>
      </c>
      <c r="P127" s="137">
        <f t="shared" si="103"/>
        <v>2037</v>
      </c>
      <c r="Q127" s="137">
        <f t="shared" si="103"/>
        <v>2038</v>
      </c>
      <c r="R127" s="137">
        <f t="shared" si="103"/>
        <v>2039</v>
      </c>
      <c r="S127" s="137">
        <f t="shared" si="103"/>
        <v>2040</v>
      </c>
      <c r="T127" s="137">
        <f t="shared" si="103"/>
        <v>2041</v>
      </c>
      <c r="U127" s="137">
        <f t="shared" si="103"/>
        <v>2042</v>
      </c>
      <c r="V127" s="137">
        <f t="shared" si="103"/>
        <v>2043</v>
      </c>
      <c r="W127" s="137">
        <f t="shared" si="103"/>
        <v>2044</v>
      </c>
      <c r="X127" s="137">
        <f t="shared" si="103"/>
        <v>2045</v>
      </c>
      <c r="Y127" s="137">
        <f t="shared" si="103"/>
        <v>2046</v>
      </c>
      <c r="Z127" s="137">
        <f t="shared" si="103"/>
        <v>2047</v>
      </c>
      <c r="AA127" s="137">
        <f t="shared" si="103"/>
        <v>2048</v>
      </c>
      <c r="AB127" s="137">
        <f t="shared" si="103"/>
        <v>2049</v>
      </c>
      <c r="AC127" s="137">
        <f t="shared" si="103"/>
        <v>2050</v>
      </c>
      <c r="AD127" s="137">
        <f t="shared" si="103"/>
        <v>2051</v>
      </c>
      <c r="AE127" s="137">
        <f t="shared" si="103"/>
        <v>2052</v>
      </c>
      <c r="AF127" s="137">
        <f t="shared" si="103"/>
        <v>2053</v>
      </c>
      <c r="AG127" s="137">
        <f t="shared" si="103"/>
        <v>2054</v>
      </c>
      <c r="AH127" s="137">
        <f t="shared" si="103"/>
        <v>2055</v>
      </c>
      <c r="AI127" s="137">
        <f t="shared" si="103"/>
        <v>2056</v>
      </c>
      <c r="AJ127" s="137">
        <f t="shared" si="103"/>
        <v>2057</v>
      </c>
      <c r="AK127" s="137">
        <f t="shared" si="103"/>
        <v>2058</v>
      </c>
      <c r="AL127" s="137">
        <f t="shared" si="103"/>
        <v>2059</v>
      </c>
      <c r="AM127" s="137">
        <f t="shared" si="103"/>
        <v>2060</v>
      </c>
      <c r="AN127" s="137">
        <f t="shared" si="103"/>
        <v>2061</v>
      </c>
      <c r="AO127" s="137">
        <f t="shared" si="103"/>
        <v>2062</v>
      </c>
      <c r="AP127" s="137">
        <f t="shared" si="103"/>
        <v>2063</v>
      </c>
      <c r="AQ127" s="137">
        <f t="shared" si="103"/>
        <v>2064</v>
      </c>
      <c r="AR127" s="137">
        <f t="shared" si="103"/>
        <v>2065</v>
      </c>
      <c r="AS127" s="137">
        <f t="shared" si="103"/>
        <v>2066</v>
      </c>
      <c r="AT127" s="137">
        <f t="shared" si="103"/>
        <v>2067</v>
      </c>
      <c r="AU127" s="137">
        <f t="shared" si="103"/>
        <v>2068</v>
      </c>
      <c r="AV127" s="137">
        <f t="shared" si="103"/>
        <v>2069</v>
      </c>
      <c r="AW127" s="137">
        <f t="shared" si="103"/>
        <v>2070</v>
      </c>
      <c r="AX127" s="137">
        <f t="shared" si="103"/>
        <v>2071</v>
      </c>
      <c r="AY127" s="137">
        <f t="shared" si="103"/>
        <v>2072</v>
      </c>
      <c r="AZ127" s="137">
        <f t="shared" si="103"/>
        <v>2073</v>
      </c>
      <c r="BA127" s="137">
        <f t="shared" si="103"/>
        <v>2074</v>
      </c>
      <c r="BB127" s="137">
        <f t="shared" si="103"/>
        <v>2075</v>
      </c>
      <c r="BC127" s="137">
        <f t="shared" si="103"/>
        <v>2076</v>
      </c>
      <c r="BD127" s="137">
        <f t="shared" si="103"/>
        <v>2077</v>
      </c>
      <c r="BE127" s="137">
        <f t="shared" si="103"/>
        <v>2078</v>
      </c>
      <c r="BF127" s="137">
        <f t="shared" si="103"/>
        <v>2079</v>
      </c>
      <c r="BG127" s="137">
        <f t="shared" si="103"/>
        <v>2080</v>
      </c>
      <c r="BH127" s="137">
        <f t="shared" si="103"/>
        <v>2081</v>
      </c>
      <c r="BI127" s="137">
        <f t="shared" si="103"/>
        <v>2082</v>
      </c>
      <c r="BJ127" s="137">
        <f t="shared" si="103"/>
        <v>2083</v>
      </c>
      <c r="BK127" s="137">
        <f t="shared" si="103"/>
        <v>2084</v>
      </c>
      <c r="BL127" s="137">
        <f t="shared" si="103"/>
        <v>2085</v>
      </c>
      <c r="BM127" s="137">
        <f t="shared" si="103"/>
        <v>2086</v>
      </c>
      <c r="BN127" s="137">
        <f t="shared" si="103"/>
        <v>2087</v>
      </c>
      <c r="BO127" s="137">
        <f t="shared" si="103"/>
        <v>2088</v>
      </c>
      <c r="BP127" s="137">
        <f t="shared" ref="BP127:CX128" si="104">BO127+1</f>
        <v>2089</v>
      </c>
      <c r="BQ127" s="137">
        <f t="shared" si="104"/>
        <v>2090</v>
      </c>
      <c r="BR127" s="137">
        <f t="shared" si="104"/>
        <v>2091</v>
      </c>
      <c r="BS127" s="137">
        <f t="shared" si="104"/>
        <v>2092</v>
      </c>
      <c r="BT127" s="137">
        <f t="shared" si="104"/>
        <v>2093</v>
      </c>
      <c r="BU127" s="137">
        <f t="shared" si="104"/>
        <v>2094</v>
      </c>
      <c r="BV127" s="137">
        <f t="shared" si="104"/>
        <v>2095</v>
      </c>
      <c r="BW127" s="137">
        <f t="shared" si="104"/>
        <v>2096</v>
      </c>
      <c r="BX127" s="137">
        <f t="shared" si="104"/>
        <v>2097</v>
      </c>
      <c r="BY127" s="137">
        <f t="shared" si="104"/>
        <v>2098</v>
      </c>
      <c r="BZ127" s="137">
        <f t="shared" si="104"/>
        <v>2099</v>
      </c>
      <c r="CA127" s="137">
        <f t="shared" si="104"/>
        <v>2100</v>
      </c>
      <c r="CB127" s="137">
        <f t="shared" si="104"/>
        <v>2101</v>
      </c>
      <c r="CC127" s="137">
        <f t="shared" si="104"/>
        <v>2102</v>
      </c>
      <c r="CD127" s="137">
        <f t="shared" si="104"/>
        <v>2103</v>
      </c>
      <c r="CE127" s="137">
        <f t="shared" si="104"/>
        <v>2104</v>
      </c>
      <c r="CF127" s="137">
        <f t="shared" si="104"/>
        <v>2105</v>
      </c>
      <c r="CG127" s="137">
        <f t="shared" si="104"/>
        <v>2106</v>
      </c>
      <c r="CH127" s="137">
        <f t="shared" si="104"/>
        <v>2107</v>
      </c>
      <c r="CI127" s="137">
        <f t="shared" si="104"/>
        <v>2108</v>
      </c>
      <c r="CJ127" s="137">
        <f t="shared" si="104"/>
        <v>2109</v>
      </c>
      <c r="CK127" s="137">
        <f t="shared" si="104"/>
        <v>2110</v>
      </c>
      <c r="CL127" s="137">
        <f t="shared" si="104"/>
        <v>2111</v>
      </c>
      <c r="CM127" s="137">
        <f t="shared" si="104"/>
        <v>2112</v>
      </c>
      <c r="CN127" s="137">
        <f t="shared" si="104"/>
        <v>2113</v>
      </c>
      <c r="CO127" s="137">
        <f t="shared" si="104"/>
        <v>2114</v>
      </c>
      <c r="CP127" s="137">
        <f t="shared" si="104"/>
        <v>2115</v>
      </c>
      <c r="CQ127" s="137">
        <f t="shared" si="104"/>
        <v>2116</v>
      </c>
      <c r="CR127" s="137">
        <f t="shared" si="104"/>
        <v>2117</v>
      </c>
      <c r="CS127" s="137">
        <f t="shared" si="104"/>
        <v>2118</v>
      </c>
      <c r="CT127" s="137">
        <f t="shared" si="104"/>
        <v>2119</v>
      </c>
      <c r="CU127" s="137">
        <f t="shared" si="104"/>
        <v>2120</v>
      </c>
      <c r="CV127" s="137">
        <f t="shared" si="104"/>
        <v>2121</v>
      </c>
      <c r="CW127" s="137">
        <f t="shared" si="104"/>
        <v>2122</v>
      </c>
      <c r="CX127" s="170">
        <f t="shared" si="104"/>
        <v>2123</v>
      </c>
    </row>
    <row r="128" spans="1:103" ht="20.100000000000001" customHeight="1">
      <c r="A128" s="123"/>
      <c r="B128" s="171" t="s">
        <v>148</v>
      </c>
      <c r="C128" s="172">
        <v>1</v>
      </c>
      <c r="D128" s="172">
        <f t="shared" si="103"/>
        <v>2</v>
      </c>
      <c r="E128" s="172">
        <f t="shared" si="103"/>
        <v>3</v>
      </c>
      <c r="F128" s="172">
        <f t="shared" si="103"/>
        <v>4</v>
      </c>
      <c r="G128" s="172">
        <f t="shared" si="103"/>
        <v>5</v>
      </c>
      <c r="H128" s="172">
        <f t="shared" si="103"/>
        <v>6</v>
      </c>
      <c r="I128" s="172">
        <f t="shared" si="103"/>
        <v>7</v>
      </c>
      <c r="J128" s="172">
        <f t="shared" si="103"/>
        <v>8</v>
      </c>
      <c r="K128" s="172">
        <f t="shared" si="103"/>
        <v>9</v>
      </c>
      <c r="L128" s="172">
        <f t="shared" si="103"/>
        <v>10</v>
      </c>
      <c r="M128" s="172">
        <f t="shared" si="103"/>
        <v>11</v>
      </c>
      <c r="N128" s="172">
        <f t="shared" si="103"/>
        <v>12</v>
      </c>
      <c r="O128" s="172">
        <f t="shared" si="103"/>
        <v>13</v>
      </c>
      <c r="P128" s="172">
        <f t="shared" si="103"/>
        <v>14</v>
      </c>
      <c r="Q128" s="172">
        <f t="shared" si="103"/>
        <v>15</v>
      </c>
      <c r="R128" s="172">
        <f t="shared" si="103"/>
        <v>16</v>
      </c>
      <c r="S128" s="172">
        <f t="shared" si="103"/>
        <v>17</v>
      </c>
      <c r="T128" s="172">
        <f t="shared" si="103"/>
        <v>18</v>
      </c>
      <c r="U128" s="172">
        <f t="shared" si="103"/>
        <v>19</v>
      </c>
      <c r="V128" s="172">
        <f t="shared" si="103"/>
        <v>20</v>
      </c>
      <c r="W128" s="172">
        <f t="shared" si="103"/>
        <v>21</v>
      </c>
      <c r="X128" s="172">
        <f t="shared" si="103"/>
        <v>22</v>
      </c>
      <c r="Y128" s="172">
        <f t="shared" si="103"/>
        <v>23</v>
      </c>
      <c r="Z128" s="172">
        <f t="shared" si="103"/>
        <v>24</v>
      </c>
      <c r="AA128" s="172">
        <f t="shared" si="103"/>
        <v>25</v>
      </c>
      <c r="AB128" s="172">
        <f t="shared" si="103"/>
        <v>26</v>
      </c>
      <c r="AC128" s="172">
        <f t="shared" si="103"/>
        <v>27</v>
      </c>
      <c r="AD128" s="172">
        <f t="shared" si="103"/>
        <v>28</v>
      </c>
      <c r="AE128" s="172">
        <f t="shared" si="103"/>
        <v>29</v>
      </c>
      <c r="AF128" s="172">
        <f t="shared" si="103"/>
        <v>30</v>
      </c>
      <c r="AG128" s="172">
        <f t="shared" si="103"/>
        <v>31</v>
      </c>
      <c r="AH128" s="172">
        <f t="shared" si="103"/>
        <v>32</v>
      </c>
      <c r="AI128" s="172">
        <f t="shared" si="103"/>
        <v>33</v>
      </c>
      <c r="AJ128" s="172">
        <f t="shared" si="103"/>
        <v>34</v>
      </c>
      <c r="AK128" s="172">
        <f t="shared" si="103"/>
        <v>35</v>
      </c>
      <c r="AL128" s="172">
        <f t="shared" si="103"/>
        <v>36</v>
      </c>
      <c r="AM128" s="172">
        <f t="shared" si="103"/>
        <v>37</v>
      </c>
      <c r="AN128" s="172">
        <f t="shared" si="103"/>
        <v>38</v>
      </c>
      <c r="AO128" s="172">
        <f t="shared" si="103"/>
        <v>39</v>
      </c>
      <c r="AP128" s="172">
        <f t="shared" si="103"/>
        <v>40</v>
      </c>
      <c r="AQ128" s="172">
        <f t="shared" si="103"/>
        <v>41</v>
      </c>
      <c r="AR128" s="172">
        <f t="shared" si="103"/>
        <v>42</v>
      </c>
      <c r="AS128" s="172">
        <f t="shared" si="103"/>
        <v>43</v>
      </c>
      <c r="AT128" s="172">
        <f t="shared" si="103"/>
        <v>44</v>
      </c>
      <c r="AU128" s="172">
        <f t="shared" si="103"/>
        <v>45</v>
      </c>
      <c r="AV128" s="172">
        <f t="shared" si="103"/>
        <v>46</v>
      </c>
      <c r="AW128" s="172">
        <f t="shared" si="103"/>
        <v>47</v>
      </c>
      <c r="AX128" s="172">
        <f t="shared" si="103"/>
        <v>48</v>
      </c>
      <c r="AY128" s="172">
        <f t="shared" si="103"/>
        <v>49</v>
      </c>
      <c r="AZ128" s="172">
        <f t="shared" si="103"/>
        <v>50</v>
      </c>
      <c r="BA128" s="172">
        <f t="shared" si="103"/>
        <v>51</v>
      </c>
      <c r="BB128" s="172">
        <f t="shared" si="103"/>
        <v>52</v>
      </c>
      <c r="BC128" s="172">
        <f t="shared" si="103"/>
        <v>53</v>
      </c>
      <c r="BD128" s="172">
        <f t="shared" si="103"/>
        <v>54</v>
      </c>
      <c r="BE128" s="172">
        <f t="shared" si="103"/>
        <v>55</v>
      </c>
      <c r="BF128" s="172">
        <f t="shared" si="103"/>
        <v>56</v>
      </c>
      <c r="BG128" s="172">
        <f t="shared" si="103"/>
        <v>57</v>
      </c>
      <c r="BH128" s="172">
        <f t="shared" si="103"/>
        <v>58</v>
      </c>
      <c r="BI128" s="172">
        <f t="shared" si="103"/>
        <v>59</v>
      </c>
      <c r="BJ128" s="172">
        <f t="shared" si="103"/>
        <v>60</v>
      </c>
      <c r="BK128" s="172">
        <f t="shared" si="103"/>
        <v>61</v>
      </c>
      <c r="BL128" s="172">
        <f t="shared" si="103"/>
        <v>62</v>
      </c>
      <c r="BM128" s="172">
        <f t="shared" si="103"/>
        <v>63</v>
      </c>
      <c r="BN128" s="172">
        <f t="shared" si="103"/>
        <v>64</v>
      </c>
      <c r="BO128" s="172">
        <f t="shared" si="103"/>
        <v>65</v>
      </c>
      <c r="BP128" s="172">
        <f t="shared" si="104"/>
        <v>66</v>
      </c>
      <c r="BQ128" s="172">
        <f t="shared" si="104"/>
        <v>67</v>
      </c>
      <c r="BR128" s="172">
        <f t="shared" si="104"/>
        <v>68</v>
      </c>
      <c r="BS128" s="172">
        <f t="shared" si="104"/>
        <v>69</v>
      </c>
      <c r="BT128" s="172">
        <f t="shared" si="104"/>
        <v>70</v>
      </c>
      <c r="BU128" s="172">
        <f t="shared" si="104"/>
        <v>71</v>
      </c>
      <c r="BV128" s="172">
        <f t="shared" si="104"/>
        <v>72</v>
      </c>
      <c r="BW128" s="172">
        <f t="shared" si="104"/>
        <v>73</v>
      </c>
      <c r="BX128" s="172">
        <f t="shared" si="104"/>
        <v>74</v>
      </c>
      <c r="BY128" s="172">
        <f t="shared" si="104"/>
        <v>75</v>
      </c>
      <c r="BZ128" s="172">
        <f t="shared" si="104"/>
        <v>76</v>
      </c>
      <c r="CA128" s="172">
        <f t="shared" si="104"/>
        <v>77</v>
      </c>
      <c r="CB128" s="172">
        <f t="shared" si="104"/>
        <v>78</v>
      </c>
      <c r="CC128" s="172">
        <f t="shared" si="104"/>
        <v>79</v>
      </c>
      <c r="CD128" s="172">
        <f t="shared" si="104"/>
        <v>80</v>
      </c>
      <c r="CE128" s="172">
        <f t="shared" si="104"/>
        <v>81</v>
      </c>
      <c r="CF128" s="172">
        <f t="shared" si="104"/>
        <v>82</v>
      </c>
      <c r="CG128" s="172">
        <f t="shared" si="104"/>
        <v>83</v>
      </c>
      <c r="CH128" s="172">
        <f t="shared" si="104"/>
        <v>84</v>
      </c>
      <c r="CI128" s="172">
        <f t="shared" si="104"/>
        <v>85</v>
      </c>
      <c r="CJ128" s="172">
        <f t="shared" si="104"/>
        <v>86</v>
      </c>
      <c r="CK128" s="172">
        <f t="shared" si="104"/>
        <v>87</v>
      </c>
      <c r="CL128" s="172">
        <f t="shared" si="104"/>
        <v>88</v>
      </c>
      <c r="CM128" s="172">
        <f t="shared" si="104"/>
        <v>89</v>
      </c>
      <c r="CN128" s="172">
        <f t="shared" si="104"/>
        <v>90</v>
      </c>
      <c r="CO128" s="172">
        <f t="shared" si="104"/>
        <v>91</v>
      </c>
      <c r="CP128" s="172">
        <f t="shared" si="104"/>
        <v>92</v>
      </c>
      <c r="CQ128" s="172">
        <f t="shared" si="104"/>
        <v>93</v>
      </c>
      <c r="CR128" s="172">
        <f t="shared" si="104"/>
        <v>94</v>
      </c>
      <c r="CS128" s="172">
        <f t="shared" si="104"/>
        <v>95</v>
      </c>
      <c r="CT128" s="172">
        <f t="shared" si="104"/>
        <v>96</v>
      </c>
      <c r="CU128" s="172">
        <f t="shared" si="104"/>
        <v>97</v>
      </c>
      <c r="CV128" s="172">
        <f t="shared" si="104"/>
        <v>98</v>
      </c>
      <c r="CW128" s="172">
        <f t="shared" si="104"/>
        <v>99</v>
      </c>
      <c r="CX128" s="173">
        <f t="shared" si="104"/>
        <v>100</v>
      </c>
    </row>
    <row r="129" spans="1:102" ht="20.100000000000001" customHeight="1">
      <c r="A129" s="123"/>
    </row>
    <row r="130" spans="1:102" ht="20.100000000000001" customHeight="1">
      <c r="A130" s="184"/>
      <c r="B130" s="107" t="s">
        <v>157</v>
      </c>
      <c r="C130" s="199" t="str">
        <f t="shared" ref="C130:AH130" si="105">IF(AND(C84&gt;=$C$41,C84&lt;=$C$42),"Yes","no")</f>
        <v>no</v>
      </c>
      <c r="D130" s="199" t="str">
        <f t="shared" si="105"/>
        <v>Yes</v>
      </c>
      <c r="E130" s="199" t="str">
        <f t="shared" si="105"/>
        <v>Yes</v>
      </c>
      <c r="F130" s="199" t="str">
        <f t="shared" si="105"/>
        <v>Yes</v>
      </c>
      <c r="G130" s="199" t="str">
        <f t="shared" si="105"/>
        <v>Yes</v>
      </c>
      <c r="H130" s="199" t="str">
        <f t="shared" si="105"/>
        <v>Yes</v>
      </c>
      <c r="I130" s="199" t="str">
        <f t="shared" si="105"/>
        <v>Yes</v>
      </c>
      <c r="J130" s="199" t="str">
        <f t="shared" si="105"/>
        <v>Yes</v>
      </c>
      <c r="K130" s="199" t="str">
        <f t="shared" si="105"/>
        <v>Yes</v>
      </c>
      <c r="L130" s="199" t="str">
        <f t="shared" si="105"/>
        <v>Yes</v>
      </c>
      <c r="M130" s="199" t="str">
        <f t="shared" si="105"/>
        <v>Yes</v>
      </c>
      <c r="N130" s="199" t="str">
        <f t="shared" si="105"/>
        <v>Yes</v>
      </c>
      <c r="O130" s="199" t="str">
        <f t="shared" si="105"/>
        <v>Yes</v>
      </c>
      <c r="P130" s="199" t="str">
        <f t="shared" si="105"/>
        <v>Yes</v>
      </c>
      <c r="Q130" s="199" t="str">
        <f t="shared" si="105"/>
        <v>Yes</v>
      </c>
      <c r="R130" s="199" t="str">
        <f t="shared" si="105"/>
        <v>Yes</v>
      </c>
      <c r="S130" s="199" t="str">
        <f t="shared" si="105"/>
        <v>Yes</v>
      </c>
      <c r="T130" s="199" t="str">
        <f t="shared" si="105"/>
        <v>Yes</v>
      </c>
      <c r="U130" s="199" t="str">
        <f t="shared" si="105"/>
        <v>Yes</v>
      </c>
      <c r="V130" s="199" t="str">
        <f t="shared" si="105"/>
        <v>Yes</v>
      </c>
      <c r="W130" s="199" t="str">
        <f t="shared" si="105"/>
        <v>Yes</v>
      </c>
      <c r="X130" s="199" t="str">
        <f t="shared" si="105"/>
        <v>Yes</v>
      </c>
      <c r="Y130" s="199" t="str">
        <f t="shared" si="105"/>
        <v>Yes</v>
      </c>
      <c r="Z130" s="199" t="str">
        <f t="shared" si="105"/>
        <v>Yes</v>
      </c>
      <c r="AA130" s="199" t="str">
        <f t="shared" si="105"/>
        <v>Yes</v>
      </c>
      <c r="AB130" s="199" t="str">
        <f t="shared" si="105"/>
        <v>Yes</v>
      </c>
      <c r="AC130" s="199" t="str">
        <f t="shared" si="105"/>
        <v>Yes</v>
      </c>
      <c r="AD130" s="199" t="str">
        <f t="shared" si="105"/>
        <v>Yes</v>
      </c>
      <c r="AE130" s="199" t="str">
        <f t="shared" si="105"/>
        <v>Yes</v>
      </c>
      <c r="AF130" s="199" t="str">
        <f t="shared" si="105"/>
        <v>Yes</v>
      </c>
      <c r="AG130" s="199" t="str">
        <f t="shared" si="105"/>
        <v>Yes</v>
      </c>
      <c r="AH130" s="199" t="str">
        <f t="shared" si="105"/>
        <v>no</v>
      </c>
      <c r="AI130" s="199" t="str">
        <f t="shared" ref="AI130:BN130" si="106">IF(AND(AI84&gt;=$C$41,AI84&lt;=$C$42),"Yes","no")</f>
        <v>no</v>
      </c>
      <c r="AJ130" s="199" t="str">
        <f t="shared" si="106"/>
        <v>no</v>
      </c>
      <c r="AK130" s="199" t="str">
        <f t="shared" si="106"/>
        <v>no</v>
      </c>
      <c r="AL130" s="199" t="str">
        <f t="shared" si="106"/>
        <v>no</v>
      </c>
      <c r="AM130" s="199" t="str">
        <f t="shared" si="106"/>
        <v>no</v>
      </c>
      <c r="AN130" s="199" t="str">
        <f t="shared" si="106"/>
        <v>no</v>
      </c>
      <c r="AO130" s="199" t="str">
        <f t="shared" si="106"/>
        <v>no</v>
      </c>
      <c r="AP130" s="199" t="str">
        <f t="shared" si="106"/>
        <v>no</v>
      </c>
      <c r="AQ130" s="199" t="str">
        <f t="shared" si="106"/>
        <v>no</v>
      </c>
      <c r="AR130" s="199" t="str">
        <f t="shared" si="106"/>
        <v>no</v>
      </c>
      <c r="AS130" s="199" t="str">
        <f t="shared" si="106"/>
        <v>no</v>
      </c>
      <c r="AT130" s="199" t="str">
        <f t="shared" si="106"/>
        <v>no</v>
      </c>
      <c r="AU130" s="199" t="str">
        <f t="shared" si="106"/>
        <v>no</v>
      </c>
      <c r="AV130" s="199" t="str">
        <f t="shared" si="106"/>
        <v>no</v>
      </c>
      <c r="AW130" s="199" t="str">
        <f t="shared" si="106"/>
        <v>no</v>
      </c>
      <c r="AX130" s="199" t="str">
        <f t="shared" si="106"/>
        <v>no</v>
      </c>
      <c r="AY130" s="199" t="str">
        <f t="shared" si="106"/>
        <v>no</v>
      </c>
      <c r="AZ130" s="199" t="str">
        <f t="shared" si="106"/>
        <v>no</v>
      </c>
      <c r="BA130" s="199" t="str">
        <f t="shared" si="106"/>
        <v>no</v>
      </c>
      <c r="BB130" s="199" t="str">
        <f t="shared" si="106"/>
        <v>no</v>
      </c>
      <c r="BC130" s="199" t="str">
        <f t="shared" si="106"/>
        <v>no</v>
      </c>
      <c r="BD130" s="199" t="str">
        <f t="shared" si="106"/>
        <v>no</v>
      </c>
      <c r="BE130" s="199" t="str">
        <f t="shared" si="106"/>
        <v>no</v>
      </c>
      <c r="BF130" s="199" t="str">
        <f t="shared" si="106"/>
        <v>no</v>
      </c>
      <c r="BG130" s="199" t="str">
        <f t="shared" si="106"/>
        <v>no</v>
      </c>
      <c r="BH130" s="199" t="str">
        <f t="shared" si="106"/>
        <v>no</v>
      </c>
      <c r="BI130" s="199" t="str">
        <f t="shared" si="106"/>
        <v>no</v>
      </c>
      <c r="BJ130" s="199" t="str">
        <f t="shared" si="106"/>
        <v>no</v>
      </c>
      <c r="BK130" s="199" t="str">
        <f t="shared" si="106"/>
        <v>no</v>
      </c>
      <c r="BL130" s="199" t="str">
        <f t="shared" si="106"/>
        <v>no</v>
      </c>
      <c r="BM130" s="199" t="str">
        <f t="shared" si="106"/>
        <v>no</v>
      </c>
      <c r="BN130" s="199" t="str">
        <f t="shared" si="106"/>
        <v>no</v>
      </c>
      <c r="BO130" s="199" t="str">
        <f t="shared" ref="BO130:CX130" si="107">IF(AND(BO84&gt;=$C$41,BO84&lt;=$C$42),"Yes","no")</f>
        <v>no</v>
      </c>
      <c r="BP130" s="199" t="str">
        <f t="shared" si="107"/>
        <v>no</v>
      </c>
      <c r="BQ130" s="199" t="str">
        <f t="shared" si="107"/>
        <v>no</v>
      </c>
      <c r="BR130" s="199" t="str">
        <f t="shared" si="107"/>
        <v>no</v>
      </c>
      <c r="BS130" s="199" t="str">
        <f t="shared" si="107"/>
        <v>no</v>
      </c>
      <c r="BT130" s="199" t="str">
        <f t="shared" si="107"/>
        <v>no</v>
      </c>
      <c r="BU130" s="199" t="str">
        <f t="shared" si="107"/>
        <v>no</v>
      </c>
      <c r="BV130" s="199" t="str">
        <f t="shared" si="107"/>
        <v>no</v>
      </c>
      <c r="BW130" s="199" t="str">
        <f t="shared" si="107"/>
        <v>no</v>
      </c>
      <c r="BX130" s="199" t="str">
        <f t="shared" si="107"/>
        <v>no</v>
      </c>
      <c r="BY130" s="199" t="str">
        <f t="shared" si="107"/>
        <v>no</v>
      </c>
      <c r="BZ130" s="199" t="str">
        <f t="shared" si="107"/>
        <v>no</v>
      </c>
      <c r="CA130" s="199" t="str">
        <f t="shared" si="107"/>
        <v>no</v>
      </c>
      <c r="CB130" s="199" t="str">
        <f t="shared" si="107"/>
        <v>no</v>
      </c>
      <c r="CC130" s="199" t="str">
        <f t="shared" si="107"/>
        <v>no</v>
      </c>
      <c r="CD130" s="199" t="str">
        <f t="shared" si="107"/>
        <v>no</v>
      </c>
      <c r="CE130" s="199" t="str">
        <f t="shared" si="107"/>
        <v>no</v>
      </c>
      <c r="CF130" s="199" t="str">
        <f t="shared" si="107"/>
        <v>no</v>
      </c>
      <c r="CG130" s="199" t="str">
        <f t="shared" si="107"/>
        <v>no</v>
      </c>
      <c r="CH130" s="199" t="str">
        <f t="shared" si="107"/>
        <v>no</v>
      </c>
      <c r="CI130" s="199" t="str">
        <f t="shared" si="107"/>
        <v>no</v>
      </c>
      <c r="CJ130" s="199" t="str">
        <f t="shared" si="107"/>
        <v>no</v>
      </c>
      <c r="CK130" s="199" t="str">
        <f t="shared" si="107"/>
        <v>no</v>
      </c>
      <c r="CL130" s="199" t="str">
        <f t="shared" si="107"/>
        <v>no</v>
      </c>
      <c r="CM130" s="199" t="str">
        <f t="shared" si="107"/>
        <v>no</v>
      </c>
      <c r="CN130" s="199" t="str">
        <f t="shared" si="107"/>
        <v>no</v>
      </c>
      <c r="CO130" s="199" t="str">
        <f t="shared" si="107"/>
        <v>no</v>
      </c>
      <c r="CP130" s="199" t="str">
        <f t="shared" si="107"/>
        <v>no</v>
      </c>
      <c r="CQ130" s="199" t="str">
        <f t="shared" si="107"/>
        <v>no</v>
      </c>
      <c r="CR130" s="199" t="str">
        <f t="shared" si="107"/>
        <v>no</v>
      </c>
      <c r="CS130" s="199" t="str">
        <f t="shared" si="107"/>
        <v>no</v>
      </c>
      <c r="CT130" s="199" t="str">
        <f t="shared" si="107"/>
        <v>no</v>
      </c>
      <c r="CU130" s="199" t="str">
        <f t="shared" si="107"/>
        <v>no</v>
      </c>
      <c r="CV130" s="199" t="str">
        <f t="shared" si="107"/>
        <v>no</v>
      </c>
      <c r="CW130" s="199" t="str">
        <f t="shared" si="107"/>
        <v>no</v>
      </c>
      <c r="CX130" s="199" t="str">
        <f t="shared" si="107"/>
        <v>no</v>
      </c>
    </row>
    <row r="131" spans="1:102" ht="20.100000000000001" customHeight="1">
      <c r="A131" s="184"/>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c r="AA131" s="199"/>
      <c r="AB131" s="199"/>
      <c r="AC131" s="199"/>
      <c r="AD131" s="199"/>
      <c r="AE131" s="199"/>
      <c r="AF131" s="199"/>
      <c r="AG131" s="199"/>
      <c r="AH131" s="199"/>
      <c r="AI131" s="199"/>
      <c r="AJ131" s="199"/>
      <c r="AK131" s="199"/>
      <c r="AL131" s="199"/>
      <c r="AM131" s="199"/>
      <c r="AN131" s="199"/>
      <c r="AO131" s="199"/>
      <c r="AP131" s="199"/>
      <c r="AQ131" s="199"/>
      <c r="AR131" s="199"/>
      <c r="AS131" s="199"/>
      <c r="AT131" s="199"/>
      <c r="AU131" s="199"/>
      <c r="AV131" s="199"/>
      <c r="AW131" s="199"/>
      <c r="AX131" s="199"/>
      <c r="AY131" s="199"/>
      <c r="AZ131" s="199"/>
      <c r="BA131" s="199"/>
      <c r="BB131" s="199"/>
      <c r="BC131" s="199"/>
      <c r="BD131" s="199"/>
      <c r="BE131" s="199"/>
      <c r="BF131" s="199"/>
      <c r="BG131" s="199"/>
      <c r="BH131" s="199"/>
      <c r="BI131" s="199"/>
      <c r="BJ131" s="199"/>
      <c r="BK131" s="199"/>
      <c r="BL131" s="199"/>
      <c r="BM131" s="199"/>
      <c r="BN131" s="199"/>
      <c r="BO131" s="199"/>
      <c r="BP131" s="199"/>
      <c r="BQ131" s="199"/>
      <c r="BR131" s="199"/>
      <c r="BS131" s="199"/>
      <c r="BT131" s="199"/>
      <c r="BU131" s="199"/>
      <c r="BV131" s="199"/>
      <c r="BW131" s="199"/>
      <c r="BX131" s="199"/>
      <c r="BY131" s="199"/>
      <c r="BZ131" s="199"/>
      <c r="CA131" s="199"/>
      <c r="CB131" s="199"/>
      <c r="CC131" s="199"/>
      <c r="CD131" s="199"/>
      <c r="CE131" s="199"/>
      <c r="CF131" s="199"/>
      <c r="CG131" s="199"/>
      <c r="CH131" s="199"/>
      <c r="CI131" s="199"/>
      <c r="CJ131" s="199"/>
      <c r="CK131" s="199"/>
      <c r="CL131" s="199"/>
      <c r="CM131" s="199"/>
      <c r="CN131" s="199"/>
      <c r="CO131" s="199"/>
      <c r="CP131" s="199"/>
      <c r="CQ131" s="199"/>
      <c r="CR131" s="199"/>
      <c r="CS131" s="199"/>
      <c r="CT131" s="199"/>
      <c r="CU131" s="199"/>
      <c r="CV131" s="199"/>
      <c r="CW131" s="199"/>
      <c r="CX131" s="199"/>
    </row>
    <row r="132" spans="1:102" ht="20.100000000000001" customHeight="1">
      <c r="A132" s="184">
        <f>SUM(C132:CX132)</f>
        <v>8440742.7379005607</v>
      </c>
      <c r="B132" s="107" t="s">
        <v>1012</v>
      </c>
      <c r="C132" s="200">
        <f>IF(C130="Yes",$C$47,0)</f>
        <v>0</v>
      </c>
      <c r="D132" s="200">
        <f t="shared" ref="D132:BO132" si="108">IF(D130="Yes",$C$47,0)</f>
        <v>281358.09126335202</v>
      </c>
      <c r="E132" s="200">
        <f t="shared" si="108"/>
        <v>281358.09126335202</v>
      </c>
      <c r="F132" s="200">
        <f>IF(F130="Yes",$C$47,0)</f>
        <v>281358.09126335202</v>
      </c>
      <c r="G132" s="200">
        <f t="shared" si="108"/>
        <v>281358.09126335202</v>
      </c>
      <c r="H132" s="200">
        <f t="shared" si="108"/>
        <v>281358.09126335202</v>
      </c>
      <c r="I132" s="200">
        <f t="shared" si="108"/>
        <v>281358.09126335202</v>
      </c>
      <c r="J132" s="200">
        <f t="shared" si="108"/>
        <v>281358.09126335202</v>
      </c>
      <c r="K132" s="200">
        <f t="shared" si="108"/>
        <v>281358.09126335202</v>
      </c>
      <c r="L132" s="200">
        <f t="shared" si="108"/>
        <v>281358.09126335202</v>
      </c>
      <c r="M132" s="200">
        <f t="shared" si="108"/>
        <v>281358.09126335202</v>
      </c>
      <c r="N132" s="200">
        <f t="shared" si="108"/>
        <v>281358.09126335202</v>
      </c>
      <c r="O132" s="200">
        <f t="shared" si="108"/>
        <v>281358.09126335202</v>
      </c>
      <c r="P132" s="200">
        <f t="shared" si="108"/>
        <v>281358.09126335202</v>
      </c>
      <c r="Q132" s="200">
        <f t="shared" si="108"/>
        <v>281358.09126335202</v>
      </c>
      <c r="R132" s="200">
        <f t="shared" si="108"/>
        <v>281358.09126335202</v>
      </c>
      <c r="S132" s="200">
        <f t="shared" si="108"/>
        <v>281358.09126335202</v>
      </c>
      <c r="T132" s="200">
        <f t="shared" si="108"/>
        <v>281358.09126335202</v>
      </c>
      <c r="U132" s="200">
        <f t="shared" si="108"/>
        <v>281358.09126335202</v>
      </c>
      <c r="V132" s="200">
        <f t="shared" si="108"/>
        <v>281358.09126335202</v>
      </c>
      <c r="W132" s="200">
        <f t="shared" si="108"/>
        <v>281358.09126335202</v>
      </c>
      <c r="X132" s="200">
        <f t="shared" si="108"/>
        <v>281358.09126335202</v>
      </c>
      <c r="Y132" s="200">
        <f t="shared" si="108"/>
        <v>281358.09126335202</v>
      </c>
      <c r="Z132" s="200">
        <f t="shared" si="108"/>
        <v>281358.09126335202</v>
      </c>
      <c r="AA132" s="200">
        <f t="shared" si="108"/>
        <v>281358.09126335202</v>
      </c>
      <c r="AB132" s="200">
        <f t="shared" si="108"/>
        <v>281358.09126335202</v>
      </c>
      <c r="AC132" s="200">
        <f t="shared" si="108"/>
        <v>281358.09126335202</v>
      </c>
      <c r="AD132" s="200">
        <f t="shared" si="108"/>
        <v>281358.09126335202</v>
      </c>
      <c r="AE132" s="200">
        <f t="shared" si="108"/>
        <v>281358.09126335202</v>
      </c>
      <c r="AF132" s="200">
        <f t="shared" si="108"/>
        <v>281358.09126335202</v>
      </c>
      <c r="AG132" s="200">
        <f t="shared" si="108"/>
        <v>281358.09126335202</v>
      </c>
      <c r="AH132" s="200">
        <f t="shared" si="108"/>
        <v>0</v>
      </c>
      <c r="AI132" s="200">
        <f t="shared" si="108"/>
        <v>0</v>
      </c>
      <c r="AJ132" s="200">
        <f t="shared" si="108"/>
        <v>0</v>
      </c>
      <c r="AK132" s="200">
        <f t="shared" si="108"/>
        <v>0</v>
      </c>
      <c r="AL132" s="200">
        <f t="shared" si="108"/>
        <v>0</v>
      </c>
      <c r="AM132" s="200">
        <f t="shared" si="108"/>
        <v>0</v>
      </c>
      <c r="AN132" s="200">
        <f t="shared" si="108"/>
        <v>0</v>
      </c>
      <c r="AO132" s="200">
        <f t="shared" si="108"/>
        <v>0</v>
      </c>
      <c r="AP132" s="200">
        <f t="shared" si="108"/>
        <v>0</v>
      </c>
      <c r="AQ132" s="200">
        <f t="shared" si="108"/>
        <v>0</v>
      </c>
      <c r="AR132" s="200">
        <f t="shared" si="108"/>
        <v>0</v>
      </c>
      <c r="AS132" s="200">
        <f t="shared" si="108"/>
        <v>0</v>
      </c>
      <c r="AT132" s="200">
        <f t="shared" si="108"/>
        <v>0</v>
      </c>
      <c r="AU132" s="200">
        <f t="shared" si="108"/>
        <v>0</v>
      </c>
      <c r="AV132" s="200">
        <f t="shared" si="108"/>
        <v>0</v>
      </c>
      <c r="AW132" s="200">
        <f t="shared" si="108"/>
        <v>0</v>
      </c>
      <c r="AX132" s="200">
        <f t="shared" si="108"/>
        <v>0</v>
      </c>
      <c r="AY132" s="200">
        <f t="shared" si="108"/>
        <v>0</v>
      </c>
      <c r="AZ132" s="200">
        <f t="shared" si="108"/>
        <v>0</v>
      </c>
      <c r="BA132" s="200">
        <f t="shared" si="108"/>
        <v>0</v>
      </c>
      <c r="BB132" s="200">
        <f t="shared" si="108"/>
        <v>0</v>
      </c>
      <c r="BC132" s="200">
        <f t="shared" si="108"/>
        <v>0</v>
      </c>
      <c r="BD132" s="200">
        <f t="shared" si="108"/>
        <v>0</v>
      </c>
      <c r="BE132" s="200">
        <f t="shared" si="108"/>
        <v>0</v>
      </c>
      <c r="BF132" s="200">
        <f t="shared" si="108"/>
        <v>0</v>
      </c>
      <c r="BG132" s="200">
        <f t="shared" si="108"/>
        <v>0</v>
      </c>
      <c r="BH132" s="200">
        <f t="shared" si="108"/>
        <v>0</v>
      </c>
      <c r="BI132" s="200">
        <f t="shared" si="108"/>
        <v>0</v>
      </c>
      <c r="BJ132" s="200">
        <f t="shared" si="108"/>
        <v>0</v>
      </c>
      <c r="BK132" s="200">
        <f t="shared" si="108"/>
        <v>0</v>
      </c>
      <c r="BL132" s="200">
        <f t="shared" si="108"/>
        <v>0</v>
      </c>
      <c r="BM132" s="200">
        <f t="shared" si="108"/>
        <v>0</v>
      </c>
      <c r="BN132" s="200">
        <f t="shared" si="108"/>
        <v>0</v>
      </c>
      <c r="BO132" s="200">
        <f t="shared" si="108"/>
        <v>0</v>
      </c>
      <c r="BP132" s="200">
        <f t="shared" ref="BP132:CX132" si="109">IF(BP130="Yes",$C$47,0)</f>
        <v>0</v>
      </c>
      <c r="BQ132" s="200">
        <f t="shared" si="109"/>
        <v>0</v>
      </c>
      <c r="BR132" s="200">
        <f t="shared" si="109"/>
        <v>0</v>
      </c>
      <c r="BS132" s="200">
        <f t="shared" si="109"/>
        <v>0</v>
      </c>
      <c r="BT132" s="200">
        <f t="shared" si="109"/>
        <v>0</v>
      </c>
      <c r="BU132" s="200">
        <f t="shared" si="109"/>
        <v>0</v>
      </c>
      <c r="BV132" s="200">
        <f t="shared" si="109"/>
        <v>0</v>
      </c>
      <c r="BW132" s="200">
        <f t="shared" si="109"/>
        <v>0</v>
      </c>
      <c r="BX132" s="200">
        <f t="shared" si="109"/>
        <v>0</v>
      </c>
      <c r="BY132" s="200">
        <f t="shared" si="109"/>
        <v>0</v>
      </c>
      <c r="BZ132" s="200">
        <f t="shared" si="109"/>
        <v>0</v>
      </c>
      <c r="CA132" s="200">
        <f t="shared" si="109"/>
        <v>0</v>
      </c>
      <c r="CB132" s="200">
        <f t="shared" si="109"/>
        <v>0</v>
      </c>
      <c r="CC132" s="200">
        <f t="shared" si="109"/>
        <v>0</v>
      </c>
      <c r="CD132" s="200">
        <f t="shared" si="109"/>
        <v>0</v>
      </c>
      <c r="CE132" s="200">
        <f t="shared" si="109"/>
        <v>0</v>
      </c>
      <c r="CF132" s="200">
        <f t="shared" si="109"/>
        <v>0</v>
      </c>
      <c r="CG132" s="200">
        <f t="shared" si="109"/>
        <v>0</v>
      </c>
      <c r="CH132" s="200">
        <f t="shared" si="109"/>
        <v>0</v>
      </c>
      <c r="CI132" s="200">
        <f t="shared" si="109"/>
        <v>0</v>
      </c>
      <c r="CJ132" s="200">
        <f t="shared" si="109"/>
        <v>0</v>
      </c>
      <c r="CK132" s="200">
        <f t="shared" si="109"/>
        <v>0</v>
      </c>
      <c r="CL132" s="200">
        <f t="shared" si="109"/>
        <v>0</v>
      </c>
      <c r="CM132" s="200">
        <f t="shared" si="109"/>
        <v>0</v>
      </c>
      <c r="CN132" s="200">
        <f t="shared" si="109"/>
        <v>0</v>
      </c>
      <c r="CO132" s="200">
        <f t="shared" si="109"/>
        <v>0</v>
      </c>
      <c r="CP132" s="200">
        <f t="shared" si="109"/>
        <v>0</v>
      </c>
      <c r="CQ132" s="200">
        <f t="shared" si="109"/>
        <v>0</v>
      </c>
      <c r="CR132" s="200">
        <f t="shared" si="109"/>
        <v>0</v>
      </c>
      <c r="CS132" s="200">
        <f t="shared" si="109"/>
        <v>0</v>
      </c>
      <c r="CT132" s="200">
        <f t="shared" si="109"/>
        <v>0</v>
      </c>
      <c r="CU132" s="200">
        <f t="shared" si="109"/>
        <v>0</v>
      </c>
      <c r="CV132" s="200">
        <f t="shared" si="109"/>
        <v>0</v>
      </c>
      <c r="CW132" s="200">
        <f t="shared" si="109"/>
        <v>0</v>
      </c>
      <c r="CX132" s="200">
        <f t="shared" si="109"/>
        <v>0</v>
      </c>
    </row>
    <row r="133" spans="1:102" ht="20.100000000000001" customHeight="1">
      <c r="A133" s="184"/>
      <c r="C133" s="200"/>
      <c r="D133" s="200"/>
      <c r="E133" s="200"/>
      <c r="F133" s="200"/>
      <c r="G133" s="200"/>
      <c r="H133" s="200"/>
      <c r="I133" s="200"/>
      <c r="J133" s="200"/>
      <c r="K133" s="200"/>
      <c r="L133" s="200"/>
      <c r="M133" s="200"/>
      <c r="N133" s="200"/>
      <c r="O133" s="200"/>
      <c r="P133" s="200"/>
      <c r="Q133" s="200"/>
      <c r="R133" s="200"/>
      <c r="S133" s="200"/>
      <c r="T133" s="200"/>
      <c r="U133" s="200"/>
      <c r="V133" s="200"/>
      <c r="W133" s="200"/>
      <c r="X133" s="200"/>
      <c r="Y133" s="200"/>
      <c r="Z133" s="200"/>
      <c r="AA133" s="200"/>
      <c r="AB133" s="200"/>
      <c r="AC133" s="200"/>
      <c r="AD133" s="200"/>
      <c r="AE133" s="200"/>
      <c r="AF133" s="200"/>
      <c r="AG133" s="200"/>
      <c r="AH133" s="200"/>
      <c r="AI133" s="200"/>
      <c r="AJ133" s="200"/>
      <c r="AK133" s="200"/>
      <c r="AL133" s="200"/>
      <c r="AM133" s="200"/>
      <c r="AN133" s="200"/>
      <c r="AO133" s="200"/>
      <c r="AP133" s="200"/>
      <c r="AQ133" s="200"/>
      <c r="AR133" s="200"/>
      <c r="AS133" s="200"/>
      <c r="AT133" s="200"/>
      <c r="AU133" s="200"/>
      <c r="AV133" s="200"/>
      <c r="AW133" s="200"/>
      <c r="AX133" s="200"/>
      <c r="AY133" s="200"/>
      <c r="AZ133" s="200"/>
      <c r="BA133" s="200"/>
      <c r="BB133" s="200"/>
      <c r="BC133" s="200"/>
      <c r="BD133" s="200"/>
      <c r="BE133" s="200"/>
      <c r="BF133" s="200"/>
      <c r="BG133" s="200"/>
      <c r="BH133" s="200"/>
      <c r="BI133" s="200"/>
      <c r="BJ133" s="200"/>
      <c r="BK133" s="200"/>
      <c r="BL133" s="200"/>
      <c r="BM133" s="200"/>
      <c r="BN133" s="200"/>
      <c r="BO133" s="200"/>
      <c r="BP133" s="200"/>
      <c r="BQ133" s="200"/>
      <c r="BR133" s="200"/>
      <c r="BS133" s="200"/>
      <c r="BT133" s="200"/>
      <c r="BU133" s="200"/>
      <c r="BV133" s="200"/>
      <c r="BW133" s="200"/>
      <c r="BX133" s="200"/>
      <c r="BY133" s="200"/>
      <c r="BZ133" s="200"/>
      <c r="CA133" s="200"/>
      <c r="CB133" s="200"/>
      <c r="CC133" s="200"/>
      <c r="CD133" s="200"/>
      <c r="CE133" s="200"/>
      <c r="CF133" s="200"/>
      <c r="CG133" s="200"/>
      <c r="CH133" s="200"/>
      <c r="CI133" s="200"/>
      <c r="CJ133" s="200"/>
      <c r="CK133" s="200"/>
      <c r="CL133" s="200"/>
      <c r="CM133" s="200"/>
      <c r="CN133" s="200"/>
      <c r="CO133" s="200"/>
      <c r="CP133" s="200"/>
      <c r="CQ133" s="200"/>
      <c r="CR133" s="200"/>
      <c r="CS133" s="200"/>
      <c r="CT133" s="200"/>
      <c r="CU133" s="200"/>
      <c r="CV133" s="200"/>
      <c r="CW133" s="200"/>
      <c r="CX133" s="200"/>
    </row>
    <row r="134" spans="1:102" ht="20.100000000000001" customHeight="1">
      <c r="A134" s="184"/>
      <c r="B134" s="103" t="str">
        <f>"CO2 Price and Revenues from Transporting CO2 in Real "&amp;C37&amp;"$"</f>
        <v>CO2 Price and Revenues from Transporting CO2 in Real 2024$</v>
      </c>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c r="AA134" s="199"/>
      <c r="AB134" s="199"/>
      <c r="AC134" s="199"/>
      <c r="AD134" s="199"/>
      <c r="AE134" s="199"/>
      <c r="AF134" s="199"/>
      <c r="AG134" s="199"/>
      <c r="AH134" s="199"/>
      <c r="AI134" s="199"/>
      <c r="AJ134" s="199"/>
      <c r="AK134" s="199"/>
      <c r="AL134" s="199"/>
      <c r="AM134" s="199"/>
      <c r="AN134" s="199"/>
      <c r="AO134" s="199"/>
      <c r="AP134" s="199"/>
      <c r="AQ134" s="199"/>
      <c r="AR134" s="199"/>
      <c r="AS134" s="199"/>
      <c r="AT134" s="199"/>
      <c r="AU134" s="199"/>
      <c r="AV134" s="199"/>
      <c r="AW134" s="199"/>
      <c r="AX134" s="199"/>
      <c r="AY134" s="199"/>
      <c r="AZ134" s="199"/>
      <c r="BA134" s="199"/>
      <c r="BB134" s="199"/>
      <c r="BC134" s="199"/>
      <c r="BD134" s="199"/>
      <c r="BE134" s="199"/>
      <c r="BF134" s="199"/>
      <c r="BG134" s="199"/>
      <c r="BH134" s="199"/>
      <c r="BI134" s="199"/>
      <c r="BJ134" s="199"/>
      <c r="BK134" s="199"/>
      <c r="BL134" s="199"/>
      <c r="BM134" s="199"/>
      <c r="BN134" s="199"/>
      <c r="BO134" s="199"/>
      <c r="BP134" s="199"/>
      <c r="BQ134" s="199"/>
      <c r="BR134" s="199"/>
      <c r="BS134" s="199"/>
      <c r="BT134" s="199"/>
      <c r="BU134" s="199"/>
      <c r="BV134" s="199"/>
      <c r="BW134" s="199"/>
      <c r="BX134" s="199"/>
      <c r="BY134" s="199"/>
      <c r="BZ134" s="199"/>
      <c r="CA134" s="199"/>
      <c r="CB134" s="199"/>
      <c r="CC134" s="199"/>
      <c r="CD134" s="199"/>
      <c r="CE134" s="199"/>
      <c r="CF134" s="199"/>
      <c r="CG134" s="199"/>
      <c r="CH134" s="199"/>
      <c r="CI134" s="199"/>
      <c r="CJ134" s="199"/>
      <c r="CK134" s="199"/>
      <c r="CL134" s="199"/>
      <c r="CM134" s="199"/>
      <c r="CN134" s="199"/>
      <c r="CO134" s="199"/>
      <c r="CP134" s="199"/>
      <c r="CQ134" s="199"/>
      <c r="CR134" s="199"/>
      <c r="CS134" s="199"/>
      <c r="CT134" s="199"/>
      <c r="CU134" s="199"/>
      <c r="CV134" s="199"/>
      <c r="CW134" s="199"/>
      <c r="CX134" s="199"/>
    </row>
    <row r="135" spans="1:102" ht="20.100000000000001" customHeight="1">
      <c r="A135" s="184"/>
      <c r="B135" s="110" t="str">
        <f>"CO2 Price in "&amp;C37&amp;"$/tonne"</f>
        <v>CO2 Price in 2024$/tonne</v>
      </c>
      <c r="C135" s="201">
        <f t="shared" ref="C135:AH135" si="110">IF(C132&gt;0,$C$5,0)</f>
        <v>0</v>
      </c>
      <c r="D135" s="201">
        <f t="shared" si="110"/>
        <v>124.72852413652745</v>
      </c>
      <c r="E135" s="201">
        <f t="shared" si="110"/>
        <v>124.72852413652745</v>
      </c>
      <c r="F135" s="201">
        <f>IF(F132&gt;0,$C$5,0)</f>
        <v>124.72852413652745</v>
      </c>
      <c r="G135" s="201">
        <f t="shared" si="110"/>
        <v>124.72852413652745</v>
      </c>
      <c r="H135" s="201">
        <f t="shared" si="110"/>
        <v>124.72852413652745</v>
      </c>
      <c r="I135" s="201">
        <f t="shared" si="110"/>
        <v>124.72852413652745</v>
      </c>
      <c r="J135" s="201">
        <f t="shared" si="110"/>
        <v>124.72852413652745</v>
      </c>
      <c r="K135" s="201">
        <f t="shared" si="110"/>
        <v>124.72852413652745</v>
      </c>
      <c r="L135" s="201">
        <f t="shared" si="110"/>
        <v>124.72852413652745</v>
      </c>
      <c r="M135" s="201">
        <f t="shared" si="110"/>
        <v>124.72852413652745</v>
      </c>
      <c r="N135" s="201">
        <f t="shared" si="110"/>
        <v>124.72852413652745</v>
      </c>
      <c r="O135" s="201">
        <f t="shared" si="110"/>
        <v>124.72852413652745</v>
      </c>
      <c r="P135" s="201">
        <f t="shared" si="110"/>
        <v>124.72852413652745</v>
      </c>
      <c r="Q135" s="201">
        <f t="shared" si="110"/>
        <v>124.72852413652745</v>
      </c>
      <c r="R135" s="201">
        <f t="shared" si="110"/>
        <v>124.72852413652745</v>
      </c>
      <c r="S135" s="201">
        <f t="shared" si="110"/>
        <v>124.72852413652745</v>
      </c>
      <c r="T135" s="201">
        <f t="shared" si="110"/>
        <v>124.72852413652745</v>
      </c>
      <c r="U135" s="201">
        <f t="shared" si="110"/>
        <v>124.72852413652745</v>
      </c>
      <c r="V135" s="201">
        <f t="shared" si="110"/>
        <v>124.72852413652745</v>
      </c>
      <c r="W135" s="201">
        <f t="shared" si="110"/>
        <v>124.72852413652745</v>
      </c>
      <c r="X135" s="201">
        <f t="shared" si="110"/>
        <v>124.72852413652745</v>
      </c>
      <c r="Y135" s="201">
        <f t="shared" si="110"/>
        <v>124.72852413652745</v>
      </c>
      <c r="Z135" s="201">
        <f t="shared" si="110"/>
        <v>124.72852413652745</v>
      </c>
      <c r="AA135" s="201">
        <f t="shared" si="110"/>
        <v>124.72852413652745</v>
      </c>
      <c r="AB135" s="201">
        <f t="shared" si="110"/>
        <v>124.72852413652745</v>
      </c>
      <c r="AC135" s="201">
        <f t="shared" si="110"/>
        <v>124.72852413652745</v>
      </c>
      <c r="AD135" s="201">
        <f t="shared" si="110"/>
        <v>124.72852413652745</v>
      </c>
      <c r="AE135" s="201">
        <f t="shared" si="110"/>
        <v>124.72852413652745</v>
      </c>
      <c r="AF135" s="201">
        <f t="shared" si="110"/>
        <v>124.72852413652745</v>
      </c>
      <c r="AG135" s="201">
        <f t="shared" si="110"/>
        <v>124.72852413652745</v>
      </c>
      <c r="AH135" s="201">
        <f t="shared" si="110"/>
        <v>0</v>
      </c>
      <c r="AI135" s="201">
        <f t="shared" ref="AI135:BN135" si="111">IF(AI132&gt;0,$C$5,0)</f>
        <v>0</v>
      </c>
      <c r="AJ135" s="201">
        <f t="shared" si="111"/>
        <v>0</v>
      </c>
      <c r="AK135" s="201">
        <f t="shared" si="111"/>
        <v>0</v>
      </c>
      <c r="AL135" s="201">
        <f t="shared" si="111"/>
        <v>0</v>
      </c>
      <c r="AM135" s="201">
        <f t="shared" si="111"/>
        <v>0</v>
      </c>
      <c r="AN135" s="201">
        <f t="shared" si="111"/>
        <v>0</v>
      </c>
      <c r="AO135" s="201">
        <f t="shared" si="111"/>
        <v>0</v>
      </c>
      <c r="AP135" s="201">
        <f t="shared" si="111"/>
        <v>0</v>
      </c>
      <c r="AQ135" s="201">
        <f t="shared" si="111"/>
        <v>0</v>
      </c>
      <c r="AR135" s="201">
        <f t="shared" si="111"/>
        <v>0</v>
      </c>
      <c r="AS135" s="201">
        <f t="shared" si="111"/>
        <v>0</v>
      </c>
      <c r="AT135" s="201">
        <f t="shared" si="111"/>
        <v>0</v>
      </c>
      <c r="AU135" s="201">
        <f t="shared" si="111"/>
        <v>0</v>
      </c>
      <c r="AV135" s="201">
        <f t="shared" si="111"/>
        <v>0</v>
      </c>
      <c r="AW135" s="201">
        <f t="shared" si="111"/>
        <v>0</v>
      </c>
      <c r="AX135" s="201">
        <f t="shared" si="111"/>
        <v>0</v>
      </c>
      <c r="AY135" s="201">
        <f t="shared" si="111"/>
        <v>0</v>
      </c>
      <c r="AZ135" s="201">
        <f t="shared" si="111"/>
        <v>0</v>
      </c>
      <c r="BA135" s="201">
        <f t="shared" si="111"/>
        <v>0</v>
      </c>
      <c r="BB135" s="201">
        <f t="shared" si="111"/>
        <v>0</v>
      </c>
      <c r="BC135" s="201">
        <f t="shared" si="111"/>
        <v>0</v>
      </c>
      <c r="BD135" s="201">
        <f t="shared" si="111"/>
        <v>0</v>
      </c>
      <c r="BE135" s="201">
        <f t="shared" si="111"/>
        <v>0</v>
      </c>
      <c r="BF135" s="201">
        <f t="shared" si="111"/>
        <v>0</v>
      </c>
      <c r="BG135" s="201">
        <f t="shared" si="111"/>
        <v>0</v>
      </c>
      <c r="BH135" s="201">
        <f t="shared" si="111"/>
        <v>0</v>
      </c>
      <c r="BI135" s="201">
        <f t="shared" si="111"/>
        <v>0</v>
      </c>
      <c r="BJ135" s="201">
        <f t="shared" si="111"/>
        <v>0</v>
      </c>
      <c r="BK135" s="201">
        <f t="shared" si="111"/>
        <v>0</v>
      </c>
      <c r="BL135" s="201">
        <f t="shared" si="111"/>
        <v>0</v>
      </c>
      <c r="BM135" s="201">
        <f t="shared" si="111"/>
        <v>0</v>
      </c>
      <c r="BN135" s="201">
        <f t="shared" si="111"/>
        <v>0</v>
      </c>
      <c r="BO135" s="201">
        <f t="shared" ref="BO135:CX135" si="112">IF(BO132&gt;0,$C$5,0)</f>
        <v>0</v>
      </c>
      <c r="BP135" s="201">
        <f t="shared" si="112"/>
        <v>0</v>
      </c>
      <c r="BQ135" s="201">
        <f t="shared" si="112"/>
        <v>0</v>
      </c>
      <c r="BR135" s="201">
        <f t="shared" si="112"/>
        <v>0</v>
      </c>
      <c r="BS135" s="201">
        <f t="shared" si="112"/>
        <v>0</v>
      </c>
      <c r="BT135" s="201">
        <f t="shared" si="112"/>
        <v>0</v>
      </c>
      <c r="BU135" s="201">
        <f t="shared" si="112"/>
        <v>0</v>
      </c>
      <c r="BV135" s="201">
        <f t="shared" si="112"/>
        <v>0</v>
      </c>
      <c r="BW135" s="201">
        <f t="shared" si="112"/>
        <v>0</v>
      </c>
      <c r="BX135" s="201">
        <f t="shared" si="112"/>
        <v>0</v>
      </c>
      <c r="BY135" s="201">
        <f t="shared" si="112"/>
        <v>0</v>
      </c>
      <c r="BZ135" s="201">
        <f t="shared" si="112"/>
        <v>0</v>
      </c>
      <c r="CA135" s="201">
        <f t="shared" si="112"/>
        <v>0</v>
      </c>
      <c r="CB135" s="201">
        <f t="shared" si="112"/>
        <v>0</v>
      </c>
      <c r="CC135" s="201">
        <f t="shared" si="112"/>
        <v>0</v>
      </c>
      <c r="CD135" s="201">
        <f t="shared" si="112"/>
        <v>0</v>
      </c>
      <c r="CE135" s="201">
        <f t="shared" si="112"/>
        <v>0</v>
      </c>
      <c r="CF135" s="201">
        <f t="shared" si="112"/>
        <v>0</v>
      </c>
      <c r="CG135" s="201">
        <f t="shared" si="112"/>
        <v>0</v>
      </c>
      <c r="CH135" s="201">
        <f t="shared" si="112"/>
        <v>0</v>
      </c>
      <c r="CI135" s="201">
        <f t="shared" si="112"/>
        <v>0</v>
      </c>
      <c r="CJ135" s="201">
        <f t="shared" si="112"/>
        <v>0</v>
      </c>
      <c r="CK135" s="201">
        <f t="shared" si="112"/>
        <v>0</v>
      </c>
      <c r="CL135" s="201">
        <f t="shared" si="112"/>
        <v>0</v>
      </c>
      <c r="CM135" s="201">
        <f t="shared" si="112"/>
        <v>0</v>
      </c>
      <c r="CN135" s="201">
        <f t="shared" si="112"/>
        <v>0</v>
      </c>
      <c r="CO135" s="201">
        <f t="shared" si="112"/>
        <v>0</v>
      </c>
      <c r="CP135" s="201">
        <f t="shared" si="112"/>
        <v>0</v>
      </c>
      <c r="CQ135" s="201">
        <f t="shared" si="112"/>
        <v>0</v>
      </c>
      <c r="CR135" s="201">
        <f t="shared" si="112"/>
        <v>0</v>
      </c>
      <c r="CS135" s="201">
        <f t="shared" si="112"/>
        <v>0</v>
      </c>
      <c r="CT135" s="201">
        <f t="shared" si="112"/>
        <v>0</v>
      </c>
      <c r="CU135" s="201">
        <f t="shared" si="112"/>
        <v>0</v>
      </c>
      <c r="CV135" s="201">
        <f t="shared" si="112"/>
        <v>0</v>
      </c>
      <c r="CW135" s="201">
        <f t="shared" si="112"/>
        <v>0</v>
      </c>
      <c r="CX135" s="201">
        <f t="shared" si="112"/>
        <v>0</v>
      </c>
    </row>
    <row r="136" spans="1:102" ht="20.100000000000001" customHeight="1">
      <c r="A136" s="184">
        <f>SUM(C136:CX136)</f>
        <v>1052801384.3144488</v>
      </c>
      <c r="B136" s="110" t="str">
        <f>"Revenue from Transporting CO2 in Real "&amp;C37&amp;"$"</f>
        <v>Revenue from Transporting CO2 in Real 2024$</v>
      </c>
      <c r="C136" s="199">
        <f t="shared" ref="C136:AH136" si="113">(C132*C135)</f>
        <v>0</v>
      </c>
      <c r="D136" s="199">
        <f t="shared" si="113"/>
        <v>35093379.477148294</v>
      </c>
      <c r="E136" s="199">
        <f t="shared" si="113"/>
        <v>35093379.477148294</v>
      </c>
      <c r="F136" s="199">
        <f t="shared" si="113"/>
        <v>35093379.477148294</v>
      </c>
      <c r="G136" s="199">
        <f t="shared" si="113"/>
        <v>35093379.477148294</v>
      </c>
      <c r="H136" s="199">
        <f t="shared" si="113"/>
        <v>35093379.477148294</v>
      </c>
      <c r="I136" s="199">
        <f t="shared" si="113"/>
        <v>35093379.477148294</v>
      </c>
      <c r="J136" s="199">
        <f t="shared" si="113"/>
        <v>35093379.477148294</v>
      </c>
      <c r="K136" s="199">
        <f t="shared" si="113"/>
        <v>35093379.477148294</v>
      </c>
      <c r="L136" s="199">
        <f t="shared" si="113"/>
        <v>35093379.477148294</v>
      </c>
      <c r="M136" s="199">
        <f t="shared" si="113"/>
        <v>35093379.477148294</v>
      </c>
      <c r="N136" s="199">
        <f t="shared" si="113"/>
        <v>35093379.477148294</v>
      </c>
      <c r="O136" s="199">
        <f t="shared" si="113"/>
        <v>35093379.477148294</v>
      </c>
      <c r="P136" s="199">
        <f t="shared" si="113"/>
        <v>35093379.477148294</v>
      </c>
      <c r="Q136" s="199">
        <f t="shared" si="113"/>
        <v>35093379.477148294</v>
      </c>
      <c r="R136" s="199">
        <f t="shared" si="113"/>
        <v>35093379.477148294</v>
      </c>
      <c r="S136" s="199">
        <f t="shared" si="113"/>
        <v>35093379.477148294</v>
      </c>
      <c r="T136" s="199">
        <f t="shared" si="113"/>
        <v>35093379.477148294</v>
      </c>
      <c r="U136" s="199">
        <f t="shared" si="113"/>
        <v>35093379.477148294</v>
      </c>
      <c r="V136" s="199">
        <f t="shared" si="113"/>
        <v>35093379.477148294</v>
      </c>
      <c r="W136" s="199">
        <f t="shared" si="113"/>
        <v>35093379.477148294</v>
      </c>
      <c r="X136" s="199">
        <f t="shared" si="113"/>
        <v>35093379.477148294</v>
      </c>
      <c r="Y136" s="199">
        <f t="shared" si="113"/>
        <v>35093379.477148294</v>
      </c>
      <c r="Z136" s="199">
        <f t="shared" si="113"/>
        <v>35093379.477148294</v>
      </c>
      <c r="AA136" s="199">
        <f t="shared" si="113"/>
        <v>35093379.477148294</v>
      </c>
      <c r="AB136" s="199">
        <f t="shared" si="113"/>
        <v>35093379.477148294</v>
      </c>
      <c r="AC136" s="199">
        <f t="shared" si="113"/>
        <v>35093379.477148294</v>
      </c>
      <c r="AD136" s="199">
        <f t="shared" si="113"/>
        <v>35093379.477148294</v>
      </c>
      <c r="AE136" s="199">
        <f t="shared" si="113"/>
        <v>35093379.477148294</v>
      </c>
      <c r="AF136" s="199">
        <f t="shared" si="113"/>
        <v>35093379.477148294</v>
      </c>
      <c r="AG136" s="199">
        <f t="shared" si="113"/>
        <v>35093379.477148294</v>
      </c>
      <c r="AH136" s="199">
        <f t="shared" si="113"/>
        <v>0</v>
      </c>
      <c r="AI136" s="199">
        <f t="shared" ref="AI136:BN136" si="114">(AI132*AI135)</f>
        <v>0</v>
      </c>
      <c r="AJ136" s="199">
        <f t="shared" si="114"/>
        <v>0</v>
      </c>
      <c r="AK136" s="199">
        <f t="shared" si="114"/>
        <v>0</v>
      </c>
      <c r="AL136" s="199">
        <f t="shared" si="114"/>
        <v>0</v>
      </c>
      <c r="AM136" s="199">
        <f t="shared" si="114"/>
        <v>0</v>
      </c>
      <c r="AN136" s="199">
        <f t="shared" si="114"/>
        <v>0</v>
      </c>
      <c r="AO136" s="199">
        <f t="shared" si="114"/>
        <v>0</v>
      </c>
      <c r="AP136" s="199">
        <f t="shared" si="114"/>
        <v>0</v>
      </c>
      <c r="AQ136" s="199">
        <f t="shared" si="114"/>
        <v>0</v>
      </c>
      <c r="AR136" s="199">
        <f t="shared" si="114"/>
        <v>0</v>
      </c>
      <c r="AS136" s="199">
        <f t="shared" si="114"/>
        <v>0</v>
      </c>
      <c r="AT136" s="199">
        <f t="shared" si="114"/>
        <v>0</v>
      </c>
      <c r="AU136" s="199">
        <f t="shared" si="114"/>
        <v>0</v>
      </c>
      <c r="AV136" s="199">
        <f t="shared" si="114"/>
        <v>0</v>
      </c>
      <c r="AW136" s="199">
        <f t="shared" si="114"/>
        <v>0</v>
      </c>
      <c r="AX136" s="199">
        <f t="shared" si="114"/>
        <v>0</v>
      </c>
      <c r="AY136" s="199">
        <f t="shared" si="114"/>
        <v>0</v>
      </c>
      <c r="AZ136" s="199">
        <f t="shared" si="114"/>
        <v>0</v>
      </c>
      <c r="BA136" s="199">
        <f t="shared" si="114"/>
        <v>0</v>
      </c>
      <c r="BB136" s="199">
        <f t="shared" si="114"/>
        <v>0</v>
      </c>
      <c r="BC136" s="199">
        <f t="shared" si="114"/>
        <v>0</v>
      </c>
      <c r="BD136" s="199">
        <f t="shared" si="114"/>
        <v>0</v>
      </c>
      <c r="BE136" s="199">
        <f t="shared" si="114"/>
        <v>0</v>
      </c>
      <c r="BF136" s="199">
        <f t="shared" si="114"/>
        <v>0</v>
      </c>
      <c r="BG136" s="199">
        <f t="shared" si="114"/>
        <v>0</v>
      </c>
      <c r="BH136" s="199">
        <f t="shared" si="114"/>
        <v>0</v>
      </c>
      <c r="BI136" s="199">
        <f t="shared" si="114"/>
        <v>0</v>
      </c>
      <c r="BJ136" s="199">
        <f t="shared" si="114"/>
        <v>0</v>
      </c>
      <c r="BK136" s="199">
        <f t="shared" si="114"/>
        <v>0</v>
      </c>
      <c r="BL136" s="199">
        <f t="shared" si="114"/>
        <v>0</v>
      </c>
      <c r="BM136" s="199">
        <f t="shared" si="114"/>
        <v>0</v>
      </c>
      <c r="BN136" s="199">
        <f t="shared" si="114"/>
        <v>0</v>
      </c>
      <c r="BO136" s="199">
        <f t="shared" ref="BO136:CT136" si="115">(BO132*BO135)</f>
        <v>0</v>
      </c>
      <c r="BP136" s="199">
        <f t="shared" si="115"/>
        <v>0</v>
      </c>
      <c r="BQ136" s="199">
        <f t="shared" si="115"/>
        <v>0</v>
      </c>
      <c r="BR136" s="199">
        <f t="shared" si="115"/>
        <v>0</v>
      </c>
      <c r="BS136" s="199">
        <f t="shared" si="115"/>
        <v>0</v>
      </c>
      <c r="BT136" s="199">
        <f t="shared" si="115"/>
        <v>0</v>
      </c>
      <c r="BU136" s="199">
        <f t="shared" si="115"/>
        <v>0</v>
      </c>
      <c r="BV136" s="199">
        <f t="shared" si="115"/>
        <v>0</v>
      </c>
      <c r="BW136" s="199">
        <f t="shared" si="115"/>
        <v>0</v>
      </c>
      <c r="BX136" s="199">
        <f t="shared" si="115"/>
        <v>0</v>
      </c>
      <c r="BY136" s="199">
        <f t="shared" si="115"/>
        <v>0</v>
      </c>
      <c r="BZ136" s="199">
        <f t="shared" si="115"/>
        <v>0</v>
      </c>
      <c r="CA136" s="199">
        <f t="shared" si="115"/>
        <v>0</v>
      </c>
      <c r="CB136" s="199">
        <f t="shared" si="115"/>
        <v>0</v>
      </c>
      <c r="CC136" s="199">
        <f t="shared" si="115"/>
        <v>0</v>
      </c>
      <c r="CD136" s="199">
        <f t="shared" si="115"/>
        <v>0</v>
      </c>
      <c r="CE136" s="199">
        <f t="shared" si="115"/>
        <v>0</v>
      </c>
      <c r="CF136" s="199">
        <f t="shared" si="115"/>
        <v>0</v>
      </c>
      <c r="CG136" s="199">
        <f t="shared" si="115"/>
        <v>0</v>
      </c>
      <c r="CH136" s="199">
        <f t="shared" si="115"/>
        <v>0</v>
      </c>
      <c r="CI136" s="199">
        <f t="shared" si="115"/>
        <v>0</v>
      </c>
      <c r="CJ136" s="199">
        <f t="shared" si="115"/>
        <v>0</v>
      </c>
      <c r="CK136" s="199">
        <f t="shared" si="115"/>
        <v>0</v>
      </c>
      <c r="CL136" s="199">
        <f t="shared" si="115"/>
        <v>0</v>
      </c>
      <c r="CM136" s="199">
        <f t="shared" si="115"/>
        <v>0</v>
      </c>
      <c r="CN136" s="199">
        <f t="shared" si="115"/>
        <v>0</v>
      </c>
      <c r="CO136" s="199">
        <f t="shared" si="115"/>
        <v>0</v>
      </c>
      <c r="CP136" s="199">
        <f t="shared" si="115"/>
        <v>0</v>
      </c>
      <c r="CQ136" s="199">
        <f t="shared" si="115"/>
        <v>0</v>
      </c>
      <c r="CR136" s="199">
        <f t="shared" si="115"/>
        <v>0</v>
      </c>
      <c r="CS136" s="199">
        <f t="shared" si="115"/>
        <v>0</v>
      </c>
      <c r="CT136" s="199">
        <f t="shared" si="115"/>
        <v>0</v>
      </c>
      <c r="CU136" s="199">
        <f t="shared" ref="CU136:CX136" si="116">(CU132*CU135)</f>
        <v>0</v>
      </c>
      <c r="CV136" s="199">
        <f t="shared" si="116"/>
        <v>0</v>
      </c>
      <c r="CW136" s="199">
        <f t="shared" si="116"/>
        <v>0</v>
      </c>
      <c r="CX136" s="199">
        <f t="shared" si="116"/>
        <v>0</v>
      </c>
    </row>
    <row r="137" spans="1:102" ht="20.100000000000001" customHeight="1">
      <c r="A137" s="184"/>
      <c r="B137" s="110"/>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c r="AA137" s="199"/>
      <c r="AB137" s="199"/>
      <c r="AC137" s="199"/>
      <c r="AD137" s="199"/>
      <c r="AE137" s="199"/>
      <c r="AF137" s="199"/>
      <c r="AG137" s="199"/>
      <c r="AH137" s="199"/>
      <c r="AI137" s="199"/>
      <c r="AJ137" s="199"/>
      <c r="AK137" s="199"/>
      <c r="AL137" s="199"/>
      <c r="AM137" s="199"/>
      <c r="AN137" s="199"/>
      <c r="AO137" s="199"/>
      <c r="AP137" s="199"/>
      <c r="AQ137" s="199"/>
      <c r="AR137" s="199"/>
      <c r="AS137" s="199"/>
      <c r="AT137" s="199"/>
      <c r="AU137" s="199"/>
      <c r="AV137" s="199"/>
      <c r="AW137" s="199"/>
      <c r="AX137" s="199"/>
      <c r="AY137" s="199"/>
      <c r="AZ137" s="199"/>
      <c r="BA137" s="199"/>
      <c r="BB137" s="199"/>
      <c r="BC137" s="199"/>
      <c r="BD137" s="199"/>
      <c r="BE137" s="199"/>
      <c r="BF137" s="199"/>
      <c r="BG137" s="199"/>
      <c r="BH137" s="199"/>
      <c r="BI137" s="199"/>
      <c r="BJ137" s="199"/>
      <c r="BK137" s="199"/>
      <c r="BL137" s="199"/>
      <c r="BM137" s="199"/>
      <c r="BN137" s="199"/>
      <c r="BO137" s="199"/>
      <c r="BP137" s="199"/>
      <c r="BQ137" s="199"/>
      <c r="BR137" s="199"/>
      <c r="BS137" s="199"/>
      <c r="BT137" s="199"/>
      <c r="BU137" s="199"/>
      <c r="BV137" s="199"/>
      <c r="BW137" s="199"/>
      <c r="BX137" s="199"/>
      <c r="BY137" s="199"/>
      <c r="BZ137" s="199"/>
      <c r="CA137" s="199"/>
      <c r="CB137" s="199"/>
      <c r="CC137" s="199"/>
      <c r="CD137" s="199"/>
      <c r="CE137" s="199"/>
      <c r="CF137" s="199"/>
      <c r="CG137" s="199"/>
      <c r="CH137" s="199"/>
      <c r="CI137" s="199"/>
      <c r="CJ137" s="199"/>
      <c r="CK137" s="199"/>
      <c r="CL137" s="199"/>
      <c r="CM137" s="199"/>
      <c r="CN137" s="199"/>
      <c r="CO137" s="199"/>
      <c r="CP137" s="199"/>
      <c r="CQ137" s="199"/>
      <c r="CR137" s="199"/>
      <c r="CS137" s="199"/>
      <c r="CT137" s="199"/>
      <c r="CU137" s="199"/>
      <c r="CV137" s="199"/>
      <c r="CW137" s="199"/>
      <c r="CX137" s="199"/>
    </row>
    <row r="138" spans="1:102" ht="20.100000000000001" customHeight="1">
      <c r="A138" s="184"/>
      <c r="B138" s="103" t="str">
        <f>"CO2 Price and Revenues from Transporting CO2 in escalated $"</f>
        <v>CO2 Price and Revenues from Transporting CO2 in escalated $</v>
      </c>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c r="AA138" s="199"/>
      <c r="AB138" s="199"/>
      <c r="AC138" s="199"/>
      <c r="AD138" s="199"/>
      <c r="AE138" s="199"/>
      <c r="AF138" s="199"/>
      <c r="AG138" s="199"/>
      <c r="AH138" s="199"/>
      <c r="AI138" s="199"/>
      <c r="AJ138" s="199"/>
      <c r="AK138" s="199"/>
      <c r="AL138" s="199"/>
      <c r="AM138" s="199"/>
      <c r="AN138" s="199"/>
      <c r="AO138" s="199"/>
      <c r="AP138" s="199"/>
      <c r="AQ138" s="199"/>
      <c r="AR138" s="199"/>
      <c r="AS138" s="199"/>
      <c r="AT138" s="199"/>
      <c r="AU138" s="199"/>
      <c r="AV138" s="199"/>
      <c r="AW138" s="199"/>
      <c r="AX138" s="199"/>
      <c r="AY138" s="199"/>
      <c r="AZ138" s="199"/>
      <c r="BA138" s="199"/>
      <c r="BB138" s="199"/>
      <c r="BC138" s="199"/>
      <c r="BD138" s="199"/>
      <c r="BE138" s="199"/>
      <c r="BF138" s="199"/>
      <c r="BG138" s="199"/>
      <c r="BH138" s="199"/>
      <c r="BI138" s="199"/>
      <c r="BJ138" s="199"/>
      <c r="BK138" s="199"/>
      <c r="BL138" s="199"/>
      <c r="BM138" s="199"/>
      <c r="BN138" s="199"/>
      <c r="BO138" s="199"/>
      <c r="BP138" s="199"/>
      <c r="BQ138" s="199"/>
      <c r="BR138" s="199"/>
      <c r="BS138" s="199"/>
      <c r="BT138" s="199"/>
      <c r="BU138" s="199"/>
      <c r="BV138" s="199"/>
      <c r="BW138" s="199"/>
      <c r="BX138" s="199"/>
      <c r="BY138" s="199"/>
      <c r="BZ138" s="199"/>
      <c r="CA138" s="199"/>
      <c r="CB138" s="199"/>
      <c r="CC138" s="199"/>
      <c r="CD138" s="199"/>
      <c r="CE138" s="199"/>
      <c r="CF138" s="199"/>
      <c r="CG138" s="199"/>
      <c r="CH138" s="199"/>
      <c r="CI138" s="199"/>
      <c r="CJ138" s="199"/>
      <c r="CK138" s="199"/>
      <c r="CL138" s="199"/>
      <c r="CM138" s="199"/>
      <c r="CN138" s="199"/>
      <c r="CO138" s="199"/>
      <c r="CP138" s="199"/>
      <c r="CQ138" s="199"/>
      <c r="CR138" s="199"/>
      <c r="CS138" s="199"/>
      <c r="CT138" s="199"/>
      <c r="CU138" s="199"/>
      <c r="CV138" s="199"/>
      <c r="CW138" s="199"/>
      <c r="CX138" s="199"/>
    </row>
    <row r="139" spans="1:102" ht="20.100000000000001" customHeight="1">
      <c r="A139" s="184"/>
      <c r="B139" s="110" t="s">
        <v>158</v>
      </c>
      <c r="C139" s="202">
        <f t="shared" ref="C139:AH139" si="117">IF(C132&gt;0,$C$5*C79,0)</f>
        <v>0</v>
      </c>
      <c r="D139" s="202">
        <f t="shared" si="117"/>
        <v>127.59728019166758</v>
      </c>
      <c r="E139" s="202">
        <f t="shared" si="117"/>
        <v>130.53201763607592</v>
      </c>
      <c r="F139" s="202">
        <f t="shared" si="117"/>
        <v>133.53425404170565</v>
      </c>
      <c r="G139" s="202">
        <f t="shared" si="117"/>
        <v>136.60554188466486</v>
      </c>
      <c r="H139" s="202">
        <f t="shared" si="117"/>
        <v>139.74746934801215</v>
      </c>
      <c r="I139" s="202">
        <f t="shared" si="117"/>
        <v>142.96166114301639</v>
      </c>
      <c r="J139" s="202">
        <f t="shared" si="117"/>
        <v>146.24977934930575</v>
      </c>
      <c r="K139" s="202">
        <f t="shared" si="117"/>
        <v>149.6135242743398</v>
      </c>
      <c r="L139" s="202">
        <f t="shared" si="117"/>
        <v>153.05463533264958</v>
      </c>
      <c r="M139" s="202">
        <f t="shared" si="117"/>
        <v>156.57489194530052</v>
      </c>
      <c r="N139" s="202">
        <f t="shared" si="117"/>
        <v>160.17611446004241</v>
      </c>
      <c r="O139" s="202">
        <f t="shared" si="117"/>
        <v>163.86016509262339</v>
      </c>
      <c r="P139" s="202">
        <f t="shared" si="117"/>
        <v>167.6289488897537</v>
      </c>
      <c r="Q139" s="202">
        <f t="shared" si="117"/>
        <v>171.48441471421802</v>
      </c>
      <c r="R139" s="202">
        <f t="shared" si="117"/>
        <v>175.42855625264502</v>
      </c>
      <c r="S139" s="202">
        <f t="shared" si="117"/>
        <v>179.46341304645586</v>
      </c>
      <c r="T139" s="202">
        <f t="shared" si="117"/>
        <v>183.59107154652432</v>
      </c>
      <c r="U139" s="202">
        <f t="shared" si="117"/>
        <v>187.81366619209433</v>
      </c>
      <c r="V139" s="202">
        <f t="shared" si="117"/>
        <v>192.13338051451248</v>
      </c>
      <c r="W139" s="202">
        <f t="shared" si="117"/>
        <v>196.55244826634626</v>
      </c>
      <c r="X139" s="202">
        <f t="shared" si="117"/>
        <v>201.07315457647221</v>
      </c>
      <c r="Y139" s="202">
        <f t="shared" si="117"/>
        <v>205.69783713173103</v>
      </c>
      <c r="Z139" s="202">
        <f t="shared" si="117"/>
        <v>210.42888738576085</v>
      </c>
      <c r="AA139" s="202">
        <f t="shared" si="117"/>
        <v>215.26875179563334</v>
      </c>
      <c r="AB139" s="202">
        <f t="shared" si="117"/>
        <v>220.21993308693288</v>
      </c>
      <c r="AC139" s="202">
        <f t="shared" si="117"/>
        <v>225.28499154793229</v>
      </c>
      <c r="AD139" s="202">
        <f t="shared" si="117"/>
        <v>230.46654635353471</v>
      </c>
      <c r="AE139" s="202">
        <f t="shared" si="117"/>
        <v>235.76727691966602</v>
      </c>
      <c r="AF139" s="202">
        <f t="shared" si="117"/>
        <v>241.1899242888183</v>
      </c>
      <c r="AG139" s="202">
        <f t="shared" si="117"/>
        <v>246.7372925474611</v>
      </c>
      <c r="AH139" s="202">
        <f t="shared" si="117"/>
        <v>0</v>
      </c>
      <c r="AI139" s="202">
        <f t="shared" ref="AI139:BN139" si="118">IF(AI132&gt;0,$C$5*AI79,0)</f>
        <v>0</v>
      </c>
      <c r="AJ139" s="202">
        <f t="shared" si="118"/>
        <v>0</v>
      </c>
      <c r="AK139" s="202">
        <f t="shared" si="118"/>
        <v>0</v>
      </c>
      <c r="AL139" s="202">
        <f t="shared" si="118"/>
        <v>0</v>
      </c>
      <c r="AM139" s="202">
        <f t="shared" si="118"/>
        <v>0</v>
      </c>
      <c r="AN139" s="202">
        <f t="shared" si="118"/>
        <v>0</v>
      </c>
      <c r="AO139" s="202">
        <f t="shared" si="118"/>
        <v>0</v>
      </c>
      <c r="AP139" s="202">
        <f t="shared" si="118"/>
        <v>0</v>
      </c>
      <c r="AQ139" s="202">
        <f t="shared" si="118"/>
        <v>0</v>
      </c>
      <c r="AR139" s="202">
        <f t="shared" si="118"/>
        <v>0</v>
      </c>
      <c r="AS139" s="202">
        <f t="shared" si="118"/>
        <v>0</v>
      </c>
      <c r="AT139" s="202">
        <f t="shared" si="118"/>
        <v>0</v>
      </c>
      <c r="AU139" s="202">
        <f t="shared" si="118"/>
        <v>0</v>
      </c>
      <c r="AV139" s="202">
        <f t="shared" si="118"/>
        <v>0</v>
      </c>
      <c r="AW139" s="202">
        <f t="shared" si="118"/>
        <v>0</v>
      </c>
      <c r="AX139" s="202">
        <f t="shared" si="118"/>
        <v>0</v>
      </c>
      <c r="AY139" s="202">
        <f t="shared" si="118"/>
        <v>0</v>
      </c>
      <c r="AZ139" s="202">
        <f t="shared" si="118"/>
        <v>0</v>
      </c>
      <c r="BA139" s="202">
        <f t="shared" si="118"/>
        <v>0</v>
      </c>
      <c r="BB139" s="202">
        <f t="shared" si="118"/>
        <v>0</v>
      </c>
      <c r="BC139" s="202">
        <f t="shared" si="118"/>
        <v>0</v>
      </c>
      <c r="BD139" s="202">
        <f t="shared" si="118"/>
        <v>0</v>
      </c>
      <c r="BE139" s="202">
        <f t="shared" si="118"/>
        <v>0</v>
      </c>
      <c r="BF139" s="202">
        <f t="shared" si="118"/>
        <v>0</v>
      </c>
      <c r="BG139" s="202">
        <f t="shared" si="118"/>
        <v>0</v>
      </c>
      <c r="BH139" s="202">
        <f t="shared" si="118"/>
        <v>0</v>
      </c>
      <c r="BI139" s="202">
        <f t="shared" si="118"/>
        <v>0</v>
      </c>
      <c r="BJ139" s="202">
        <f t="shared" si="118"/>
        <v>0</v>
      </c>
      <c r="BK139" s="202">
        <f t="shared" si="118"/>
        <v>0</v>
      </c>
      <c r="BL139" s="202">
        <f t="shared" si="118"/>
        <v>0</v>
      </c>
      <c r="BM139" s="202">
        <f t="shared" si="118"/>
        <v>0</v>
      </c>
      <c r="BN139" s="202">
        <f t="shared" si="118"/>
        <v>0</v>
      </c>
      <c r="BO139" s="202">
        <f t="shared" ref="BO139:CX139" si="119">IF(BO132&gt;0,$C$5*BO79,0)</f>
        <v>0</v>
      </c>
      <c r="BP139" s="202">
        <f t="shared" si="119"/>
        <v>0</v>
      </c>
      <c r="BQ139" s="202">
        <f t="shared" si="119"/>
        <v>0</v>
      </c>
      <c r="BR139" s="202">
        <f t="shared" si="119"/>
        <v>0</v>
      </c>
      <c r="BS139" s="202">
        <f t="shared" si="119"/>
        <v>0</v>
      </c>
      <c r="BT139" s="202">
        <f t="shared" si="119"/>
        <v>0</v>
      </c>
      <c r="BU139" s="202">
        <f t="shared" si="119"/>
        <v>0</v>
      </c>
      <c r="BV139" s="202">
        <f t="shared" si="119"/>
        <v>0</v>
      </c>
      <c r="BW139" s="202">
        <f t="shared" si="119"/>
        <v>0</v>
      </c>
      <c r="BX139" s="202">
        <f t="shared" si="119"/>
        <v>0</v>
      </c>
      <c r="BY139" s="202">
        <f t="shared" si="119"/>
        <v>0</v>
      </c>
      <c r="BZ139" s="202">
        <f t="shared" si="119"/>
        <v>0</v>
      </c>
      <c r="CA139" s="202">
        <f t="shared" si="119"/>
        <v>0</v>
      </c>
      <c r="CB139" s="202">
        <f t="shared" si="119"/>
        <v>0</v>
      </c>
      <c r="CC139" s="202">
        <f t="shared" si="119"/>
        <v>0</v>
      </c>
      <c r="CD139" s="202">
        <f t="shared" si="119"/>
        <v>0</v>
      </c>
      <c r="CE139" s="202">
        <f t="shared" si="119"/>
        <v>0</v>
      </c>
      <c r="CF139" s="202">
        <f t="shared" si="119"/>
        <v>0</v>
      </c>
      <c r="CG139" s="202">
        <f t="shared" si="119"/>
        <v>0</v>
      </c>
      <c r="CH139" s="202">
        <f t="shared" si="119"/>
        <v>0</v>
      </c>
      <c r="CI139" s="202">
        <f t="shared" si="119"/>
        <v>0</v>
      </c>
      <c r="CJ139" s="202">
        <f t="shared" si="119"/>
        <v>0</v>
      </c>
      <c r="CK139" s="202">
        <f t="shared" si="119"/>
        <v>0</v>
      </c>
      <c r="CL139" s="202">
        <f t="shared" si="119"/>
        <v>0</v>
      </c>
      <c r="CM139" s="202">
        <f t="shared" si="119"/>
        <v>0</v>
      </c>
      <c r="CN139" s="202">
        <f t="shared" si="119"/>
        <v>0</v>
      </c>
      <c r="CO139" s="202">
        <f t="shared" si="119"/>
        <v>0</v>
      </c>
      <c r="CP139" s="202">
        <f t="shared" si="119"/>
        <v>0</v>
      </c>
      <c r="CQ139" s="202">
        <f t="shared" si="119"/>
        <v>0</v>
      </c>
      <c r="CR139" s="202">
        <f t="shared" si="119"/>
        <v>0</v>
      </c>
      <c r="CS139" s="202">
        <f t="shared" si="119"/>
        <v>0</v>
      </c>
      <c r="CT139" s="202">
        <f t="shared" si="119"/>
        <v>0</v>
      </c>
      <c r="CU139" s="202">
        <f t="shared" si="119"/>
        <v>0</v>
      </c>
      <c r="CV139" s="202">
        <f t="shared" si="119"/>
        <v>0</v>
      </c>
      <c r="CW139" s="202">
        <f t="shared" si="119"/>
        <v>0</v>
      </c>
      <c r="CX139" s="202">
        <f t="shared" si="119"/>
        <v>0</v>
      </c>
    </row>
    <row r="140" spans="1:102" ht="20.100000000000001" customHeight="1">
      <c r="A140" s="184">
        <f>SUM(C140:CX140)</f>
        <v>1526856597.5667443</v>
      </c>
      <c r="B140" s="110" t="s">
        <v>159</v>
      </c>
      <c r="C140" s="200">
        <f t="shared" ref="C140:AH140" si="120">(C139*C132)</f>
        <v>0</v>
      </c>
      <c r="D140" s="200">
        <f t="shared" si="120"/>
        <v>35900527.205122709</v>
      </c>
      <c r="E140" s="200">
        <f t="shared" si="120"/>
        <v>36726239.330840521</v>
      </c>
      <c r="F140" s="200">
        <f t="shared" si="120"/>
        <v>37570942.835449852</v>
      </c>
      <c r="G140" s="200">
        <f t="shared" si="120"/>
        <v>38435074.520665191</v>
      </c>
      <c r="H140" s="200">
        <f t="shared" si="120"/>
        <v>39319081.234640494</v>
      </c>
      <c r="I140" s="200">
        <f t="shared" si="120"/>
        <v>40223420.103037208</v>
      </c>
      <c r="J140" s="200">
        <f t="shared" si="120"/>
        <v>41148558.765407063</v>
      </c>
      <c r="K140" s="200">
        <f t="shared" si="120"/>
        <v>42094975.617011428</v>
      </c>
      <c r="L140" s="200">
        <f t="shared" si="120"/>
        <v>43063160.056202687</v>
      </c>
      <c r="M140" s="200">
        <f t="shared" si="120"/>
        <v>44053612.737495348</v>
      </c>
      <c r="N140" s="200">
        <f t="shared" si="120"/>
        <v>45066845.830457732</v>
      </c>
      <c r="O140" s="200">
        <f t="shared" si="120"/>
        <v>46103383.284558259</v>
      </c>
      <c r="P140" s="200">
        <f t="shared" si="120"/>
        <v>47163761.100103095</v>
      </c>
      <c r="Q140" s="200">
        <f t="shared" si="120"/>
        <v>48248527.605405457</v>
      </c>
      <c r="R140" s="200">
        <f t="shared" si="120"/>
        <v>49358243.74032978</v>
      </c>
      <c r="S140" s="200">
        <f t="shared" si="120"/>
        <v>50493483.346357368</v>
      </c>
      <c r="T140" s="200">
        <f t="shared" si="120"/>
        <v>51654833.463323578</v>
      </c>
      <c r="U140" s="200">
        <f t="shared" si="120"/>
        <v>52842894.632980011</v>
      </c>
      <c r="V140" s="200">
        <f t="shared" si="120"/>
        <v>54058281.209538542</v>
      </c>
      <c r="W140" s="200">
        <f t="shared" si="120"/>
        <v>55301621.677357927</v>
      </c>
      <c r="X140" s="200">
        <f t="shared" si="120"/>
        <v>56573558.975937158</v>
      </c>
      <c r="Y140" s="200">
        <f t="shared" si="120"/>
        <v>57874750.8323837</v>
      </c>
      <c r="Z140" s="200">
        <f t="shared" si="120"/>
        <v>59205870.101528525</v>
      </c>
      <c r="AA140" s="200">
        <f t="shared" si="120"/>
        <v>60567605.113863677</v>
      </c>
      <c r="AB140" s="200">
        <f t="shared" si="120"/>
        <v>61960660.03148254</v>
      </c>
      <c r="AC140" s="200">
        <f t="shared" si="120"/>
        <v>63385755.212206624</v>
      </c>
      <c r="AD140" s="200">
        <f t="shared" si="120"/>
        <v>64843627.582087368</v>
      </c>
      <c r="AE140" s="200">
        <f t="shared" si="120"/>
        <v>66335031.016475379</v>
      </c>
      <c r="AF140" s="200">
        <f t="shared" si="120"/>
        <v>67860736.729854301</v>
      </c>
      <c r="AG140" s="200">
        <f t="shared" si="120"/>
        <v>69421533.674640939</v>
      </c>
      <c r="AH140" s="200">
        <f t="shared" si="120"/>
        <v>0</v>
      </c>
      <c r="AI140" s="200">
        <f t="shared" ref="AI140:BN140" si="121">(AI139*AI132)</f>
        <v>0</v>
      </c>
      <c r="AJ140" s="200">
        <f t="shared" si="121"/>
        <v>0</v>
      </c>
      <c r="AK140" s="200">
        <f t="shared" si="121"/>
        <v>0</v>
      </c>
      <c r="AL140" s="200">
        <f t="shared" si="121"/>
        <v>0</v>
      </c>
      <c r="AM140" s="200">
        <f t="shared" si="121"/>
        <v>0</v>
      </c>
      <c r="AN140" s="200">
        <f t="shared" si="121"/>
        <v>0</v>
      </c>
      <c r="AO140" s="200">
        <f t="shared" si="121"/>
        <v>0</v>
      </c>
      <c r="AP140" s="200">
        <f t="shared" si="121"/>
        <v>0</v>
      </c>
      <c r="AQ140" s="200">
        <f t="shared" si="121"/>
        <v>0</v>
      </c>
      <c r="AR140" s="200">
        <f t="shared" si="121"/>
        <v>0</v>
      </c>
      <c r="AS140" s="200">
        <f t="shared" si="121"/>
        <v>0</v>
      </c>
      <c r="AT140" s="200">
        <f t="shared" si="121"/>
        <v>0</v>
      </c>
      <c r="AU140" s="200">
        <f t="shared" si="121"/>
        <v>0</v>
      </c>
      <c r="AV140" s="200">
        <f t="shared" si="121"/>
        <v>0</v>
      </c>
      <c r="AW140" s="200">
        <f t="shared" si="121"/>
        <v>0</v>
      </c>
      <c r="AX140" s="200">
        <f t="shared" si="121"/>
        <v>0</v>
      </c>
      <c r="AY140" s="200">
        <f t="shared" si="121"/>
        <v>0</v>
      </c>
      <c r="AZ140" s="200">
        <f t="shared" si="121"/>
        <v>0</v>
      </c>
      <c r="BA140" s="200">
        <f t="shared" si="121"/>
        <v>0</v>
      </c>
      <c r="BB140" s="200">
        <f t="shared" si="121"/>
        <v>0</v>
      </c>
      <c r="BC140" s="200">
        <f t="shared" si="121"/>
        <v>0</v>
      </c>
      <c r="BD140" s="200">
        <f t="shared" si="121"/>
        <v>0</v>
      </c>
      <c r="BE140" s="200">
        <f t="shared" si="121"/>
        <v>0</v>
      </c>
      <c r="BF140" s="200">
        <f t="shared" si="121"/>
        <v>0</v>
      </c>
      <c r="BG140" s="200">
        <f t="shared" si="121"/>
        <v>0</v>
      </c>
      <c r="BH140" s="200">
        <f t="shared" si="121"/>
        <v>0</v>
      </c>
      <c r="BI140" s="200">
        <f t="shared" si="121"/>
        <v>0</v>
      </c>
      <c r="BJ140" s="200">
        <f t="shared" si="121"/>
        <v>0</v>
      </c>
      <c r="BK140" s="200">
        <f t="shared" si="121"/>
        <v>0</v>
      </c>
      <c r="BL140" s="200">
        <f t="shared" si="121"/>
        <v>0</v>
      </c>
      <c r="BM140" s="200">
        <f t="shared" si="121"/>
        <v>0</v>
      </c>
      <c r="BN140" s="200">
        <f t="shared" si="121"/>
        <v>0</v>
      </c>
      <c r="BO140" s="200">
        <f t="shared" ref="BO140:CT140" si="122">(BO139*BO132)</f>
        <v>0</v>
      </c>
      <c r="BP140" s="200">
        <f t="shared" si="122"/>
        <v>0</v>
      </c>
      <c r="BQ140" s="200">
        <f t="shared" si="122"/>
        <v>0</v>
      </c>
      <c r="BR140" s="200">
        <f t="shared" si="122"/>
        <v>0</v>
      </c>
      <c r="BS140" s="200">
        <f t="shared" si="122"/>
        <v>0</v>
      </c>
      <c r="BT140" s="200">
        <f t="shared" si="122"/>
        <v>0</v>
      </c>
      <c r="BU140" s="200">
        <f t="shared" si="122"/>
        <v>0</v>
      </c>
      <c r="BV140" s="200">
        <f t="shared" si="122"/>
        <v>0</v>
      </c>
      <c r="BW140" s="200">
        <f t="shared" si="122"/>
        <v>0</v>
      </c>
      <c r="BX140" s="200">
        <f t="shared" si="122"/>
        <v>0</v>
      </c>
      <c r="BY140" s="200">
        <f t="shared" si="122"/>
        <v>0</v>
      </c>
      <c r="BZ140" s="200">
        <f t="shared" si="122"/>
        <v>0</v>
      </c>
      <c r="CA140" s="200">
        <f t="shared" si="122"/>
        <v>0</v>
      </c>
      <c r="CB140" s="200">
        <f t="shared" si="122"/>
        <v>0</v>
      </c>
      <c r="CC140" s="200">
        <f t="shared" si="122"/>
        <v>0</v>
      </c>
      <c r="CD140" s="200">
        <f t="shared" si="122"/>
        <v>0</v>
      </c>
      <c r="CE140" s="200">
        <f t="shared" si="122"/>
        <v>0</v>
      </c>
      <c r="CF140" s="200">
        <f t="shared" si="122"/>
        <v>0</v>
      </c>
      <c r="CG140" s="200">
        <f t="shared" si="122"/>
        <v>0</v>
      </c>
      <c r="CH140" s="200">
        <f t="shared" si="122"/>
        <v>0</v>
      </c>
      <c r="CI140" s="200">
        <f t="shared" si="122"/>
        <v>0</v>
      </c>
      <c r="CJ140" s="200">
        <f t="shared" si="122"/>
        <v>0</v>
      </c>
      <c r="CK140" s="200">
        <f t="shared" si="122"/>
        <v>0</v>
      </c>
      <c r="CL140" s="200">
        <f t="shared" si="122"/>
        <v>0</v>
      </c>
      <c r="CM140" s="200">
        <f t="shared" si="122"/>
        <v>0</v>
      </c>
      <c r="CN140" s="200">
        <f t="shared" si="122"/>
        <v>0</v>
      </c>
      <c r="CO140" s="200">
        <f t="shared" si="122"/>
        <v>0</v>
      </c>
      <c r="CP140" s="200">
        <f t="shared" si="122"/>
        <v>0</v>
      </c>
      <c r="CQ140" s="200">
        <f t="shared" si="122"/>
        <v>0</v>
      </c>
      <c r="CR140" s="200">
        <f t="shared" si="122"/>
        <v>0</v>
      </c>
      <c r="CS140" s="200">
        <f t="shared" si="122"/>
        <v>0</v>
      </c>
      <c r="CT140" s="200">
        <f t="shared" si="122"/>
        <v>0</v>
      </c>
      <c r="CU140" s="200">
        <f t="shared" ref="CU140:CX140" si="123">(CU139*CU132)</f>
        <v>0</v>
      </c>
      <c r="CV140" s="200">
        <f t="shared" si="123"/>
        <v>0</v>
      </c>
      <c r="CW140" s="200">
        <f t="shared" si="123"/>
        <v>0</v>
      </c>
      <c r="CX140" s="200">
        <f t="shared" si="123"/>
        <v>0</v>
      </c>
    </row>
    <row r="141" spans="1:102" ht="20.100000000000001" customHeight="1">
      <c r="A141" s="184"/>
      <c r="C141" s="200"/>
      <c r="D141" s="200"/>
      <c r="E141" s="200"/>
      <c r="F141" s="200"/>
      <c r="G141" s="200"/>
      <c r="H141" s="200"/>
      <c r="I141" s="200"/>
      <c r="J141" s="200"/>
      <c r="K141" s="200"/>
      <c r="L141" s="200"/>
      <c r="M141" s="200"/>
      <c r="N141" s="200"/>
      <c r="O141" s="200"/>
      <c r="P141" s="200"/>
      <c r="Q141" s="200"/>
      <c r="R141" s="200"/>
      <c r="S141" s="200"/>
      <c r="T141" s="200"/>
      <c r="U141" s="200"/>
      <c r="V141" s="200"/>
      <c r="W141" s="200"/>
      <c r="X141" s="200"/>
      <c r="Y141" s="200"/>
      <c r="Z141" s="200"/>
      <c r="AA141" s="200"/>
      <c r="AB141" s="200"/>
      <c r="AC141" s="200"/>
      <c r="AD141" s="200"/>
      <c r="AE141" s="200"/>
      <c r="AF141" s="200"/>
      <c r="AG141" s="200"/>
      <c r="AH141" s="200"/>
      <c r="AI141" s="200"/>
      <c r="AJ141" s="200"/>
      <c r="AK141" s="200"/>
      <c r="AL141" s="200"/>
      <c r="AM141" s="200"/>
      <c r="AN141" s="200"/>
      <c r="AO141" s="200"/>
      <c r="AP141" s="200"/>
      <c r="AQ141" s="200"/>
      <c r="AR141" s="200"/>
      <c r="AS141" s="200"/>
      <c r="AT141" s="200"/>
      <c r="AU141" s="200"/>
      <c r="AV141" s="200"/>
      <c r="AW141" s="200"/>
      <c r="AX141" s="200"/>
      <c r="AY141" s="200"/>
      <c r="AZ141" s="200"/>
      <c r="BA141" s="200"/>
      <c r="BB141" s="200"/>
      <c r="BC141" s="200"/>
      <c r="BD141" s="200"/>
      <c r="BE141" s="200"/>
      <c r="BF141" s="200"/>
      <c r="BG141" s="200"/>
      <c r="BH141" s="200"/>
      <c r="BI141" s="200"/>
      <c r="BJ141" s="200"/>
      <c r="BK141" s="200"/>
      <c r="BL141" s="200"/>
      <c r="BM141" s="200"/>
      <c r="BN141" s="200"/>
      <c r="BO141" s="200"/>
      <c r="BP141" s="200"/>
      <c r="BQ141" s="200"/>
      <c r="BR141" s="200"/>
      <c r="BS141" s="200"/>
      <c r="BT141" s="200"/>
      <c r="BU141" s="200"/>
      <c r="BV141" s="200"/>
      <c r="BW141" s="200"/>
      <c r="BX141" s="200"/>
      <c r="BY141" s="200"/>
      <c r="BZ141" s="200"/>
      <c r="CA141" s="200"/>
      <c r="CB141" s="200"/>
      <c r="CC141" s="200"/>
      <c r="CD141" s="200"/>
      <c r="CE141" s="200"/>
      <c r="CF141" s="200"/>
      <c r="CG141" s="200"/>
      <c r="CH141" s="200"/>
      <c r="CI141" s="200"/>
      <c r="CJ141" s="200"/>
      <c r="CK141" s="200"/>
      <c r="CL141" s="200"/>
      <c r="CM141" s="200"/>
      <c r="CN141" s="200"/>
      <c r="CO141" s="200"/>
      <c r="CP141" s="200"/>
      <c r="CQ141" s="200"/>
      <c r="CR141" s="200"/>
      <c r="CS141" s="200"/>
      <c r="CT141" s="200"/>
      <c r="CU141" s="200"/>
      <c r="CV141" s="200"/>
      <c r="CW141" s="200"/>
      <c r="CX141" s="200"/>
    </row>
    <row r="142" spans="1:102" ht="20.100000000000001" customHeight="1">
      <c r="B142" s="103" t="str">
        <f>"Revenues from Transporting CO2 in present value $"</f>
        <v>Revenues from Transporting CO2 in present value $</v>
      </c>
      <c r="F142" s="107"/>
      <c r="G142" s="107"/>
      <c r="H142" s="107"/>
      <c r="I142" s="107"/>
      <c r="J142" s="107"/>
      <c r="K142" s="107"/>
      <c r="L142" s="107"/>
      <c r="M142" s="107"/>
      <c r="N142" s="107"/>
      <c r="O142" s="107"/>
      <c r="P142" s="107"/>
      <c r="Q142" s="107"/>
      <c r="R142" s="107"/>
      <c r="S142" s="107"/>
      <c r="T142" s="107"/>
      <c r="U142" s="107"/>
      <c r="V142" s="107"/>
      <c r="W142" s="107"/>
    </row>
    <row r="143" spans="1:102" ht="20.100000000000001" customHeight="1">
      <c r="A143" s="184">
        <f>SUM(C143:CX143)</f>
        <v>607017157.9781841</v>
      </c>
      <c r="B143" s="110" t="s">
        <v>160</v>
      </c>
      <c r="C143" s="200">
        <f>C140/C$80</f>
        <v>0</v>
      </c>
      <c r="D143" s="200">
        <f>D140/D$80</f>
        <v>33744432.193583898</v>
      </c>
      <c r="E143" s="200">
        <f t="shared" ref="E143:BP143" si="124">E140/E$80</f>
        <v>32447336.820577737</v>
      </c>
      <c r="F143" s="200">
        <f t="shared" si="124"/>
        <v>31200100.233074989</v>
      </c>
      <c r="G143" s="200">
        <f t="shared" si="124"/>
        <v>30000805.919349816</v>
      </c>
      <c r="H143" s="200">
        <f t="shared" si="124"/>
        <v>28847611.036081247</v>
      </c>
      <c r="I143" s="200">
        <f t="shared" si="124"/>
        <v>27738743.576628268</v>
      </c>
      <c r="J143" s="200">
        <f t="shared" si="124"/>
        <v>26672499.648153167</v>
      </c>
      <c r="K143" s="200">
        <f t="shared" si="124"/>
        <v>25647240.853408776</v>
      </c>
      <c r="L143" s="200">
        <f t="shared" si="124"/>
        <v>24661391.773166846</v>
      </c>
      <c r="M143" s="200">
        <f t="shared" si="124"/>
        <v>23713437.545418754</v>
      </c>
      <c r="N143" s="200">
        <f t="shared" si="124"/>
        <v>22801921.537628837</v>
      </c>
      <c r="O143" s="200">
        <f t="shared" si="124"/>
        <v>21925443.108463529</v>
      </c>
      <c r="P143" s="200">
        <f t="shared" si="124"/>
        <v>21082655.455556892</v>
      </c>
      <c r="Q143" s="200">
        <f t="shared" si="124"/>
        <v>20272263.546005502</v>
      </c>
      <c r="R143" s="200">
        <f t="shared" si="124"/>
        <v>19493022.126412593</v>
      </c>
      <c r="S143" s="200">
        <f t="shared" si="124"/>
        <v>18743733.8094237</v>
      </c>
      <c r="T143" s="200">
        <f t="shared" si="124"/>
        <v>18023247.233813599</v>
      </c>
      <c r="U143" s="200">
        <f t="shared" si="124"/>
        <v>17330455.295297276</v>
      </c>
      <c r="V143" s="200">
        <f t="shared" si="124"/>
        <v>16664293.445346387</v>
      </c>
      <c r="W143" s="200">
        <f t="shared" si="124"/>
        <v>16023738.055397185</v>
      </c>
      <c r="X143" s="200">
        <f t="shared" si="124"/>
        <v>15407804.843936298</v>
      </c>
      <c r="Y143" s="200">
        <f t="shared" si="124"/>
        <v>14815547.364047462</v>
      </c>
      <c r="Z143" s="200">
        <f t="shared" si="124"/>
        <v>14246055.549095148</v>
      </c>
      <c r="AA143" s="200">
        <f t="shared" si="124"/>
        <v>13698454.314310305</v>
      </c>
      <c r="AB143" s="200">
        <f t="shared" si="124"/>
        <v>13171902.212129535</v>
      </c>
      <c r="AC143" s="200">
        <f t="shared" si="124"/>
        <v>12665590.139221361</v>
      </c>
      <c r="AD143" s="200">
        <f t="shared" si="124"/>
        <v>12178740.09321288</v>
      </c>
      <c r="AE143" s="200">
        <f t="shared" si="124"/>
        <v>11710603.977206323</v>
      </c>
      <c r="AF143" s="200">
        <f t="shared" si="124"/>
        <v>11260462.450248582</v>
      </c>
      <c r="AG143" s="200">
        <f t="shared" si="124"/>
        <v>10827623.821987292</v>
      </c>
      <c r="AH143" s="200">
        <f t="shared" si="124"/>
        <v>0</v>
      </c>
      <c r="AI143" s="200">
        <f t="shared" si="124"/>
        <v>0</v>
      </c>
      <c r="AJ143" s="200">
        <f t="shared" si="124"/>
        <v>0</v>
      </c>
      <c r="AK143" s="200">
        <f t="shared" si="124"/>
        <v>0</v>
      </c>
      <c r="AL143" s="200">
        <f t="shared" si="124"/>
        <v>0</v>
      </c>
      <c r="AM143" s="200">
        <f t="shared" si="124"/>
        <v>0</v>
      </c>
      <c r="AN143" s="200">
        <f t="shared" si="124"/>
        <v>0</v>
      </c>
      <c r="AO143" s="200">
        <f t="shared" si="124"/>
        <v>0</v>
      </c>
      <c r="AP143" s="200">
        <f t="shared" si="124"/>
        <v>0</v>
      </c>
      <c r="AQ143" s="200">
        <f t="shared" si="124"/>
        <v>0</v>
      </c>
      <c r="AR143" s="200">
        <f t="shared" si="124"/>
        <v>0</v>
      </c>
      <c r="AS143" s="200">
        <f t="shared" si="124"/>
        <v>0</v>
      </c>
      <c r="AT143" s="200">
        <f t="shared" si="124"/>
        <v>0</v>
      </c>
      <c r="AU143" s="200">
        <f t="shared" si="124"/>
        <v>0</v>
      </c>
      <c r="AV143" s="200">
        <f t="shared" si="124"/>
        <v>0</v>
      </c>
      <c r="AW143" s="200">
        <f t="shared" si="124"/>
        <v>0</v>
      </c>
      <c r="AX143" s="200">
        <f t="shared" si="124"/>
        <v>0</v>
      </c>
      <c r="AY143" s="200">
        <f t="shared" si="124"/>
        <v>0</v>
      </c>
      <c r="AZ143" s="200">
        <f t="shared" si="124"/>
        <v>0</v>
      </c>
      <c r="BA143" s="200">
        <f t="shared" si="124"/>
        <v>0</v>
      </c>
      <c r="BB143" s="200">
        <f t="shared" si="124"/>
        <v>0</v>
      </c>
      <c r="BC143" s="200">
        <f t="shared" si="124"/>
        <v>0</v>
      </c>
      <c r="BD143" s="200">
        <f t="shared" si="124"/>
        <v>0</v>
      </c>
      <c r="BE143" s="200">
        <f t="shared" si="124"/>
        <v>0</v>
      </c>
      <c r="BF143" s="200">
        <f t="shared" si="124"/>
        <v>0</v>
      </c>
      <c r="BG143" s="200">
        <f t="shared" si="124"/>
        <v>0</v>
      </c>
      <c r="BH143" s="200">
        <f t="shared" si="124"/>
        <v>0</v>
      </c>
      <c r="BI143" s="200">
        <f t="shared" si="124"/>
        <v>0</v>
      </c>
      <c r="BJ143" s="200">
        <f t="shared" si="124"/>
        <v>0</v>
      </c>
      <c r="BK143" s="200">
        <f t="shared" si="124"/>
        <v>0</v>
      </c>
      <c r="BL143" s="200">
        <f t="shared" si="124"/>
        <v>0</v>
      </c>
      <c r="BM143" s="200">
        <f t="shared" si="124"/>
        <v>0</v>
      </c>
      <c r="BN143" s="200">
        <f t="shared" si="124"/>
        <v>0</v>
      </c>
      <c r="BO143" s="200">
        <f t="shared" si="124"/>
        <v>0</v>
      </c>
      <c r="BP143" s="200">
        <f t="shared" si="124"/>
        <v>0</v>
      </c>
      <c r="BQ143" s="200">
        <f t="shared" ref="BQ143:CX143" si="125">BQ140/BQ$80</f>
        <v>0</v>
      </c>
      <c r="BR143" s="200">
        <f t="shared" si="125"/>
        <v>0</v>
      </c>
      <c r="BS143" s="200">
        <f t="shared" si="125"/>
        <v>0</v>
      </c>
      <c r="BT143" s="200">
        <f t="shared" si="125"/>
        <v>0</v>
      </c>
      <c r="BU143" s="200">
        <f t="shared" si="125"/>
        <v>0</v>
      </c>
      <c r="BV143" s="200">
        <f t="shared" si="125"/>
        <v>0</v>
      </c>
      <c r="BW143" s="200">
        <f t="shared" si="125"/>
        <v>0</v>
      </c>
      <c r="BX143" s="200">
        <f t="shared" si="125"/>
        <v>0</v>
      </c>
      <c r="BY143" s="200">
        <f t="shared" si="125"/>
        <v>0</v>
      </c>
      <c r="BZ143" s="200">
        <f t="shared" si="125"/>
        <v>0</v>
      </c>
      <c r="CA143" s="200">
        <f t="shared" si="125"/>
        <v>0</v>
      </c>
      <c r="CB143" s="200">
        <f t="shared" si="125"/>
        <v>0</v>
      </c>
      <c r="CC143" s="200">
        <f t="shared" si="125"/>
        <v>0</v>
      </c>
      <c r="CD143" s="200">
        <f t="shared" si="125"/>
        <v>0</v>
      </c>
      <c r="CE143" s="200">
        <f t="shared" si="125"/>
        <v>0</v>
      </c>
      <c r="CF143" s="200">
        <f t="shared" si="125"/>
        <v>0</v>
      </c>
      <c r="CG143" s="200">
        <f t="shared" si="125"/>
        <v>0</v>
      </c>
      <c r="CH143" s="200">
        <f t="shared" si="125"/>
        <v>0</v>
      </c>
      <c r="CI143" s="200">
        <f t="shared" si="125"/>
        <v>0</v>
      </c>
      <c r="CJ143" s="200">
        <f t="shared" si="125"/>
        <v>0</v>
      </c>
      <c r="CK143" s="200">
        <f t="shared" si="125"/>
        <v>0</v>
      </c>
      <c r="CL143" s="200">
        <f t="shared" si="125"/>
        <v>0</v>
      </c>
      <c r="CM143" s="200">
        <f t="shared" si="125"/>
        <v>0</v>
      </c>
      <c r="CN143" s="200">
        <f t="shared" si="125"/>
        <v>0</v>
      </c>
      <c r="CO143" s="200">
        <f t="shared" si="125"/>
        <v>0</v>
      </c>
      <c r="CP143" s="200">
        <f t="shared" si="125"/>
        <v>0</v>
      </c>
      <c r="CQ143" s="200">
        <f t="shared" si="125"/>
        <v>0</v>
      </c>
      <c r="CR143" s="200">
        <f t="shared" si="125"/>
        <v>0</v>
      </c>
      <c r="CS143" s="200">
        <f t="shared" si="125"/>
        <v>0</v>
      </c>
      <c r="CT143" s="200">
        <f t="shared" si="125"/>
        <v>0</v>
      </c>
      <c r="CU143" s="200">
        <f t="shared" si="125"/>
        <v>0</v>
      </c>
      <c r="CV143" s="200">
        <f t="shared" si="125"/>
        <v>0</v>
      </c>
      <c r="CW143" s="200">
        <f t="shared" si="125"/>
        <v>0</v>
      </c>
      <c r="CX143" s="200">
        <f t="shared" si="125"/>
        <v>0</v>
      </c>
    </row>
    <row r="144" spans="1:102" ht="20.100000000000001" customHeight="1">
      <c r="A144" s="184"/>
      <c r="B144" s="110"/>
      <c r="C144" s="200"/>
      <c r="D144" s="200"/>
      <c r="E144" s="200"/>
      <c r="F144" s="200"/>
      <c r="G144" s="200"/>
      <c r="H144" s="200"/>
      <c r="I144" s="200"/>
      <c r="J144" s="200"/>
      <c r="K144" s="200"/>
      <c r="L144" s="200"/>
      <c r="M144" s="200"/>
      <c r="N144" s="200"/>
      <c r="O144" s="200"/>
      <c r="P144" s="200"/>
      <c r="Q144" s="200"/>
      <c r="R144" s="200"/>
      <c r="S144" s="200"/>
      <c r="T144" s="200"/>
      <c r="U144" s="200"/>
      <c r="V144" s="200"/>
      <c r="W144" s="200"/>
      <c r="X144" s="200"/>
      <c r="Y144" s="200"/>
      <c r="Z144" s="200"/>
      <c r="AA144" s="200"/>
      <c r="AB144" s="200"/>
      <c r="AC144" s="200"/>
      <c r="AD144" s="200"/>
      <c r="AE144" s="200"/>
      <c r="AF144" s="200"/>
      <c r="AG144" s="200"/>
      <c r="AH144" s="200"/>
      <c r="AI144" s="200"/>
      <c r="AJ144" s="200"/>
      <c r="AK144" s="200"/>
      <c r="AL144" s="200"/>
      <c r="AM144" s="200"/>
      <c r="AN144" s="200"/>
      <c r="AO144" s="200"/>
      <c r="AP144" s="200"/>
      <c r="AQ144" s="200"/>
      <c r="AR144" s="200"/>
      <c r="AS144" s="200"/>
      <c r="AT144" s="200"/>
      <c r="AU144" s="200"/>
      <c r="AV144" s="200"/>
      <c r="AW144" s="200"/>
      <c r="AX144" s="200"/>
      <c r="AY144" s="200"/>
      <c r="AZ144" s="200"/>
      <c r="BA144" s="200"/>
      <c r="BB144" s="200"/>
      <c r="BC144" s="200"/>
      <c r="BD144" s="200"/>
      <c r="BE144" s="200"/>
      <c r="BF144" s="200"/>
      <c r="BG144" s="200"/>
      <c r="BH144" s="200"/>
      <c r="BI144" s="200"/>
      <c r="BJ144" s="200"/>
      <c r="BK144" s="200"/>
      <c r="BL144" s="200"/>
      <c r="BM144" s="200"/>
      <c r="BN144" s="200"/>
      <c r="BO144" s="200"/>
      <c r="BP144" s="200"/>
      <c r="BQ144" s="200"/>
      <c r="BR144" s="200"/>
      <c r="BS144" s="200"/>
      <c r="BT144" s="200"/>
      <c r="BU144" s="200"/>
      <c r="BV144" s="200"/>
      <c r="BW144" s="200"/>
      <c r="BX144" s="200"/>
      <c r="BY144" s="200"/>
      <c r="BZ144" s="200"/>
      <c r="CA144" s="200"/>
      <c r="CB144" s="200"/>
      <c r="CC144" s="200"/>
      <c r="CD144" s="200"/>
      <c r="CE144" s="200"/>
      <c r="CF144" s="200"/>
      <c r="CG144" s="200"/>
      <c r="CH144" s="200"/>
      <c r="CI144" s="200"/>
      <c r="CJ144" s="200"/>
      <c r="CK144" s="200"/>
      <c r="CL144" s="200"/>
      <c r="CM144" s="200"/>
      <c r="CN144" s="200"/>
      <c r="CO144" s="200"/>
      <c r="CP144" s="200"/>
      <c r="CQ144" s="200"/>
      <c r="CR144" s="200"/>
      <c r="CS144" s="200"/>
      <c r="CT144" s="200"/>
      <c r="CU144" s="200"/>
      <c r="CV144" s="200"/>
      <c r="CW144" s="200"/>
      <c r="CX144" s="200"/>
    </row>
    <row r="145" spans="1:102" s="99" customFormat="1" ht="20.100000000000001" customHeight="1">
      <c r="A145" s="98" t="s">
        <v>161</v>
      </c>
      <c r="C145" s="203"/>
      <c r="D145" s="203"/>
      <c r="E145" s="203"/>
      <c r="F145" s="204"/>
      <c r="G145" s="204"/>
      <c r="H145" s="204"/>
      <c r="I145" s="204"/>
      <c r="J145" s="204"/>
      <c r="K145" s="204"/>
      <c r="L145" s="204"/>
      <c r="M145" s="204"/>
      <c r="N145" s="204"/>
      <c r="O145" s="204"/>
      <c r="P145" s="204"/>
      <c r="Q145" s="204"/>
      <c r="R145" s="204"/>
      <c r="S145" s="204"/>
      <c r="T145" s="204"/>
      <c r="U145" s="204"/>
      <c r="V145" s="204"/>
      <c r="W145" s="204"/>
      <c r="X145" s="203"/>
      <c r="Y145" s="203"/>
      <c r="Z145" s="203"/>
      <c r="AA145" s="203"/>
      <c r="AB145" s="203"/>
      <c r="AC145" s="203"/>
      <c r="AD145" s="203"/>
      <c r="AE145" s="203"/>
      <c r="AF145" s="203"/>
      <c r="AG145" s="203"/>
      <c r="AH145" s="203"/>
      <c r="AI145" s="203"/>
      <c r="AJ145" s="203"/>
      <c r="AK145" s="203"/>
      <c r="AL145" s="203"/>
      <c r="AM145" s="203"/>
      <c r="AN145" s="203"/>
      <c r="AO145" s="203"/>
      <c r="AP145" s="203"/>
      <c r="AQ145" s="203"/>
      <c r="AR145" s="203"/>
      <c r="AS145" s="203"/>
      <c r="AT145" s="203"/>
      <c r="AU145" s="203"/>
      <c r="AV145" s="203"/>
      <c r="AW145" s="203"/>
      <c r="AX145" s="203"/>
      <c r="AY145" s="203"/>
      <c r="AZ145" s="203"/>
      <c r="BA145" s="203"/>
      <c r="BB145" s="203"/>
      <c r="BC145" s="203"/>
      <c r="BD145" s="203"/>
      <c r="BE145" s="203"/>
      <c r="BF145" s="203"/>
      <c r="BG145" s="203"/>
      <c r="BH145" s="203"/>
      <c r="BI145" s="203"/>
      <c r="BJ145" s="203"/>
      <c r="BK145" s="203"/>
      <c r="BL145" s="203"/>
      <c r="BM145" s="203"/>
      <c r="BN145" s="203"/>
      <c r="BO145" s="203"/>
      <c r="BP145" s="203"/>
      <c r="BQ145" s="203"/>
      <c r="BR145" s="203"/>
      <c r="BS145" s="203"/>
      <c r="BT145" s="203"/>
      <c r="BU145" s="203"/>
      <c r="BV145" s="203"/>
      <c r="BW145" s="203"/>
      <c r="BX145" s="203"/>
      <c r="BY145" s="203"/>
      <c r="BZ145" s="203"/>
      <c r="CA145" s="203"/>
      <c r="CB145" s="203"/>
      <c r="CC145" s="203"/>
      <c r="CD145" s="203"/>
      <c r="CE145" s="203"/>
      <c r="CF145" s="203"/>
      <c r="CG145" s="203"/>
      <c r="CH145" s="203"/>
      <c r="CI145" s="203"/>
      <c r="CJ145" s="203"/>
      <c r="CK145" s="203"/>
      <c r="CL145" s="203"/>
      <c r="CM145" s="203"/>
      <c r="CN145" s="203"/>
      <c r="CO145" s="203"/>
      <c r="CP145" s="203"/>
      <c r="CQ145" s="203"/>
      <c r="CR145" s="203"/>
      <c r="CS145" s="203"/>
      <c r="CT145" s="203"/>
      <c r="CU145" s="203"/>
      <c r="CV145" s="203"/>
      <c r="CW145" s="203"/>
      <c r="CX145" s="203"/>
    </row>
    <row r="146" spans="1:102" ht="20.100000000000001" customHeight="1">
      <c r="A146" s="123"/>
      <c r="B146" s="169" t="s">
        <v>147</v>
      </c>
      <c r="C146" s="137">
        <f>$C$38</f>
        <v>2024</v>
      </c>
      <c r="D146" s="137">
        <f t="shared" ref="D146:BO147" si="126">C146+1</f>
        <v>2025</v>
      </c>
      <c r="E146" s="137">
        <f t="shared" si="126"/>
        <v>2026</v>
      </c>
      <c r="F146" s="137">
        <f t="shared" si="126"/>
        <v>2027</v>
      </c>
      <c r="G146" s="137">
        <f t="shared" si="126"/>
        <v>2028</v>
      </c>
      <c r="H146" s="137">
        <f t="shared" si="126"/>
        <v>2029</v>
      </c>
      <c r="I146" s="137">
        <f t="shared" si="126"/>
        <v>2030</v>
      </c>
      <c r="J146" s="137">
        <f t="shared" si="126"/>
        <v>2031</v>
      </c>
      <c r="K146" s="137">
        <f t="shared" si="126"/>
        <v>2032</v>
      </c>
      <c r="L146" s="137">
        <f t="shared" si="126"/>
        <v>2033</v>
      </c>
      <c r="M146" s="137">
        <f t="shared" si="126"/>
        <v>2034</v>
      </c>
      <c r="N146" s="137">
        <f t="shared" si="126"/>
        <v>2035</v>
      </c>
      <c r="O146" s="137">
        <f t="shared" si="126"/>
        <v>2036</v>
      </c>
      <c r="P146" s="137">
        <f t="shared" si="126"/>
        <v>2037</v>
      </c>
      <c r="Q146" s="137">
        <f t="shared" si="126"/>
        <v>2038</v>
      </c>
      <c r="R146" s="137">
        <f t="shared" si="126"/>
        <v>2039</v>
      </c>
      <c r="S146" s="137">
        <f t="shared" si="126"/>
        <v>2040</v>
      </c>
      <c r="T146" s="137">
        <f t="shared" si="126"/>
        <v>2041</v>
      </c>
      <c r="U146" s="137">
        <f t="shared" si="126"/>
        <v>2042</v>
      </c>
      <c r="V146" s="137">
        <f t="shared" si="126"/>
        <v>2043</v>
      </c>
      <c r="W146" s="137">
        <f t="shared" si="126"/>
        <v>2044</v>
      </c>
      <c r="X146" s="137">
        <f t="shared" si="126"/>
        <v>2045</v>
      </c>
      <c r="Y146" s="137">
        <f t="shared" si="126"/>
        <v>2046</v>
      </c>
      <c r="Z146" s="137">
        <f t="shared" si="126"/>
        <v>2047</v>
      </c>
      <c r="AA146" s="137">
        <f t="shared" si="126"/>
        <v>2048</v>
      </c>
      <c r="AB146" s="137">
        <f t="shared" si="126"/>
        <v>2049</v>
      </c>
      <c r="AC146" s="137">
        <f t="shared" si="126"/>
        <v>2050</v>
      </c>
      <c r="AD146" s="137">
        <f t="shared" si="126"/>
        <v>2051</v>
      </c>
      <c r="AE146" s="137">
        <f t="shared" si="126"/>
        <v>2052</v>
      </c>
      <c r="AF146" s="137">
        <f t="shared" si="126"/>
        <v>2053</v>
      </c>
      <c r="AG146" s="137">
        <f t="shared" si="126"/>
        <v>2054</v>
      </c>
      <c r="AH146" s="137">
        <f t="shared" si="126"/>
        <v>2055</v>
      </c>
      <c r="AI146" s="137">
        <f t="shared" si="126"/>
        <v>2056</v>
      </c>
      <c r="AJ146" s="137">
        <f t="shared" si="126"/>
        <v>2057</v>
      </c>
      <c r="AK146" s="137">
        <f t="shared" si="126"/>
        <v>2058</v>
      </c>
      <c r="AL146" s="137">
        <f t="shared" si="126"/>
        <v>2059</v>
      </c>
      <c r="AM146" s="137">
        <f t="shared" si="126"/>
        <v>2060</v>
      </c>
      <c r="AN146" s="137">
        <f t="shared" si="126"/>
        <v>2061</v>
      </c>
      <c r="AO146" s="137">
        <f t="shared" si="126"/>
        <v>2062</v>
      </c>
      <c r="AP146" s="137">
        <f t="shared" si="126"/>
        <v>2063</v>
      </c>
      <c r="AQ146" s="137">
        <f t="shared" si="126"/>
        <v>2064</v>
      </c>
      <c r="AR146" s="137">
        <f t="shared" si="126"/>
        <v>2065</v>
      </c>
      <c r="AS146" s="137">
        <f t="shared" si="126"/>
        <v>2066</v>
      </c>
      <c r="AT146" s="137">
        <f t="shared" si="126"/>
        <v>2067</v>
      </c>
      <c r="AU146" s="137">
        <f t="shared" si="126"/>
        <v>2068</v>
      </c>
      <c r="AV146" s="137">
        <f t="shared" si="126"/>
        <v>2069</v>
      </c>
      <c r="AW146" s="137">
        <f t="shared" si="126"/>
        <v>2070</v>
      </c>
      <c r="AX146" s="137">
        <f t="shared" si="126"/>
        <v>2071</v>
      </c>
      <c r="AY146" s="137">
        <f t="shared" si="126"/>
        <v>2072</v>
      </c>
      <c r="AZ146" s="137">
        <f t="shared" si="126"/>
        <v>2073</v>
      </c>
      <c r="BA146" s="137">
        <f t="shared" si="126"/>
        <v>2074</v>
      </c>
      <c r="BB146" s="137">
        <f t="shared" si="126"/>
        <v>2075</v>
      </c>
      <c r="BC146" s="137">
        <f t="shared" si="126"/>
        <v>2076</v>
      </c>
      <c r="BD146" s="137">
        <f t="shared" si="126"/>
        <v>2077</v>
      </c>
      <c r="BE146" s="137">
        <f t="shared" si="126"/>
        <v>2078</v>
      </c>
      <c r="BF146" s="137">
        <f t="shared" si="126"/>
        <v>2079</v>
      </c>
      <c r="BG146" s="137">
        <f t="shared" si="126"/>
        <v>2080</v>
      </c>
      <c r="BH146" s="137">
        <f t="shared" si="126"/>
        <v>2081</v>
      </c>
      <c r="BI146" s="137">
        <f t="shared" si="126"/>
        <v>2082</v>
      </c>
      <c r="BJ146" s="137">
        <f t="shared" si="126"/>
        <v>2083</v>
      </c>
      <c r="BK146" s="137">
        <f t="shared" si="126"/>
        <v>2084</v>
      </c>
      <c r="BL146" s="137">
        <f t="shared" si="126"/>
        <v>2085</v>
      </c>
      <c r="BM146" s="137">
        <f t="shared" si="126"/>
        <v>2086</v>
      </c>
      <c r="BN146" s="137">
        <f t="shared" si="126"/>
        <v>2087</v>
      </c>
      <c r="BO146" s="137">
        <f t="shared" si="126"/>
        <v>2088</v>
      </c>
      <c r="BP146" s="137">
        <f t="shared" ref="BP146:CX147" si="127">BO146+1</f>
        <v>2089</v>
      </c>
      <c r="BQ146" s="137">
        <f t="shared" si="127"/>
        <v>2090</v>
      </c>
      <c r="BR146" s="137">
        <f t="shared" si="127"/>
        <v>2091</v>
      </c>
      <c r="BS146" s="137">
        <f t="shared" si="127"/>
        <v>2092</v>
      </c>
      <c r="BT146" s="137">
        <f t="shared" si="127"/>
        <v>2093</v>
      </c>
      <c r="BU146" s="137">
        <f t="shared" si="127"/>
        <v>2094</v>
      </c>
      <c r="BV146" s="137">
        <f t="shared" si="127"/>
        <v>2095</v>
      </c>
      <c r="BW146" s="137">
        <f t="shared" si="127"/>
        <v>2096</v>
      </c>
      <c r="BX146" s="137">
        <f t="shared" si="127"/>
        <v>2097</v>
      </c>
      <c r="BY146" s="137">
        <f t="shared" si="127"/>
        <v>2098</v>
      </c>
      <c r="BZ146" s="137">
        <f t="shared" si="127"/>
        <v>2099</v>
      </c>
      <c r="CA146" s="137">
        <f t="shared" si="127"/>
        <v>2100</v>
      </c>
      <c r="CB146" s="137">
        <f t="shared" si="127"/>
        <v>2101</v>
      </c>
      <c r="CC146" s="137">
        <f t="shared" si="127"/>
        <v>2102</v>
      </c>
      <c r="CD146" s="137">
        <f t="shared" si="127"/>
        <v>2103</v>
      </c>
      <c r="CE146" s="137">
        <f t="shared" si="127"/>
        <v>2104</v>
      </c>
      <c r="CF146" s="137">
        <f t="shared" si="127"/>
        <v>2105</v>
      </c>
      <c r="CG146" s="137">
        <f t="shared" si="127"/>
        <v>2106</v>
      </c>
      <c r="CH146" s="137">
        <f t="shared" si="127"/>
        <v>2107</v>
      </c>
      <c r="CI146" s="137">
        <f t="shared" si="127"/>
        <v>2108</v>
      </c>
      <c r="CJ146" s="137">
        <f t="shared" si="127"/>
        <v>2109</v>
      </c>
      <c r="CK146" s="137">
        <f t="shared" si="127"/>
        <v>2110</v>
      </c>
      <c r="CL146" s="137">
        <f t="shared" si="127"/>
        <v>2111</v>
      </c>
      <c r="CM146" s="137">
        <f t="shared" si="127"/>
        <v>2112</v>
      </c>
      <c r="CN146" s="137">
        <f t="shared" si="127"/>
        <v>2113</v>
      </c>
      <c r="CO146" s="137">
        <f t="shared" si="127"/>
        <v>2114</v>
      </c>
      <c r="CP146" s="137">
        <f t="shared" si="127"/>
        <v>2115</v>
      </c>
      <c r="CQ146" s="137">
        <f t="shared" si="127"/>
        <v>2116</v>
      </c>
      <c r="CR146" s="137">
        <f t="shared" si="127"/>
        <v>2117</v>
      </c>
      <c r="CS146" s="137">
        <f t="shared" si="127"/>
        <v>2118</v>
      </c>
      <c r="CT146" s="137">
        <f t="shared" si="127"/>
        <v>2119</v>
      </c>
      <c r="CU146" s="137">
        <f t="shared" si="127"/>
        <v>2120</v>
      </c>
      <c r="CV146" s="137">
        <f t="shared" si="127"/>
        <v>2121</v>
      </c>
      <c r="CW146" s="137">
        <f t="shared" si="127"/>
        <v>2122</v>
      </c>
      <c r="CX146" s="170">
        <f t="shared" si="127"/>
        <v>2123</v>
      </c>
    </row>
    <row r="147" spans="1:102" ht="20.100000000000001" customHeight="1">
      <c r="A147" s="123"/>
      <c r="B147" s="171" t="s">
        <v>148</v>
      </c>
      <c r="C147" s="172">
        <v>1</v>
      </c>
      <c r="D147" s="172">
        <f t="shared" si="126"/>
        <v>2</v>
      </c>
      <c r="E147" s="172">
        <f t="shared" si="126"/>
        <v>3</v>
      </c>
      <c r="F147" s="172">
        <f t="shared" si="126"/>
        <v>4</v>
      </c>
      <c r="G147" s="172">
        <f t="shared" si="126"/>
        <v>5</v>
      </c>
      <c r="H147" s="172">
        <f t="shared" si="126"/>
        <v>6</v>
      </c>
      <c r="I147" s="172">
        <f t="shared" si="126"/>
        <v>7</v>
      </c>
      <c r="J147" s="172">
        <f t="shared" si="126"/>
        <v>8</v>
      </c>
      <c r="K147" s="172">
        <f t="shared" si="126"/>
        <v>9</v>
      </c>
      <c r="L147" s="172">
        <f t="shared" si="126"/>
        <v>10</v>
      </c>
      <c r="M147" s="172">
        <f t="shared" si="126"/>
        <v>11</v>
      </c>
      <c r="N147" s="172">
        <f t="shared" si="126"/>
        <v>12</v>
      </c>
      <c r="O147" s="172">
        <f t="shared" si="126"/>
        <v>13</v>
      </c>
      <c r="P147" s="172">
        <f t="shared" si="126"/>
        <v>14</v>
      </c>
      <c r="Q147" s="172">
        <f t="shared" si="126"/>
        <v>15</v>
      </c>
      <c r="R147" s="172">
        <f t="shared" si="126"/>
        <v>16</v>
      </c>
      <c r="S147" s="172">
        <f t="shared" si="126"/>
        <v>17</v>
      </c>
      <c r="T147" s="172">
        <f t="shared" si="126"/>
        <v>18</v>
      </c>
      <c r="U147" s="172">
        <f t="shared" si="126"/>
        <v>19</v>
      </c>
      <c r="V147" s="172">
        <f t="shared" si="126"/>
        <v>20</v>
      </c>
      <c r="W147" s="172">
        <f t="shared" si="126"/>
        <v>21</v>
      </c>
      <c r="X147" s="172">
        <f t="shared" si="126"/>
        <v>22</v>
      </c>
      <c r="Y147" s="172">
        <f t="shared" si="126"/>
        <v>23</v>
      </c>
      <c r="Z147" s="172">
        <f t="shared" si="126"/>
        <v>24</v>
      </c>
      <c r="AA147" s="172">
        <f t="shared" si="126"/>
        <v>25</v>
      </c>
      <c r="AB147" s="172">
        <f t="shared" si="126"/>
        <v>26</v>
      </c>
      <c r="AC147" s="172">
        <f t="shared" si="126"/>
        <v>27</v>
      </c>
      <c r="AD147" s="172">
        <f t="shared" si="126"/>
        <v>28</v>
      </c>
      <c r="AE147" s="172">
        <f t="shared" si="126"/>
        <v>29</v>
      </c>
      <c r="AF147" s="172">
        <f t="shared" si="126"/>
        <v>30</v>
      </c>
      <c r="AG147" s="172">
        <f t="shared" si="126"/>
        <v>31</v>
      </c>
      <c r="AH147" s="172">
        <f t="shared" si="126"/>
        <v>32</v>
      </c>
      <c r="AI147" s="172">
        <f t="shared" si="126"/>
        <v>33</v>
      </c>
      <c r="AJ147" s="172">
        <f t="shared" si="126"/>
        <v>34</v>
      </c>
      <c r="AK147" s="172">
        <f t="shared" si="126"/>
        <v>35</v>
      </c>
      <c r="AL147" s="172">
        <f t="shared" si="126"/>
        <v>36</v>
      </c>
      <c r="AM147" s="172">
        <f t="shared" si="126"/>
        <v>37</v>
      </c>
      <c r="AN147" s="172">
        <f t="shared" si="126"/>
        <v>38</v>
      </c>
      <c r="AO147" s="172">
        <f t="shared" si="126"/>
        <v>39</v>
      </c>
      <c r="AP147" s="172">
        <f t="shared" si="126"/>
        <v>40</v>
      </c>
      <c r="AQ147" s="172">
        <f t="shared" si="126"/>
        <v>41</v>
      </c>
      <c r="AR147" s="172">
        <f t="shared" si="126"/>
        <v>42</v>
      </c>
      <c r="AS147" s="172">
        <f t="shared" si="126"/>
        <v>43</v>
      </c>
      <c r="AT147" s="172">
        <f t="shared" si="126"/>
        <v>44</v>
      </c>
      <c r="AU147" s="172">
        <f t="shared" si="126"/>
        <v>45</v>
      </c>
      <c r="AV147" s="172">
        <f t="shared" si="126"/>
        <v>46</v>
      </c>
      <c r="AW147" s="172">
        <f t="shared" si="126"/>
        <v>47</v>
      </c>
      <c r="AX147" s="172">
        <f t="shared" si="126"/>
        <v>48</v>
      </c>
      <c r="AY147" s="172">
        <f t="shared" si="126"/>
        <v>49</v>
      </c>
      <c r="AZ147" s="172">
        <f t="shared" si="126"/>
        <v>50</v>
      </c>
      <c r="BA147" s="172">
        <f t="shared" si="126"/>
        <v>51</v>
      </c>
      <c r="BB147" s="172">
        <f t="shared" si="126"/>
        <v>52</v>
      </c>
      <c r="BC147" s="172">
        <f t="shared" si="126"/>
        <v>53</v>
      </c>
      <c r="BD147" s="172">
        <f t="shared" si="126"/>
        <v>54</v>
      </c>
      <c r="BE147" s="172">
        <f t="shared" si="126"/>
        <v>55</v>
      </c>
      <c r="BF147" s="172">
        <f t="shared" si="126"/>
        <v>56</v>
      </c>
      <c r="BG147" s="172">
        <f t="shared" si="126"/>
        <v>57</v>
      </c>
      <c r="BH147" s="172">
        <f t="shared" si="126"/>
        <v>58</v>
      </c>
      <c r="BI147" s="172">
        <f t="shared" si="126"/>
        <v>59</v>
      </c>
      <c r="BJ147" s="172">
        <f t="shared" si="126"/>
        <v>60</v>
      </c>
      <c r="BK147" s="172">
        <f t="shared" si="126"/>
        <v>61</v>
      </c>
      <c r="BL147" s="172">
        <f t="shared" si="126"/>
        <v>62</v>
      </c>
      <c r="BM147" s="172">
        <f t="shared" si="126"/>
        <v>63</v>
      </c>
      <c r="BN147" s="172">
        <f t="shared" si="126"/>
        <v>64</v>
      </c>
      <c r="BO147" s="172">
        <f t="shared" si="126"/>
        <v>65</v>
      </c>
      <c r="BP147" s="172">
        <f t="shared" si="127"/>
        <v>66</v>
      </c>
      <c r="BQ147" s="172">
        <f t="shared" si="127"/>
        <v>67</v>
      </c>
      <c r="BR147" s="172">
        <f t="shared" si="127"/>
        <v>68</v>
      </c>
      <c r="BS147" s="172">
        <f t="shared" si="127"/>
        <v>69</v>
      </c>
      <c r="BT147" s="172">
        <f t="shared" si="127"/>
        <v>70</v>
      </c>
      <c r="BU147" s="172">
        <f t="shared" si="127"/>
        <v>71</v>
      </c>
      <c r="BV147" s="172">
        <f t="shared" si="127"/>
        <v>72</v>
      </c>
      <c r="BW147" s="172">
        <f t="shared" si="127"/>
        <v>73</v>
      </c>
      <c r="BX147" s="172">
        <f t="shared" si="127"/>
        <v>74</v>
      </c>
      <c r="BY147" s="172">
        <f t="shared" si="127"/>
        <v>75</v>
      </c>
      <c r="BZ147" s="172">
        <f t="shared" si="127"/>
        <v>76</v>
      </c>
      <c r="CA147" s="172">
        <f t="shared" si="127"/>
        <v>77</v>
      </c>
      <c r="CB147" s="172">
        <f t="shared" si="127"/>
        <v>78</v>
      </c>
      <c r="CC147" s="172">
        <f t="shared" si="127"/>
        <v>79</v>
      </c>
      <c r="CD147" s="172">
        <f t="shared" si="127"/>
        <v>80</v>
      </c>
      <c r="CE147" s="172">
        <f t="shared" si="127"/>
        <v>81</v>
      </c>
      <c r="CF147" s="172">
        <f t="shared" si="127"/>
        <v>82</v>
      </c>
      <c r="CG147" s="172">
        <f t="shared" si="127"/>
        <v>83</v>
      </c>
      <c r="CH147" s="172">
        <f t="shared" si="127"/>
        <v>84</v>
      </c>
      <c r="CI147" s="172">
        <f t="shared" si="127"/>
        <v>85</v>
      </c>
      <c r="CJ147" s="172">
        <f t="shared" si="127"/>
        <v>86</v>
      </c>
      <c r="CK147" s="172">
        <f t="shared" si="127"/>
        <v>87</v>
      </c>
      <c r="CL147" s="172">
        <f t="shared" si="127"/>
        <v>88</v>
      </c>
      <c r="CM147" s="172">
        <f t="shared" si="127"/>
        <v>89</v>
      </c>
      <c r="CN147" s="172">
        <f t="shared" si="127"/>
        <v>90</v>
      </c>
      <c r="CO147" s="172">
        <f t="shared" si="127"/>
        <v>91</v>
      </c>
      <c r="CP147" s="172">
        <f t="shared" si="127"/>
        <v>92</v>
      </c>
      <c r="CQ147" s="172">
        <f t="shared" si="127"/>
        <v>93</v>
      </c>
      <c r="CR147" s="172">
        <f t="shared" si="127"/>
        <v>94</v>
      </c>
      <c r="CS147" s="172">
        <f t="shared" si="127"/>
        <v>95</v>
      </c>
      <c r="CT147" s="172">
        <f t="shared" si="127"/>
        <v>96</v>
      </c>
      <c r="CU147" s="172">
        <f t="shared" si="127"/>
        <v>97</v>
      </c>
      <c r="CV147" s="172">
        <f t="shared" si="127"/>
        <v>98</v>
      </c>
      <c r="CW147" s="172">
        <f t="shared" si="127"/>
        <v>99</v>
      </c>
      <c r="CX147" s="173">
        <f t="shared" si="127"/>
        <v>100</v>
      </c>
    </row>
    <row r="148" spans="1:102" ht="20.100000000000001" customHeight="1">
      <c r="A148" s="123"/>
    </row>
    <row r="149" spans="1:102" ht="20.100000000000001" customHeight="1">
      <c r="A149" s="184">
        <f>SUM(C149:CX149)</f>
        <v>1526856597.5667443</v>
      </c>
      <c r="B149" s="107" t="s">
        <v>159</v>
      </c>
      <c r="C149" s="205">
        <f t="shared" ref="C149:AH149" si="128">C140</f>
        <v>0</v>
      </c>
      <c r="D149" s="205">
        <f>D140</f>
        <v>35900527.205122709</v>
      </c>
      <c r="E149" s="205">
        <f>E140</f>
        <v>36726239.330840521</v>
      </c>
      <c r="F149" s="205">
        <f>F140</f>
        <v>37570942.835449852</v>
      </c>
      <c r="G149" s="205">
        <f t="shared" si="128"/>
        <v>38435074.520665191</v>
      </c>
      <c r="H149" s="205">
        <f t="shared" si="128"/>
        <v>39319081.234640494</v>
      </c>
      <c r="I149" s="205">
        <f t="shared" si="128"/>
        <v>40223420.103037208</v>
      </c>
      <c r="J149" s="205">
        <f t="shared" si="128"/>
        <v>41148558.765407063</v>
      </c>
      <c r="K149" s="205">
        <f t="shared" si="128"/>
        <v>42094975.617011428</v>
      </c>
      <c r="L149" s="205">
        <f t="shared" si="128"/>
        <v>43063160.056202687</v>
      </c>
      <c r="M149" s="205">
        <f t="shared" si="128"/>
        <v>44053612.737495348</v>
      </c>
      <c r="N149" s="205">
        <f t="shared" si="128"/>
        <v>45066845.830457732</v>
      </c>
      <c r="O149" s="205">
        <f t="shared" si="128"/>
        <v>46103383.284558259</v>
      </c>
      <c r="P149" s="205">
        <f t="shared" si="128"/>
        <v>47163761.100103095</v>
      </c>
      <c r="Q149" s="205">
        <f t="shared" si="128"/>
        <v>48248527.605405457</v>
      </c>
      <c r="R149" s="205">
        <f t="shared" si="128"/>
        <v>49358243.74032978</v>
      </c>
      <c r="S149" s="205">
        <f t="shared" si="128"/>
        <v>50493483.346357368</v>
      </c>
      <c r="T149" s="205">
        <f t="shared" si="128"/>
        <v>51654833.463323578</v>
      </c>
      <c r="U149" s="205">
        <f t="shared" si="128"/>
        <v>52842894.632980011</v>
      </c>
      <c r="V149" s="205">
        <f t="shared" si="128"/>
        <v>54058281.209538542</v>
      </c>
      <c r="W149" s="205">
        <f t="shared" si="128"/>
        <v>55301621.677357927</v>
      </c>
      <c r="X149" s="205">
        <f t="shared" si="128"/>
        <v>56573558.975937158</v>
      </c>
      <c r="Y149" s="205">
        <f>Y140</f>
        <v>57874750.8323837</v>
      </c>
      <c r="Z149" s="205">
        <f t="shared" si="128"/>
        <v>59205870.101528525</v>
      </c>
      <c r="AA149" s="205">
        <f t="shared" si="128"/>
        <v>60567605.113863677</v>
      </c>
      <c r="AB149" s="205">
        <f t="shared" si="128"/>
        <v>61960660.03148254</v>
      </c>
      <c r="AC149" s="205">
        <f t="shared" si="128"/>
        <v>63385755.212206624</v>
      </c>
      <c r="AD149" s="205">
        <f t="shared" si="128"/>
        <v>64843627.582087368</v>
      </c>
      <c r="AE149" s="205">
        <f t="shared" si="128"/>
        <v>66335031.016475379</v>
      </c>
      <c r="AF149" s="205">
        <f t="shared" si="128"/>
        <v>67860736.729854301</v>
      </c>
      <c r="AG149" s="205">
        <f t="shared" si="128"/>
        <v>69421533.674640939</v>
      </c>
      <c r="AH149" s="205">
        <f t="shared" si="128"/>
        <v>0</v>
      </c>
      <c r="AI149" s="205">
        <f t="shared" ref="AI149:BN149" si="129">AI140</f>
        <v>0</v>
      </c>
      <c r="AJ149" s="205">
        <f t="shared" si="129"/>
        <v>0</v>
      </c>
      <c r="AK149" s="205">
        <f t="shared" si="129"/>
        <v>0</v>
      </c>
      <c r="AL149" s="205">
        <f t="shared" si="129"/>
        <v>0</v>
      </c>
      <c r="AM149" s="205">
        <f t="shared" si="129"/>
        <v>0</v>
      </c>
      <c r="AN149" s="205">
        <f t="shared" si="129"/>
        <v>0</v>
      </c>
      <c r="AO149" s="205">
        <f t="shared" si="129"/>
        <v>0</v>
      </c>
      <c r="AP149" s="205">
        <f t="shared" si="129"/>
        <v>0</v>
      </c>
      <c r="AQ149" s="205">
        <f t="shared" si="129"/>
        <v>0</v>
      </c>
      <c r="AR149" s="205">
        <f t="shared" si="129"/>
        <v>0</v>
      </c>
      <c r="AS149" s="205">
        <f t="shared" si="129"/>
        <v>0</v>
      </c>
      <c r="AT149" s="205">
        <f t="shared" si="129"/>
        <v>0</v>
      </c>
      <c r="AU149" s="205">
        <f t="shared" si="129"/>
        <v>0</v>
      </c>
      <c r="AV149" s="205">
        <f t="shared" si="129"/>
        <v>0</v>
      </c>
      <c r="AW149" s="205">
        <f t="shared" si="129"/>
        <v>0</v>
      </c>
      <c r="AX149" s="205">
        <f t="shared" si="129"/>
        <v>0</v>
      </c>
      <c r="AY149" s="205">
        <f t="shared" si="129"/>
        <v>0</v>
      </c>
      <c r="AZ149" s="205">
        <f t="shared" si="129"/>
        <v>0</v>
      </c>
      <c r="BA149" s="205">
        <f t="shared" si="129"/>
        <v>0</v>
      </c>
      <c r="BB149" s="205">
        <f t="shared" si="129"/>
        <v>0</v>
      </c>
      <c r="BC149" s="205">
        <f t="shared" si="129"/>
        <v>0</v>
      </c>
      <c r="BD149" s="205">
        <f t="shared" si="129"/>
        <v>0</v>
      </c>
      <c r="BE149" s="205">
        <f t="shared" si="129"/>
        <v>0</v>
      </c>
      <c r="BF149" s="205">
        <f t="shared" si="129"/>
        <v>0</v>
      </c>
      <c r="BG149" s="205">
        <f t="shared" si="129"/>
        <v>0</v>
      </c>
      <c r="BH149" s="205">
        <f t="shared" si="129"/>
        <v>0</v>
      </c>
      <c r="BI149" s="205">
        <f t="shared" si="129"/>
        <v>0</v>
      </c>
      <c r="BJ149" s="205">
        <f t="shared" si="129"/>
        <v>0</v>
      </c>
      <c r="BK149" s="205">
        <f t="shared" si="129"/>
        <v>0</v>
      </c>
      <c r="BL149" s="205">
        <f t="shared" si="129"/>
        <v>0</v>
      </c>
      <c r="BM149" s="205">
        <f t="shared" si="129"/>
        <v>0</v>
      </c>
      <c r="BN149" s="205">
        <f t="shared" si="129"/>
        <v>0</v>
      </c>
      <c r="BO149" s="205">
        <f t="shared" ref="BO149:CX149" si="130">BO140</f>
        <v>0</v>
      </c>
      <c r="BP149" s="205">
        <f t="shared" si="130"/>
        <v>0</v>
      </c>
      <c r="BQ149" s="205">
        <f t="shared" si="130"/>
        <v>0</v>
      </c>
      <c r="BR149" s="205">
        <f t="shared" si="130"/>
        <v>0</v>
      </c>
      <c r="BS149" s="205">
        <f t="shared" si="130"/>
        <v>0</v>
      </c>
      <c r="BT149" s="205">
        <f t="shared" si="130"/>
        <v>0</v>
      </c>
      <c r="BU149" s="205">
        <f t="shared" si="130"/>
        <v>0</v>
      </c>
      <c r="BV149" s="205">
        <f t="shared" si="130"/>
        <v>0</v>
      </c>
      <c r="BW149" s="205">
        <f t="shared" si="130"/>
        <v>0</v>
      </c>
      <c r="BX149" s="205">
        <f t="shared" si="130"/>
        <v>0</v>
      </c>
      <c r="BY149" s="205">
        <f t="shared" si="130"/>
        <v>0</v>
      </c>
      <c r="BZ149" s="205">
        <f t="shared" si="130"/>
        <v>0</v>
      </c>
      <c r="CA149" s="205">
        <f t="shared" si="130"/>
        <v>0</v>
      </c>
      <c r="CB149" s="205">
        <f t="shared" si="130"/>
        <v>0</v>
      </c>
      <c r="CC149" s="205">
        <f t="shared" si="130"/>
        <v>0</v>
      </c>
      <c r="CD149" s="205">
        <f t="shared" si="130"/>
        <v>0</v>
      </c>
      <c r="CE149" s="205">
        <f t="shared" si="130"/>
        <v>0</v>
      </c>
      <c r="CF149" s="205">
        <f t="shared" si="130"/>
        <v>0</v>
      </c>
      <c r="CG149" s="205">
        <f t="shared" si="130"/>
        <v>0</v>
      </c>
      <c r="CH149" s="205">
        <f t="shared" si="130"/>
        <v>0</v>
      </c>
      <c r="CI149" s="205">
        <f t="shared" si="130"/>
        <v>0</v>
      </c>
      <c r="CJ149" s="205">
        <f t="shared" si="130"/>
        <v>0</v>
      </c>
      <c r="CK149" s="205">
        <f t="shared" si="130"/>
        <v>0</v>
      </c>
      <c r="CL149" s="205">
        <f t="shared" si="130"/>
        <v>0</v>
      </c>
      <c r="CM149" s="205">
        <f t="shared" si="130"/>
        <v>0</v>
      </c>
      <c r="CN149" s="205">
        <f t="shared" si="130"/>
        <v>0</v>
      </c>
      <c r="CO149" s="205">
        <f t="shared" si="130"/>
        <v>0</v>
      </c>
      <c r="CP149" s="205">
        <f t="shared" si="130"/>
        <v>0</v>
      </c>
      <c r="CQ149" s="205">
        <f t="shared" si="130"/>
        <v>0</v>
      </c>
      <c r="CR149" s="205">
        <f t="shared" si="130"/>
        <v>0</v>
      </c>
      <c r="CS149" s="205">
        <f t="shared" si="130"/>
        <v>0</v>
      </c>
      <c r="CT149" s="205">
        <f t="shared" si="130"/>
        <v>0</v>
      </c>
      <c r="CU149" s="205">
        <f t="shared" si="130"/>
        <v>0</v>
      </c>
      <c r="CV149" s="205">
        <f t="shared" si="130"/>
        <v>0</v>
      </c>
      <c r="CW149" s="205">
        <f t="shared" si="130"/>
        <v>0</v>
      </c>
      <c r="CX149" s="205">
        <f t="shared" si="130"/>
        <v>0</v>
      </c>
    </row>
    <row r="150" spans="1:102" ht="20.100000000000001" customHeight="1">
      <c r="A150" s="184">
        <f t="shared" ref="A150:A157" si="131">SUM(C150:CX150)</f>
        <v>1010210481.9819376</v>
      </c>
      <c r="B150" s="110" t="s">
        <v>152</v>
      </c>
      <c r="C150" s="205">
        <f t="shared" ref="C150:AH150" si="132">C114</f>
        <v>0</v>
      </c>
      <c r="D150" s="205">
        <f t="shared" si="132"/>
        <v>24043051.683646038</v>
      </c>
      <c r="E150" s="205">
        <f t="shared" si="132"/>
        <v>24596041.872369893</v>
      </c>
      <c r="F150" s="205">
        <f t="shared" si="132"/>
        <v>25161750.835434396</v>
      </c>
      <c r="G150" s="205">
        <f t="shared" si="132"/>
        <v>25740471.104649387</v>
      </c>
      <c r="H150" s="205">
        <f t="shared" si="132"/>
        <v>26332501.94005632</v>
      </c>
      <c r="I150" s="205">
        <f t="shared" si="132"/>
        <v>26938149.484677609</v>
      </c>
      <c r="J150" s="205">
        <f t="shared" si="132"/>
        <v>27557726.922825195</v>
      </c>
      <c r="K150" s="205">
        <f t="shared" si="132"/>
        <v>28191554.642050173</v>
      </c>
      <c r="L150" s="205">
        <f t="shared" si="132"/>
        <v>28839960.398817323</v>
      </c>
      <c r="M150" s="205">
        <f t="shared" si="132"/>
        <v>29503279.487990119</v>
      </c>
      <c r="N150" s="205">
        <f t="shared" si="132"/>
        <v>30181854.916213889</v>
      </c>
      <c r="O150" s="205">
        <f t="shared" si="132"/>
        <v>30876037.579286806</v>
      </c>
      <c r="P150" s="205">
        <f t="shared" si="132"/>
        <v>31586186.4436104</v>
      </c>
      <c r="Q150" s="205">
        <f t="shared" si="132"/>
        <v>32312668.731813438</v>
      </c>
      <c r="R150" s="205">
        <f t="shared" si="132"/>
        <v>33055860.112645142</v>
      </c>
      <c r="S150" s="205">
        <f t="shared" si="132"/>
        <v>33816144.895235978</v>
      </c>
      <c r="T150" s="205">
        <f t="shared" si="132"/>
        <v>34593916.227826402</v>
      </c>
      <c r="U150" s="205">
        <f t="shared" si="132"/>
        <v>35389576.301066406</v>
      </c>
      <c r="V150" s="205">
        <f t="shared" si="132"/>
        <v>36203536.555990927</v>
      </c>
      <c r="W150" s="205">
        <f t="shared" si="132"/>
        <v>37036217.89677871</v>
      </c>
      <c r="X150" s="205">
        <f t="shared" si="132"/>
        <v>37888050.908404626</v>
      </c>
      <c r="Y150" s="205">
        <f t="shared" si="132"/>
        <v>38759476.079297923</v>
      </c>
      <c r="Z150" s="205">
        <f t="shared" si="132"/>
        <v>39650944.029121779</v>
      </c>
      <c r="AA150" s="205">
        <f t="shared" si="132"/>
        <v>40562915.741791576</v>
      </c>
      <c r="AB150" s="205">
        <f t="shared" si="132"/>
        <v>41495862.803852774</v>
      </c>
      <c r="AC150" s="205">
        <f t="shared" si="132"/>
        <v>42450267.64834138</v>
      </c>
      <c r="AD150" s="205">
        <f t="shared" si="132"/>
        <v>43426623.804253228</v>
      </c>
      <c r="AE150" s="205">
        <f t="shared" si="132"/>
        <v>44425436.151751049</v>
      </c>
      <c r="AF150" s="205">
        <f t="shared" si="132"/>
        <v>45447221.183241323</v>
      </c>
      <c r="AG150" s="205">
        <f t="shared" si="132"/>
        <v>34147195.598897465</v>
      </c>
      <c r="AH150" s="205">
        <f t="shared" si="132"/>
        <v>0</v>
      </c>
      <c r="AI150" s="205">
        <f t="shared" ref="AI150:BN150" si="133">AI114</f>
        <v>0</v>
      </c>
      <c r="AJ150" s="205">
        <f t="shared" si="133"/>
        <v>0</v>
      </c>
      <c r="AK150" s="205">
        <f t="shared" si="133"/>
        <v>0</v>
      </c>
      <c r="AL150" s="205">
        <f t="shared" si="133"/>
        <v>0</v>
      </c>
      <c r="AM150" s="205">
        <f t="shared" si="133"/>
        <v>0</v>
      </c>
      <c r="AN150" s="205">
        <f t="shared" si="133"/>
        <v>0</v>
      </c>
      <c r="AO150" s="205">
        <f t="shared" si="133"/>
        <v>0</v>
      </c>
      <c r="AP150" s="205">
        <f t="shared" si="133"/>
        <v>0</v>
      </c>
      <c r="AQ150" s="205">
        <f t="shared" si="133"/>
        <v>0</v>
      </c>
      <c r="AR150" s="205">
        <f t="shared" si="133"/>
        <v>0</v>
      </c>
      <c r="AS150" s="205">
        <f t="shared" si="133"/>
        <v>0</v>
      </c>
      <c r="AT150" s="205">
        <f t="shared" si="133"/>
        <v>0</v>
      </c>
      <c r="AU150" s="205">
        <f t="shared" si="133"/>
        <v>0</v>
      </c>
      <c r="AV150" s="205">
        <f t="shared" si="133"/>
        <v>0</v>
      </c>
      <c r="AW150" s="205">
        <f t="shared" si="133"/>
        <v>0</v>
      </c>
      <c r="AX150" s="205">
        <f t="shared" si="133"/>
        <v>0</v>
      </c>
      <c r="AY150" s="205">
        <f t="shared" si="133"/>
        <v>0</v>
      </c>
      <c r="AZ150" s="205">
        <f t="shared" si="133"/>
        <v>0</v>
      </c>
      <c r="BA150" s="205">
        <f t="shared" si="133"/>
        <v>0</v>
      </c>
      <c r="BB150" s="205">
        <f t="shared" si="133"/>
        <v>0</v>
      </c>
      <c r="BC150" s="205">
        <f t="shared" si="133"/>
        <v>0</v>
      </c>
      <c r="BD150" s="205">
        <f t="shared" si="133"/>
        <v>0</v>
      </c>
      <c r="BE150" s="205">
        <f t="shared" si="133"/>
        <v>0</v>
      </c>
      <c r="BF150" s="205">
        <f t="shared" si="133"/>
        <v>0</v>
      </c>
      <c r="BG150" s="205">
        <f t="shared" si="133"/>
        <v>0</v>
      </c>
      <c r="BH150" s="205">
        <f t="shared" si="133"/>
        <v>0</v>
      </c>
      <c r="BI150" s="205">
        <f t="shared" si="133"/>
        <v>0</v>
      </c>
      <c r="BJ150" s="205">
        <f t="shared" si="133"/>
        <v>0</v>
      </c>
      <c r="BK150" s="205">
        <f t="shared" si="133"/>
        <v>0</v>
      </c>
      <c r="BL150" s="205">
        <f t="shared" si="133"/>
        <v>0</v>
      </c>
      <c r="BM150" s="205">
        <f t="shared" si="133"/>
        <v>0</v>
      </c>
      <c r="BN150" s="205">
        <f t="shared" si="133"/>
        <v>0</v>
      </c>
      <c r="BO150" s="205">
        <f t="shared" ref="BO150:CX150" si="134">BO114</f>
        <v>0</v>
      </c>
      <c r="BP150" s="205">
        <f t="shared" si="134"/>
        <v>0</v>
      </c>
      <c r="BQ150" s="205">
        <f t="shared" si="134"/>
        <v>0</v>
      </c>
      <c r="BR150" s="205">
        <f t="shared" si="134"/>
        <v>0</v>
      </c>
      <c r="BS150" s="205">
        <f t="shared" si="134"/>
        <v>0</v>
      </c>
      <c r="BT150" s="205">
        <f t="shared" si="134"/>
        <v>0</v>
      </c>
      <c r="BU150" s="205">
        <f t="shared" si="134"/>
        <v>0</v>
      </c>
      <c r="BV150" s="205">
        <f t="shared" si="134"/>
        <v>0</v>
      </c>
      <c r="BW150" s="205">
        <f t="shared" si="134"/>
        <v>0</v>
      </c>
      <c r="BX150" s="205">
        <f t="shared" si="134"/>
        <v>0</v>
      </c>
      <c r="BY150" s="205">
        <f t="shared" si="134"/>
        <v>0</v>
      </c>
      <c r="BZ150" s="205">
        <f t="shared" si="134"/>
        <v>0</v>
      </c>
      <c r="CA150" s="205">
        <f t="shared" si="134"/>
        <v>0</v>
      </c>
      <c r="CB150" s="205">
        <f t="shared" si="134"/>
        <v>0</v>
      </c>
      <c r="CC150" s="205">
        <f t="shared" si="134"/>
        <v>0</v>
      </c>
      <c r="CD150" s="205">
        <f t="shared" si="134"/>
        <v>0</v>
      </c>
      <c r="CE150" s="205">
        <f t="shared" si="134"/>
        <v>0</v>
      </c>
      <c r="CF150" s="205">
        <f t="shared" si="134"/>
        <v>0</v>
      </c>
      <c r="CG150" s="205">
        <f t="shared" si="134"/>
        <v>0</v>
      </c>
      <c r="CH150" s="205">
        <f t="shared" si="134"/>
        <v>0</v>
      </c>
      <c r="CI150" s="205">
        <f t="shared" si="134"/>
        <v>0</v>
      </c>
      <c r="CJ150" s="205">
        <f t="shared" si="134"/>
        <v>0</v>
      </c>
      <c r="CK150" s="205">
        <f t="shared" si="134"/>
        <v>0</v>
      </c>
      <c r="CL150" s="205">
        <f t="shared" si="134"/>
        <v>0</v>
      </c>
      <c r="CM150" s="205">
        <f t="shared" si="134"/>
        <v>0</v>
      </c>
      <c r="CN150" s="205">
        <f t="shared" si="134"/>
        <v>0</v>
      </c>
      <c r="CO150" s="205">
        <f t="shared" si="134"/>
        <v>0</v>
      </c>
      <c r="CP150" s="205">
        <f t="shared" si="134"/>
        <v>0</v>
      </c>
      <c r="CQ150" s="205">
        <f t="shared" si="134"/>
        <v>0</v>
      </c>
      <c r="CR150" s="205">
        <f t="shared" si="134"/>
        <v>0</v>
      </c>
      <c r="CS150" s="205">
        <f t="shared" si="134"/>
        <v>0</v>
      </c>
      <c r="CT150" s="205">
        <f t="shared" si="134"/>
        <v>0</v>
      </c>
      <c r="CU150" s="205">
        <f t="shared" si="134"/>
        <v>0</v>
      </c>
      <c r="CV150" s="205">
        <f t="shared" si="134"/>
        <v>0</v>
      </c>
      <c r="CW150" s="205">
        <f t="shared" si="134"/>
        <v>0</v>
      </c>
      <c r="CX150" s="205">
        <f t="shared" si="134"/>
        <v>0</v>
      </c>
    </row>
    <row r="151" spans="1:102" ht="20.100000000000001" customHeight="1">
      <c r="A151" s="184">
        <f t="shared" si="131"/>
        <v>107497278.11831589</v>
      </c>
      <c r="B151" s="107" t="s">
        <v>162</v>
      </c>
      <c r="C151" s="205">
        <f t="shared" ref="C151:AH151" si="135">C124</f>
        <v>0</v>
      </c>
      <c r="D151" s="205">
        <f t="shared" si="135"/>
        <v>5374863.905915794</v>
      </c>
      <c r="E151" s="205">
        <f t="shared" si="135"/>
        <v>10749727.811831588</v>
      </c>
      <c r="F151" s="205">
        <f t="shared" si="135"/>
        <v>10749727.811831588</v>
      </c>
      <c r="G151" s="205">
        <f t="shared" si="135"/>
        <v>10749727.811831588</v>
      </c>
      <c r="H151" s="205">
        <f t="shared" si="135"/>
        <v>10749727.811831588</v>
      </c>
      <c r="I151" s="205">
        <f t="shared" si="135"/>
        <v>10749727.811831588</v>
      </c>
      <c r="J151" s="205">
        <f t="shared" si="135"/>
        <v>10749727.811831588</v>
      </c>
      <c r="K151" s="205">
        <f t="shared" si="135"/>
        <v>10749727.811831588</v>
      </c>
      <c r="L151" s="205">
        <f t="shared" si="135"/>
        <v>10749727.811831588</v>
      </c>
      <c r="M151" s="205">
        <f t="shared" si="135"/>
        <v>10749727.811831588</v>
      </c>
      <c r="N151" s="205">
        <f t="shared" si="135"/>
        <v>5374863.905915794</v>
      </c>
      <c r="O151" s="205">
        <f t="shared" si="135"/>
        <v>0</v>
      </c>
      <c r="P151" s="205">
        <f t="shared" si="135"/>
        <v>0</v>
      </c>
      <c r="Q151" s="205">
        <f t="shared" si="135"/>
        <v>0</v>
      </c>
      <c r="R151" s="205">
        <f t="shared" si="135"/>
        <v>0</v>
      </c>
      <c r="S151" s="205">
        <f t="shared" si="135"/>
        <v>0</v>
      </c>
      <c r="T151" s="205">
        <f t="shared" si="135"/>
        <v>0</v>
      </c>
      <c r="U151" s="205">
        <f t="shared" si="135"/>
        <v>0</v>
      </c>
      <c r="V151" s="205">
        <f t="shared" si="135"/>
        <v>0</v>
      </c>
      <c r="W151" s="205">
        <f t="shared" si="135"/>
        <v>0</v>
      </c>
      <c r="X151" s="205">
        <f t="shared" si="135"/>
        <v>0</v>
      </c>
      <c r="Y151" s="205">
        <f t="shared" si="135"/>
        <v>0</v>
      </c>
      <c r="Z151" s="205">
        <f t="shared" si="135"/>
        <v>0</v>
      </c>
      <c r="AA151" s="205">
        <f t="shared" si="135"/>
        <v>0</v>
      </c>
      <c r="AB151" s="205">
        <f t="shared" si="135"/>
        <v>0</v>
      </c>
      <c r="AC151" s="205">
        <f t="shared" si="135"/>
        <v>0</v>
      </c>
      <c r="AD151" s="205">
        <f t="shared" si="135"/>
        <v>0</v>
      </c>
      <c r="AE151" s="205">
        <f t="shared" si="135"/>
        <v>0</v>
      </c>
      <c r="AF151" s="205">
        <f t="shared" si="135"/>
        <v>0</v>
      </c>
      <c r="AG151" s="205">
        <f t="shared" si="135"/>
        <v>0</v>
      </c>
      <c r="AH151" s="205">
        <f t="shared" si="135"/>
        <v>0</v>
      </c>
      <c r="AI151" s="205">
        <f t="shared" ref="AI151:BN151" si="136">AI124</f>
        <v>0</v>
      </c>
      <c r="AJ151" s="205">
        <f t="shared" si="136"/>
        <v>0</v>
      </c>
      <c r="AK151" s="205">
        <f t="shared" si="136"/>
        <v>0</v>
      </c>
      <c r="AL151" s="205">
        <f t="shared" si="136"/>
        <v>0</v>
      </c>
      <c r="AM151" s="205">
        <f t="shared" si="136"/>
        <v>0</v>
      </c>
      <c r="AN151" s="205">
        <f t="shared" si="136"/>
        <v>0</v>
      </c>
      <c r="AO151" s="205">
        <f t="shared" si="136"/>
        <v>0</v>
      </c>
      <c r="AP151" s="205">
        <f t="shared" si="136"/>
        <v>0</v>
      </c>
      <c r="AQ151" s="205">
        <f t="shared" si="136"/>
        <v>0</v>
      </c>
      <c r="AR151" s="205">
        <f t="shared" si="136"/>
        <v>0</v>
      </c>
      <c r="AS151" s="205">
        <f t="shared" si="136"/>
        <v>0</v>
      </c>
      <c r="AT151" s="205">
        <f t="shared" si="136"/>
        <v>0</v>
      </c>
      <c r="AU151" s="205">
        <f t="shared" si="136"/>
        <v>0</v>
      </c>
      <c r="AV151" s="205">
        <f t="shared" si="136"/>
        <v>0</v>
      </c>
      <c r="AW151" s="205">
        <f t="shared" si="136"/>
        <v>0</v>
      </c>
      <c r="AX151" s="205">
        <f t="shared" si="136"/>
        <v>0</v>
      </c>
      <c r="AY151" s="205">
        <f t="shared" si="136"/>
        <v>0</v>
      </c>
      <c r="AZ151" s="205">
        <f t="shared" si="136"/>
        <v>0</v>
      </c>
      <c r="BA151" s="205">
        <f t="shared" si="136"/>
        <v>0</v>
      </c>
      <c r="BB151" s="205">
        <f t="shared" si="136"/>
        <v>0</v>
      </c>
      <c r="BC151" s="205">
        <f t="shared" si="136"/>
        <v>0</v>
      </c>
      <c r="BD151" s="205">
        <f t="shared" si="136"/>
        <v>0</v>
      </c>
      <c r="BE151" s="205">
        <f t="shared" si="136"/>
        <v>0</v>
      </c>
      <c r="BF151" s="205">
        <f t="shared" si="136"/>
        <v>0</v>
      </c>
      <c r="BG151" s="205">
        <f t="shared" si="136"/>
        <v>0</v>
      </c>
      <c r="BH151" s="205">
        <f t="shared" si="136"/>
        <v>0</v>
      </c>
      <c r="BI151" s="205">
        <f t="shared" si="136"/>
        <v>0</v>
      </c>
      <c r="BJ151" s="205">
        <f t="shared" si="136"/>
        <v>0</v>
      </c>
      <c r="BK151" s="205">
        <f t="shared" si="136"/>
        <v>0</v>
      </c>
      <c r="BL151" s="205">
        <f t="shared" si="136"/>
        <v>0</v>
      </c>
      <c r="BM151" s="205">
        <f t="shared" si="136"/>
        <v>0</v>
      </c>
      <c r="BN151" s="205">
        <f t="shared" si="136"/>
        <v>0</v>
      </c>
      <c r="BO151" s="205">
        <f t="shared" ref="BO151:CX151" si="137">BO124</f>
        <v>0</v>
      </c>
      <c r="BP151" s="205">
        <f t="shared" si="137"/>
        <v>0</v>
      </c>
      <c r="BQ151" s="205">
        <f t="shared" si="137"/>
        <v>0</v>
      </c>
      <c r="BR151" s="205">
        <f t="shared" si="137"/>
        <v>0</v>
      </c>
      <c r="BS151" s="205">
        <f t="shared" si="137"/>
        <v>0</v>
      </c>
      <c r="BT151" s="205">
        <f t="shared" si="137"/>
        <v>0</v>
      </c>
      <c r="BU151" s="205">
        <f t="shared" si="137"/>
        <v>0</v>
      </c>
      <c r="BV151" s="205">
        <f t="shared" si="137"/>
        <v>0</v>
      </c>
      <c r="BW151" s="205">
        <f t="shared" si="137"/>
        <v>0</v>
      </c>
      <c r="BX151" s="205">
        <f t="shared" si="137"/>
        <v>0</v>
      </c>
      <c r="BY151" s="205">
        <f t="shared" si="137"/>
        <v>0</v>
      </c>
      <c r="BZ151" s="205">
        <f t="shared" si="137"/>
        <v>0</v>
      </c>
      <c r="CA151" s="205">
        <f t="shared" si="137"/>
        <v>0</v>
      </c>
      <c r="CB151" s="205">
        <f t="shared" si="137"/>
        <v>0</v>
      </c>
      <c r="CC151" s="205">
        <f t="shared" si="137"/>
        <v>0</v>
      </c>
      <c r="CD151" s="205">
        <f t="shared" si="137"/>
        <v>0</v>
      </c>
      <c r="CE151" s="205">
        <f t="shared" si="137"/>
        <v>0</v>
      </c>
      <c r="CF151" s="205">
        <f t="shared" si="137"/>
        <v>0</v>
      </c>
      <c r="CG151" s="205">
        <f t="shared" si="137"/>
        <v>0</v>
      </c>
      <c r="CH151" s="205">
        <f t="shared" si="137"/>
        <v>0</v>
      </c>
      <c r="CI151" s="205">
        <f t="shared" si="137"/>
        <v>0</v>
      </c>
      <c r="CJ151" s="205">
        <f t="shared" si="137"/>
        <v>0</v>
      </c>
      <c r="CK151" s="205">
        <f t="shared" si="137"/>
        <v>0</v>
      </c>
      <c r="CL151" s="205">
        <f t="shared" si="137"/>
        <v>0</v>
      </c>
      <c r="CM151" s="205">
        <f t="shared" si="137"/>
        <v>0</v>
      </c>
      <c r="CN151" s="205">
        <f t="shared" si="137"/>
        <v>0</v>
      </c>
      <c r="CO151" s="205">
        <f t="shared" si="137"/>
        <v>0</v>
      </c>
      <c r="CP151" s="205">
        <f t="shared" si="137"/>
        <v>0</v>
      </c>
      <c r="CQ151" s="205">
        <f t="shared" si="137"/>
        <v>0</v>
      </c>
      <c r="CR151" s="205">
        <f t="shared" si="137"/>
        <v>0</v>
      </c>
      <c r="CS151" s="205">
        <f t="shared" si="137"/>
        <v>0</v>
      </c>
      <c r="CT151" s="205">
        <f t="shared" si="137"/>
        <v>0</v>
      </c>
      <c r="CU151" s="205">
        <f t="shared" si="137"/>
        <v>0</v>
      </c>
      <c r="CV151" s="205">
        <f t="shared" si="137"/>
        <v>0</v>
      </c>
      <c r="CW151" s="205">
        <f t="shared" si="137"/>
        <v>0</v>
      </c>
      <c r="CX151" s="205">
        <f t="shared" si="137"/>
        <v>0</v>
      </c>
    </row>
    <row r="152" spans="1:102" ht="20.100000000000001" customHeight="1">
      <c r="A152" s="184">
        <f t="shared" si="131"/>
        <v>409148837.46649086</v>
      </c>
      <c r="B152" s="107" t="s">
        <v>163</v>
      </c>
      <c r="C152" s="123">
        <f>C149-SUM(C150:C151)</f>
        <v>0</v>
      </c>
      <c r="D152" s="123">
        <f>D149-SUM(D150:D151)</f>
        <v>6482611.6155608781</v>
      </c>
      <c r="E152" s="123">
        <f>E149-SUM(E150:E151)</f>
        <v>1380469.6466390416</v>
      </c>
      <c r="F152" s="123">
        <f t="shared" ref="F152:AH152" si="138">F149-SUM(F150:F151)</f>
        <v>1659464.1881838664</v>
      </c>
      <c r="G152" s="123">
        <f t="shared" si="138"/>
        <v>1944875.6041842178</v>
      </c>
      <c r="H152" s="123">
        <f t="shared" si="138"/>
        <v>2236851.4827525839</v>
      </c>
      <c r="I152" s="123">
        <f t="shared" si="138"/>
        <v>2535542.8065280095</v>
      </c>
      <c r="J152" s="123">
        <f t="shared" si="138"/>
        <v>2841104.0307502821</v>
      </c>
      <c r="K152" s="123">
        <f t="shared" si="138"/>
        <v>3153693.163129665</v>
      </c>
      <c r="L152" s="123">
        <f t="shared" si="138"/>
        <v>3473471.8455537781</v>
      </c>
      <c r="M152" s="123">
        <f t="shared" si="138"/>
        <v>3800605.4376736432</v>
      </c>
      <c r="N152" s="123">
        <f t="shared" si="138"/>
        <v>9510127.0083280504</v>
      </c>
      <c r="O152" s="123">
        <f t="shared" si="138"/>
        <v>15227345.705271453</v>
      </c>
      <c r="P152" s="123">
        <f t="shared" si="138"/>
        <v>15577574.656492695</v>
      </c>
      <c r="Q152" s="123">
        <f t="shared" si="138"/>
        <v>15935858.873592019</v>
      </c>
      <c r="R152" s="123">
        <f t="shared" si="138"/>
        <v>16302383.627684638</v>
      </c>
      <c r="S152" s="123">
        <f t="shared" si="138"/>
        <v>16677338.45112139</v>
      </c>
      <c r="T152" s="123">
        <f t="shared" si="138"/>
        <v>17060917.235497177</v>
      </c>
      <c r="U152" s="123">
        <f t="shared" si="138"/>
        <v>17453318.331913605</v>
      </c>
      <c r="V152" s="123">
        <f t="shared" si="138"/>
        <v>17854744.653547615</v>
      </c>
      <c r="W152" s="123">
        <f t="shared" si="138"/>
        <v>18265403.780579217</v>
      </c>
      <c r="X152" s="123">
        <f t="shared" si="138"/>
        <v>18685508.067532532</v>
      </c>
      <c r="Y152" s="123">
        <f t="shared" si="138"/>
        <v>19115274.753085777</v>
      </c>
      <c r="Z152" s="123">
        <f t="shared" si="138"/>
        <v>19554926.072406746</v>
      </c>
      <c r="AA152" s="123">
        <f t="shared" si="138"/>
        <v>20004689.372072101</v>
      </c>
      <c r="AB152" s="123">
        <f t="shared" si="138"/>
        <v>20464797.227629766</v>
      </c>
      <c r="AC152" s="123">
        <f t="shared" si="138"/>
        <v>20935487.563865244</v>
      </c>
      <c r="AD152" s="123">
        <f t="shared" si="138"/>
        <v>21417003.77783414</v>
      </c>
      <c r="AE152" s="123">
        <f t="shared" si="138"/>
        <v>21909594.864724331</v>
      </c>
      <c r="AF152" s="123">
        <f t="shared" si="138"/>
        <v>22413515.546612978</v>
      </c>
      <c r="AG152" s="123">
        <f t="shared" si="138"/>
        <v>35274338.075743474</v>
      </c>
      <c r="AH152" s="123">
        <f t="shared" si="138"/>
        <v>0</v>
      </c>
      <c r="AI152" s="123">
        <f t="shared" ref="AI152:BN152" si="139">AI149-SUM(AI150:AI151)</f>
        <v>0</v>
      </c>
      <c r="AJ152" s="123">
        <f t="shared" si="139"/>
        <v>0</v>
      </c>
      <c r="AK152" s="123">
        <f t="shared" si="139"/>
        <v>0</v>
      </c>
      <c r="AL152" s="123">
        <f t="shared" si="139"/>
        <v>0</v>
      </c>
      <c r="AM152" s="123">
        <f t="shared" si="139"/>
        <v>0</v>
      </c>
      <c r="AN152" s="123">
        <f t="shared" si="139"/>
        <v>0</v>
      </c>
      <c r="AO152" s="123">
        <f t="shared" si="139"/>
        <v>0</v>
      </c>
      <c r="AP152" s="123">
        <f t="shared" si="139"/>
        <v>0</v>
      </c>
      <c r="AQ152" s="123">
        <f t="shared" si="139"/>
        <v>0</v>
      </c>
      <c r="AR152" s="123">
        <f t="shared" si="139"/>
        <v>0</v>
      </c>
      <c r="AS152" s="123">
        <f t="shared" si="139"/>
        <v>0</v>
      </c>
      <c r="AT152" s="123">
        <f t="shared" si="139"/>
        <v>0</v>
      </c>
      <c r="AU152" s="123">
        <f t="shared" si="139"/>
        <v>0</v>
      </c>
      <c r="AV152" s="123">
        <f t="shared" si="139"/>
        <v>0</v>
      </c>
      <c r="AW152" s="123">
        <f t="shared" si="139"/>
        <v>0</v>
      </c>
      <c r="AX152" s="123">
        <f t="shared" si="139"/>
        <v>0</v>
      </c>
      <c r="AY152" s="123">
        <f t="shared" si="139"/>
        <v>0</v>
      </c>
      <c r="AZ152" s="123">
        <f t="shared" si="139"/>
        <v>0</v>
      </c>
      <c r="BA152" s="123">
        <f t="shared" si="139"/>
        <v>0</v>
      </c>
      <c r="BB152" s="123">
        <f t="shared" si="139"/>
        <v>0</v>
      </c>
      <c r="BC152" s="123">
        <f t="shared" si="139"/>
        <v>0</v>
      </c>
      <c r="BD152" s="123">
        <f t="shared" si="139"/>
        <v>0</v>
      </c>
      <c r="BE152" s="123">
        <f t="shared" si="139"/>
        <v>0</v>
      </c>
      <c r="BF152" s="123">
        <f t="shared" si="139"/>
        <v>0</v>
      </c>
      <c r="BG152" s="123">
        <f t="shared" si="139"/>
        <v>0</v>
      </c>
      <c r="BH152" s="123">
        <f t="shared" si="139"/>
        <v>0</v>
      </c>
      <c r="BI152" s="123">
        <f t="shared" si="139"/>
        <v>0</v>
      </c>
      <c r="BJ152" s="123">
        <f t="shared" si="139"/>
        <v>0</v>
      </c>
      <c r="BK152" s="123">
        <f t="shared" si="139"/>
        <v>0</v>
      </c>
      <c r="BL152" s="123">
        <f t="shared" si="139"/>
        <v>0</v>
      </c>
      <c r="BM152" s="123">
        <f t="shared" si="139"/>
        <v>0</v>
      </c>
      <c r="BN152" s="123">
        <f t="shared" si="139"/>
        <v>0</v>
      </c>
      <c r="BO152" s="123">
        <f t="shared" ref="BO152:CT152" si="140">BO149-SUM(BO150:BO151)</f>
        <v>0</v>
      </c>
      <c r="BP152" s="123">
        <f t="shared" si="140"/>
        <v>0</v>
      </c>
      <c r="BQ152" s="123">
        <f t="shared" si="140"/>
        <v>0</v>
      </c>
      <c r="BR152" s="123">
        <f t="shared" si="140"/>
        <v>0</v>
      </c>
      <c r="BS152" s="123">
        <f t="shared" si="140"/>
        <v>0</v>
      </c>
      <c r="BT152" s="123">
        <f t="shared" si="140"/>
        <v>0</v>
      </c>
      <c r="BU152" s="123">
        <f t="shared" si="140"/>
        <v>0</v>
      </c>
      <c r="BV152" s="123">
        <f t="shared" si="140"/>
        <v>0</v>
      </c>
      <c r="BW152" s="123">
        <f t="shared" si="140"/>
        <v>0</v>
      </c>
      <c r="BX152" s="123">
        <f t="shared" si="140"/>
        <v>0</v>
      </c>
      <c r="BY152" s="123">
        <f t="shared" si="140"/>
        <v>0</v>
      </c>
      <c r="BZ152" s="123">
        <f t="shared" si="140"/>
        <v>0</v>
      </c>
      <c r="CA152" s="123">
        <f t="shared" si="140"/>
        <v>0</v>
      </c>
      <c r="CB152" s="123">
        <f t="shared" si="140"/>
        <v>0</v>
      </c>
      <c r="CC152" s="123">
        <f t="shared" si="140"/>
        <v>0</v>
      </c>
      <c r="CD152" s="123">
        <f t="shared" si="140"/>
        <v>0</v>
      </c>
      <c r="CE152" s="123">
        <f t="shared" si="140"/>
        <v>0</v>
      </c>
      <c r="CF152" s="123">
        <f t="shared" si="140"/>
        <v>0</v>
      </c>
      <c r="CG152" s="123">
        <f t="shared" si="140"/>
        <v>0</v>
      </c>
      <c r="CH152" s="123">
        <f t="shared" si="140"/>
        <v>0</v>
      </c>
      <c r="CI152" s="123">
        <f t="shared" si="140"/>
        <v>0</v>
      </c>
      <c r="CJ152" s="123">
        <f t="shared" si="140"/>
        <v>0</v>
      </c>
      <c r="CK152" s="123">
        <f t="shared" si="140"/>
        <v>0</v>
      </c>
      <c r="CL152" s="123">
        <f t="shared" si="140"/>
        <v>0</v>
      </c>
      <c r="CM152" s="123">
        <f t="shared" si="140"/>
        <v>0</v>
      </c>
      <c r="CN152" s="123">
        <f t="shared" si="140"/>
        <v>0</v>
      </c>
      <c r="CO152" s="123">
        <f t="shared" si="140"/>
        <v>0</v>
      </c>
      <c r="CP152" s="123">
        <f t="shared" si="140"/>
        <v>0</v>
      </c>
      <c r="CQ152" s="123">
        <f t="shared" si="140"/>
        <v>0</v>
      </c>
      <c r="CR152" s="123">
        <f t="shared" si="140"/>
        <v>0</v>
      </c>
      <c r="CS152" s="123">
        <f t="shared" si="140"/>
        <v>0</v>
      </c>
      <c r="CT152" s="123">
        <f t="shared" si="140"/>
        <v>0</v>
      </c>
      <c r="CU152" s="123">
        <f t="shared" ref="CU152:CX152" si="141">CU149-SUM(CU150:CU151)</f>
        <v>0</v>
      </c>
      <c r="CV152" s="123">
        <f t="shared" si="141"/>
        <v>0</v>
      </c>
      <c r="CW152" s="123">
        <f t="shared" si="141"/>
        <v>0</v>
      </c>
      <c r="CX152" s="123">
        <f t="shared" si="141"/>
        <v>0</v>
      </c>
    </row>
    <row r="153" spans="1:102" ht="20.100000000000001" customHeight="1">
      <c r="A153" s="184">
        <f t="shared" si="131"/>
        <v>115584546.58428368</v>
      </c>
      <c r="B153" s="107" t="s">
        <v>164</v>
      </c>
      <c r="C153" s="123">
        <f>C152*$C$29</f>
        <v>0</v>
      </c>
      <c r="D153" s="123">
        <f>D152*$C$29</f>
        <v>1831337.7813959478</v>
      </c>
      <c r="E153" s="123">
        <f>E152*$C$29</f>
        <v>389982.67517552921</v>
      </c>
      <c r="F153" s="123">
        <f>F152*$C$29</f>
        <v>468798.63316194224</v>
      </c>
      <c r="G153" s="123">
        <f t="shared" ref="G153:BO153" si="142">G152*$C$29</f>
        <v>549427.35818204144</v>
      </c>
      <c r="H153" s="123">
        <f t="shared" si="142"/>
        <v>631910.54387760488</v>
      </c>
      <c r="I153" s="123">
        <f t="shared" si="142"/>
        <v>716290.8428441626</v>
      </c>
      <c r="J153" s="123">
        <f t="shared" si="142"/>
        <v>802611.88868695463</v>
      </c>
      <c r="K153" s="123">
        <f t="shared" si="142"/>
        <v>890918.31858413026</v>
      </c>
      <c r="L153" s="123">
        <f t="shared" si="142"/>
        <v>981255.79636894225</v>
      </c>
      <c r="M153" s="123">
        <f t="shared" si="142"/>
        <v>1073671.0361428042</v>
      </c>
      <c r="N153" s="123">
        <f t="shared" si="142"/>
        <v>2686610.879852674</v>
      </c>
      <c r="O153" s="123">
        <f t="shared" si="142"/>
        <v>4301725.1617391845</v>
      </c>
      <c r="P153" s="123">
        <f t="shared" si="142"/>
        <v>4400664.8404591857</v>
      </c>
      <c r="Q153" s="123">
        <f t="shared" si="142"/>
        <v>4501880.1317897448</v>
      </c>
      <c r="R153" s="123">
        <f t="shared" si="142"/>
        <v>4605423.3748209095</v>
      </c>
      <c r="S153" s="123">
        <f t="shared" si="142"/>
        <v>4711348.1124417922</v>
      </c>
      <c r="T153" s="123">
        <f t="shared" si="142"/>
        <v>4819709.1190279517</v>
      </c>
      <c r="U153" s="123">
        <f t="shared" si="142"/>
        <v>4930562.4287655931</v>
      </c>
      <c r="V153" s="123">
        <f t="shared" si="142"/>
        <v>5043965.3646272011</v>
      </c>
      <c r="W153" s="123">
        <f t="shared" si="142"/>
        <v>5159976.568013628</v>
      </c>
      <c r="X153" s="123">
        <f t="shared" si="142"/>
        <v>5278656.0290779397</v>
      </c>
      <c r="Y153" s="123">
        <f t="shared" si="142"/>
        <v>5400065.1177467313</v>
      </c>
      <c r="Z153" s="123">
        <f t="shared" si="142"/>
        <v>5524266.6154549057</v>
      </c>
      <c r="AA153" s="123">
        <f t="shared" si="142"/>
        <v>5651324.7476103678</v>
      </c>
      <c r="AB153" s="123">
        <f t="shared" si="142"/>
        <v>5781305.2168054087</v>
      </c>
      <c r="AC153" s="123">
        <f t="shared" si="142"/>
        <v>5914275.2367919311</v>
      </c>
      <c r="AD153" s="123">
        <f t="shared" si="142"/>
        <v>6050303.5672381436</v>
      </c>
      <c r="AE153" s="123">
        <f t="shared" si="142"/>
        <v>6189460.549284623</v>
      </c>
      <c r="AF153" s="123">
        <f t="shared" si="142"/>
        <v>6331818.1419181656</v>
      </c>
      <c r="AG153" s="123">
        <f t="shared" si="142"/>
        <v>9965000.5063975304</v>
      </c>
      <c r="AH153" s="123">
        <f t="shared" si="142"/>
        <v>0</v>
      </c>
      <c r="AI153" s="123">
        <f t="shared" si="142"/>
        <v>0</v>
      </c>
      <c r="AJ153" s="123">
        <f t="shared" si="142"/>
        <v>0</v>
      </c>
      <c r="AK153" s="123">
        <f t="shared" si="142"/>
        <v>0</v>
      </c>
      <c r="AL153" s="123">
        <f t="shared" si="142"/>
        <v>0</v>
      </c>
      <c r="AM153" s="123">
        <f t="shared" si="142"/>
        <v>0</v>
      </c>
      <c r="AN153" s="123">
        <f t="shared" si="142"/>
        <v>0</v>
      </c>
      <c r="AO153" s="123">
        <f t="shared" si="142"/>
        <v>0</v>
      </c>
      <c r="AP153" s="123">
        <f t="shared" si="142"/>
        <v>0</v>
      </c>
      <c r="AQ153" s="123">
        <f t="shared" si="142"/>
        <v>0</v>
      </c>
      <c r="AR153" s="123">
        <f t="shared" si="142"/>
        <v>0</v>
      </c>
      <c r="AS153" s="123">
        <f t="shared" si="142"/>
        <v>0</v>
      </c>
      <c r="AT153" s="123">
        <f t="shared" si="142"/>
        <v>0</v>
      </c>
      <c r="AU153" s="123">
        <f t="shared" si="142"/>
        <v>0</v>
      </c>
      <c r="AV153" s="123">
        <f t="shared" si="142"/>
        <v>0</v>
      </c>
      <c r="AW153" s="123">
        <f t="shared" si="142"/>
        <v>0</v>
      </c>
      <c r="AX153" s="123">
        <f t="shared" si="142"/>
        <v>0</v>
      </c>
      <c r="AY153" s="123">
        <f t="shared" si="142"/>
        <v>0</v>
      </c>
      <c r="AZ153" s="123">
        <f t="shared" si="142"/>
        <v>0</v>
      </c>
      <c r="BA153" s="123">
        <f t="shared" si="142"/>
        <v>0</v>
      </c>
      <c r="BB153" s="123">
        <f t="shared" si="142"/>
        <v>0</v>
      </c>
      <c r="BC153" s="123">
        <f t="shared" si="142"/>
        <v>0</v>
      </c>
      <c r="BD153" s="123">
        <f t="shared" si="142"/>
        <v>0</v>
      </c>
      <c r="BE153" s="123">
        <f t="shared" si="142"/>
        <v>0</v>
      </c>
      <c r="BF153" s="123">
        <f t="shared" si="142"/>
        <v>0</v>
      </c>
      <c r="BG153" s="123">
        <f t="shared" si="142"/>
        <v>0</v>
      </c>
      <c r="BH153" s="123">
        <f t="shared" si="142"/>
        <v>0</v>
      </c>
      <c r="BI153" s="123">
        <f t="shared" si="142"/>
        <v>0</v>
      </c>
      <c r="BJ153" s="123">
        <f t="shared" si="142"/>
        <v>0</v>
      </c>
      <c r="BK153" s="123">
        <f t="shared" si="142"/>
        <v>0</v>
      </c>
      <c r="BL153" s="123">
        <f t="shared" si="142"/>
        <v>0</v>
      </c>
      <c r="BM153" s="123">
        <f t="shared" si="142"/>
        <v>0</v>
      </c>
      <c r="BN153" s="123">
        <f t="shared" si="142"/>
        <v>0</v>
      </c>
      <c r="BO153" s="123">
        <f t="shared" si="142"/>
        <v>0</v>
      </c>
      <c r="BP153" s="123">
        <f t="shared" ref="BP153:CX153" si="143">BP152*$C$29</f>
        <v>0</v>
      </c>
      <c r="BQ153" s="123">
        <f t="shared" si="143"/>
        <v>0</v>
      </c>
      <c r="BR153" s="123">
        <f t="shared" si="143"/>
        <v>0</v>
      </c>
      <c r="BS153" s="123">
        <f t="shared" si="143"/>
        <v>0</v>
      </c>
      <c r="BT153" s="123">
        <f t="shared" si="143"/>
        <v>0</v>
      </c>
      <c r="BU153" s="123">
        <f t="shared" si="143"/>
        <v>0</v>
      </c>
      <c r="BV153" s="123">
        <f t="shared" si="143"/>
        <v>0</v>
      </c>
      <c r="BW153" s="123">
        <f t="shared" si="143"/>
        <v>0</v>
      </c>
      <c r="BX153" s="123">
        <f t="shared" si="143"/>
        <v>0</v>
      </c>
      <c r="BY153" s="123">
        <f t="shared" si="143"/>
        <v>0</v>
      </c>
      <c r="BZ153" s="123">
        <f t="shared" si="143"/>
        <v>0</v>
      </c>
      <c r="CA153" s="123">
        <f t="shared" si="143"/>
        <v>0</v>
      </c>
      <c r="CB153" s="123">
        <f t="shared" si="143"/>
        <v>0</v>
      </c>
      <c r="CC153" s="123">
        <f t="shared" si="143"/>
        <v>0</v>
      </c>
      <c r="CD153" s="123">
        <f t="shared" si="143"/>
        <v>0</v>
      </c>
      <c r="CE153" s="123">
        <f t="shared" si="143"/>
        <v>0</v>
      </c>
      <c r="CF153" s="123">
        <f t="shared" si="143"/>
        <v>0</v>
      </c>
      <c r="CG153" s="123">
        <f t="shared" si="143"/>
        <v>0</v>
      </c>
      <c r="CH153" s="123">
        <f t="shared" si="143"/>
        <v>0</v>
      </c>
      <c r="CI153" s="123">
        <f t="shared" si="143"/>
        <v>0</v>
      </c>
      <c r="CJ153" s="123">
        <f t="shared" si="143"/>
        <v>0</v>
      </c>
      <c r="CK153" s="123">
        <f t="shared" si="143"/>
        <v>0</v>
      </c>
      <c r="CL153" s="123">
        <f t="shared" si="143"/>
        <v>0</v>
      </c>
      <c r="CM153" s="123">
        <f t="shared" si="143"/>
        <v>0</v>
      </c>
      <c r="CN153" s="123">
        <f t="shared" si="143"/>
        <v>0</v>
      </c>
      <c r="CO153" s="123">
        <f t="shared" si="143"/>
        <v>0</v>
      </c>
      <c r="CP153" s="123">
        <f t="shared" si="143"/>
        <v>0</v>
      </c>
      <c r="CQ153" s="123">
        <f t="shared" si="143"/>
        <v>0</v>
      </c>
      <c r="CR153" s="123">
        <f t="shared" si="143"/>
        <v>0</v>
      </c>
      <c r="CS153" s="123">
        <f t="shared" si="143"/>
        <v>0</v>
      </c>
      <c r="CT153" s="123">
        <f t="shared" si="143"/>
        <v>0</v>
      </c>
      <c r="CU153" s="123">
        <f t="shared" si="143"/>
        <v>0</v>
      </c>
      <c r="CV153" s="123">
        <f t="shared" si="143"/>
        <v>0</v>
      </c>
      <c r="CW153" s="123">
        <f t="shared" si="143"/>
        <v>0</v>
      </c>
      <c r="CX153" s="123">
        <f t="shared" si="143"/>
        <v>0</v>
      </c>
    </row>
    <row r="154" spans="1:102" ht="20.100000000000001" customHeight="1">
      <c r="A154" s="184">
        <f>SUM(C154:CX154)</f>
        <v>107497278.11831588</v>
      </c>
      <c r="B154" s="107" t="s">
        <v>165</v>
      </c>
      <c r="C154" s="205">
        <f t="shared" ref="C154:AH154" si="144">C113</f>
        <v>107497278.11831588</v>
      </c>
      <c r="D154" s="205">
        <f t="shared" si="144"/>
        <v>0</v>
      </c>
      <c r="E154" s="205">
        <f t="shared" si="144"/>
        <v>0</v>
      </c>
      <c r="F154" s="205">
        <f t="shared" si="144"/>
        <v>0</v>
      </c>
      <c r="G154" s="205">
        <f t="shared" si="144"/>
        <v>0</v>
      </c>
      <c r="H154" s="205">
        <f t="shared" si="144"/>
        <v>0</v>
      </c>
      <c r="I154" s="205">
        <f t="shared" si="144"/>
        <v>0</v>
      </c>
      <c r="J154" s="205">
        <f t="shared" si="144"/>
        <v>0</v>
      </c>
      <c r="K154" s="205">
        <f t="shared" si="144"/>
        <v>0</v>
      </c>
      <c r="L154" s="205">
        <f t="shared" si="144"/>
        <v>0</v>
      </c>
      <c r="M154" s="205">
        <f t="shared" si="144"/>
        <v>0</v>
      </c>
      <c r="N154" s="205">
        <f t="shared" si="144"/>
        <v>0</v>
      </c>
      <c r="O154" s="205">
        <f t="shared" si="144"/>
        <v>0</v>
      </c>
      <c r="P154" s="205">
        <f t="shared" si="144"/>
        <v>0</v>
      </c>
      <c r="Q154" s="205">
        <f t="shared" si="144"/>
        <v>0</v>
      </c>
      <c r="R154" s="205">
        <f t="shared" si="144"/>
        <v>0</v>
      </c>
      <c r="S154" s="205">
        <f t="shared" si="144"/>
        <v>0</v>
      </c>
      <c r="T154" s="205">
        <f t="shared" si="144"/>
        <v>0</v>
      </c>
      <c r="U154" s="205">
        <f t="shared" si="144"/>
        <v>0</v>
      </c>
      <c r="V154" s="205">
        <f t="shared" si="144"/>
        <v>0</v>
      </c>
      <c r="W154" s="205">
        <f t="shared" si="144"/>
        <v>0</v>
      </c>
      <c r="X154" s="205">
        <f t="shared" si="144"/>
        <v>0</v>
      </c>
      <c r="Y154" s="205">
        <f t="shared" si="144"/>
        <v>0</v>
      </c>
      <c r="Z154" s="205">
        <f t="shared" si="144"/>
        <v>0</v>
      </c>
      <c r="AA154" s="205">
        <f t="shared" si="144"/>
        <v>0</v>
      </c>
      <c r="AB154" s="205">
        <f t="shared" si="144"/>
        <v>0</v>
      </c>
      <c r="AC154" s="205">
        <f t="shared" si="144"/>
        <v>0</v>
      </c>
      <c r="AD154" s="205">
        <f t="shared" si="144"/>
        <v>0</v>
      </c>
      <c r="AE154" s="205">
        <f t="shared" si="144"/>
        <v>0</v>
      </c>
      <c r="AF154" s="205">
        <f t="shared" si="144"/>
        <v>0</v>
      </c>
      <c r="AG154" s="205">
        <f t="shared" si="144"/>
        <v>0</v>
      </c>
      <c r="AH154" s="205">
        <f t="shared" si="144"/>
        <v>0</v>
      </c>
      <c r="AI154" s="205">
        <f t="shared" ref="AI154:BN154" si="145">AI113</f>
        <v>0</v>
      </c>
      <c r="AJ154" s="205">
        <f t="shared" si="145"/>
        <v>0</v>
      </c>
      <c r="AK154" s="205">
        <f t="shared" si="145"/>
        <v>0</v>
      </c>
      <c r="AL154" s="205">
        <f t="shared" si="145"/>
        <v>0</v>
      </c>
      <c r="AM154" s="205">
        <f t="shared" si="145"/>
        <v>0</v>
      </c>
      <c r="AN154" s="205">
        <f t="shared" si="145"/>
        <v>0</v>
      </c>
      <c r="AO154" s="205">
        <f t="shared" si="145"/>
        <v>0</v>
      </c>
      <c r="AP154" s="205">
        <f t="shared" si="145"/>
        <v>0</v>
      </c>
      <c r="AQ154" s="205">
        <f t="shared" si="145"/>
        <v>0</v>
      </c>
      <c r="AR154" s="205">
        <f t="shared" si="145"/>
        <v>0</v>
      </c>
      <c r="AS154" s="205">
        <f t="shared" si="145"/>
        <v>0</v>
      </c>
      <c r="AT154" s="205">
        <f t="shared" si="145"/>
        <v>0</v>
      </c>
      <c r="AU154" s="205">
        <f t="shared" si="145"/>
        <v>0</v>
      </c>
      <c r="AV154" s="205">
        <f t="shared" si="145"/>
        <v>0</v>
      </c>
      <c r="AW154" s="205">
        <f t="shared" si="145"/>
        <v>0</v>
      </c>
      <c r="AX154" s="205">
        <f t="shared" si="145"/>
        <v>0</v>
      </c>
      <c r="AY154" s="205">
        <f t="shared" si="145"/>
        <v>0</v>
      </c>
      <c r="AZ154" s="205">
        <f t="shared" si="145"/>
        <v>0</v>
      </c>
      <c r="BA154" s="205">
        <f t="shared" si="145"/>
        <v>0</v>
      </c>
      <c r="BB154" s="205">
        <f t="shared" si="145"/>
        <v>0</v>
      </c>
      <c r="BC154" s="205">
        <f t="shared" si="145"/>
        <v>0</v>
      </c>
      <c r="BD154" s="205">
        <f t="shared" si="145"/>
        <v>0</v>
      </c>
      <c r="BE154" s="205">
        <f t="shared" si="145"/>
        <v>0</v>
      </c>
      <c r="BF154" s="205">
        <f t="shared" si="145"/>
        <v>0</v>
      </c>
      <c r="BG154" s="205">
        <f t="shared" si="145"/>
        <v>0</v>
      </c>
      <c r="BH154" s="205">
        <f t="shared" si="145"/>
        <v>0</v>
      </c>
      <c r="BI154" s="205">
        <f t="shared" si="145"/>
        <v>0</v>
      </c>
      <c r="BJ154" s="205">
        <f t="shared" si="145"/>
        <v>0</v>
      </c>
      <c r="BK154" s="205">
        <f t="shared" si="145"/>
        <v>0</v>
      </c>
      <c r="BL154" s="205">
        <f t="shared" si="145"/>
        <v>0</v>
      </c>
      <c r="BM154" s="205">
        <f t="shared" si="145"/>
        <v>0</v>
      </c>
      <c r="BN154" s="205">
        <f t="shared" si="145"/>
        <v>0</v>
      </c>
      <c r="BO154" s="205">
        <f t="shared" ref="BO154:CX154" si="146">BO113</f>
        <v>0</v>
      </c>
      <c r="BP154" s="205">
        <f t="shared" si="146"/>
        <v>0</v>
      </c>
      <c r="BQ154" s="205">
        <f t="shared" si="146"/>
        <v>0</v>
      </c>
      <c r="BR154" s="205">
        <f t="shared" si="146"/>
        <v>0</v>
      </c>
      <c r="BS154" s="205">
        <f t="shared" si="146"/>
        <v>0</v>
      </c>
      <c r="BT154" s="205">
        <f t="shared" si="146"/>
        <v>0</v>
      </c>
      <c r="BU154" s="205">
        <f t="shared" si="146"/>
        <v>0</v>
      </c>
      <c r="BV154" s="205">
        <f t="shared" si="146"/>
        <v>0</v>
      </c>
      <c r="BW154" s="205">
        <f t="shared" si="146"/>
        <v>0</v>
      </c>
      <c r="BX154" s="205">
        <f t="shared" si="146"/>
        <v>0</v>
      </c>
      <c r="BY154" s="205">
        <f t="shared" si="146"/>
        <v>0</v>
      </c>
      <c r="BZ154" s="205">
        <f t="shared" si="146"/>
        <v>0</v>
      </c>
      <c r="CA154" s="205">
        <f t="shared" si="146"/>
        <v>0</v>
      </c>
      <c r="CB154" s="205">
        <f t="shared" si="146"/>
        <v>0</v>
      </c>
      <c r="CC154" s="205">
        <f t="shared" si="146"/>
        <v>0</v>
      </c>
      <c r="CD154" s="205">
        <f t="shared" si="146"/>
        <v>0</v>
      </c>
      <c r="CE154" s="205">
        <f t="shared" si="146"/>
        <v>0</v>
      </c>
      <c r="CF154" s="205">
        <f t="shared" si="146"/>
        <v>0</v>
      </c>
      <c r="CG154" s="205">
        <f t="shared" si="146"/>
        <v>0</v>
      </c>
      <c r="CH154" s="205">
        <f t="shared" si="146"/>
        <v>0</v>
      </c>
      <c r="CI154" s="205">
        <f t="shared" si="146"/>
        <v>0</v>
      </c>
      <c r="CJ154" s="205">
        <f t="shared" si="146"/>
        <v>0</v>
      </c>
      <c r="CK154" s="205">
        <f t="shared" si="146"/>
        <v>0</v>
      </c>
      <c r="CL154" s="205">
        <f t="shared" si="146"/>
        <v>0</v>
      </c>
      <c r="CM154" s="205">
        <f t="shared" si="146"/>
        <v>0</v>
      </c>
      <c r="CN154" s="205">
        <f t="shared" si="146"/>
        <v>0</v>
      </c>
      <c r="CO154" s="205">
        <f t="shared" si="146"/>
        <v>0</v>
      </c>
      <c r="CP154" s="205">
        <f t="shared" si="146"/>
        <v>0</v>
      </c>
      <c r="CQ154" s="205">
        <f t="shared" si="146"/>
        <v>0</v>
      </c>
      <c r="CR154" s="205">
        <f t="shared" si="146"/>
        <v>0</v>
      </c>
      <c r="CS154" s="205">
        <f t="shared" si="146"/>
        <v>0</v>
      </c>
      <c r="CT154" s="205">
        <f t="shared" si="146"/>
        <v>0</v>
      </c>
      <c r="CU154" s="205">
        <f t="shared" si="146"/>
        <v>0</v>
      </c>
      <c r="CV154" s="205">
        <f t="shared" si="146"/>
        <v>0</v>
      </c>
      <c r="CW154" s="205">
        <f t="shared" si="146"/>
        <v>0</v>
      </c>
      <c r="CX154" s="205">
        <f t="shared" si="146"/>
        <v>0</v>
      </c>
    </row>
    <row r="155" spans="1:102" ht="20.100000000000001" customHeight="1">
      <c r="A155" s="184">
        <f t="shared" si="131"/>
        <v>293564290.88220721</v>
      </c>
      <c r="B155" s="107" t="s">
        <v>166</v>
      </c>
      <c r="C155" s="123">
        <f>C149-(C150+C153+C154)</f>
        <v>-107497278.11831588</v>
      </c>
      <c r="D155" s="123">
        <f>D149-(D150+D153+D154)</f>
        <v>10026137.740080722</v>
      </c>
      <c r="E155" s="123">
        <f>E149-(E150+E153+E154)</f>
        <v>11740214.783295099</v>
      </c>
      <c r="F155" s="123">
        <f t="shared" ref="F155:AH155" si="147">F149-(F150+F153+F154)</f>
        <v>11940393.366853513</v>
      </c>
      <c r="G155" s="123">
        <f t="shared" si="147"/>
        <v>12145176.057833761</v>
      </c>
      <c r="H155" s="123">
        <f t="shared" si="147"/>
        <v>12354668.750706568</v>
      </c>
      <c r="I155" s="123">
        <f t="shared" si="147"/>
        <v>12568979.775515437</v>
      </c>
      <c r="J155" s="123">
        <f t="shared" si="147"/>
        <v>12788219.953894913</v>
      </c>
      <c r="K155" s="123">
        <f t="shared" si="147"/>
        <v>13012502.656377126</v>
      </c>
      <c r="L155" s="123">
        <f t="shared" si="147"/>
        <v>13241943.861016423</v>
      </c>
      <c r="M155" s="123">
        <f t="shared" si="147"/>
        <v>13476662.213362426</v>
      </c>
      <c r="N155" s="123">
        <f t="shared" si="147"/>
        <v>12198380.034391169</v>
      </c>
      <c r="O155" s="123">
        <f t="shared" si="147"/>
        <v>10925620.543532267</v>
      </c>
      <c r="P155" s="123">
        <f t="shared" si="147"/>
        <v>11176909.816033512</v>
      </c>
      <c r="Q155" s="123">
        <f t="shared" si="147"/>
        <v>11433978.741802275</v>
      </c>
      <c r="R155" s="123">
        <f t="shared" si="147"/>
        <v>11696960.252863728</v>
      </c>
      <c r="S155" s="123">
        <f t="shared" si="147"/>
        <v>11965990.338679597</v>
      </c>
      <c r="T155" s="123">
        <f t="shared" si="147"/>
        <v>12241208.116469227</v>
      </c>
      <c r="U155" s="123">
        <f t="shared" si="147"/>
        <v>12522755.90314801</v>
      </c>
      <c r="V155" s="123">
        <f t="shared" si="147"/>
        <v>12810779.28892041</v>
      </c>
      <c r="W155" s="123">
        <f t="shared" si="147"/>
        <v>13105427.212565586</v>
      </c>
      <c r="X155" s="123">
        <f t="shared" si="147"/>
        <v>13406852.038454592</v>
      </c>
      <c r="Y155" s="123">
        <f t="shared" si="147"/>
        <v>13715209.635339044</v>
      </c>
      <c r="Z155" s="123">
        <f t="shared" si="147"/>
        <v>14030659.456951842</v>
      </c>
      <c r="AA155" s="123">
        <f t="shared" si="147"/>
        <v>14353364.624461733</v>
      </c>
      <c r="AB155" s="123">
        <f t="shared" si="147"/>
        <v>14683492.01082436</v>
      </c>
      <c r="AC155" s="123">
        <f t="shared" si="147"/>
        <v>15021212.327073313</v>
      </c>
      <c r="AD155" s="123">
        <f t="shared" si="147"/>
        <v>15366700.210595995</v>
      </c>
      <c r="AE155" s="123">
        <f t="shared" si="147"/>
        <v>15720134.315439709</v>
      </c>
      <c r="AF155" s="123">
        <f t="shared" si="147"/>
        <v>16081697.404694811</v>
      </c>
      <c r="AG155" s="123">
        <f t="shared" si="147"/>
        <v>25309337.569345944</v>
      </c>
      <c r="AH155" s="123">
        <f t="shared" si="147"/>
        <v>0</v>
      </c>
      <c r="AI155" s="123">
        <f t="shared" ref="AI155:BN155" si="148">AI149-(AI150+AI153+AI154)</f>
        <v>0</v>
      </c>
      <c r="AJ155" s="123">
        <f t="shared" si="148"/>
        <v>0</v>
      </c>
      <c r="AK155" s="123">
        <f t="shared" si="148"/>
        <v>0</v>
      </c>
      <c r="AL155" s="123">
        <f t="shared" si="148"/>
        <v>0</v>
      </c>
      <c r="AM155" s="123">
        <f t="shared" si="148"/>
        <v>0</v>
      </c>
      <c r="AN155" s="123">
        <f t="shared" si="148"/>
        <v>0</v>
      </c>
      <c r="AO155" s="123">
        <f t="shared" si="148"/>
        <v>0</v>
      </c>
      <c r="AP155" s="123">
        <f t="shared" si="148"/>
        <v>0</v>
      </c>
      <c r="AQ155" s="123">
        <f t="shared" si="148"/>
        <v>0</v>
      </c>
      <c r="AR155" s="123">
        <f t="shared" si="148"/>
        <v>0</v>
      </c>
      <c r="AS155" s="123">
        <f t="shared" si="148"/>
        <v>0</v>
      </c>
      <c r="AT155" s="123">
        <f t="shared" si="148"/>
        <v>0</v>
      </c>
      <c r="AU155" s="123">
        <f t="shared" si="148"/>
        <v>0</v>
      </c>
      <c r="AV155" s="123">
        <f t="shared" si="148"/>
        <v>0</v>
      </c>
      <c r="AW155" s="123">
        <f t="shared" si="148"/>
        <v>0</v>
      </c>
      <c r="AX155" s="123">
        <f t="shared" si="148"/>
        <v>0</v>
      </c>
      <c r="AY155" s="123">
        <f t="shared" si="148"/>
        <v>0</v>
      </c>
      <c r="AZ155" s="123">
        <f t="shared" si="148"/>
        <v>0</v>
      </c>
      <c r="BA155" s="123">
        <f t="shared" si="148"/>
        <v>0</v>
      </c>
      <c r="BB155" s="123">
        <f t="shared" si="148"/>
        <v>0</v>
      </c>
      <c r="BC155" s="123">
        <f t="shared" si="148"/>
        <v>0</v>
      </c>
      <c r="BD155" s="123">
        <f t="shared" si="148"/>
        <v>0</v>
      </c>
      <c r="BE155" s="123">
        <f t="shared" si="148"/>
        <v>0</v>
      </c>
      <c r="BF155" s="123">
        <f t="shared" si="148"/>
        <v>0</v>
      </c>
      <c r="BG155" s="123">
        <f t="shared" si="148"/>
        <v>0</v>
      </c>
      <c r="BH155" s="123">
        <f t="shared" si="148"/>
        <v>0</v>
      </c>
      <c r="BI155" s="123">
        <f t="shared" si="148"/>
        <v>0</v>
      </c>
      <c r="BJ155" s="123">
        <f t="shared" si="148"/>
        <v>0</v>
      </c>
      <c r="BK155" s="123">
        <f t="shared" si="148"/>
        <v>0</v>
      </c>
      <c r="BL155" s="123">
        <f t="shared" si="148"/>
        <v>0</v>
      </c>
      <c r="BM155" s="123">
        <f t="shared" si="148"/>
        <v>0</v>
      </c>
      <c r="BN155" s="123">
        <f t="shared" si="148"/>
        <v>0</v>
      </c>
      <c r="BO155" s="123">
        <f t="shared" ref="BO155:CT155" si="149">BO149-(BO150+BO153+BO154)</f>
        <v>0</v>
      </c>
      <c r="BP155" s="123">
        <f t="shared" si="149"/>
        <v>0</v>
      </c>
      <c r="BQ155" s="123">
        <f t="shared" si="149"/>
        <v>0</v>
      </c>
      <c r="BR155" s="123">
        <f t="shared" si="149"/>
        <v>0</v>
      </c>
      <c r="BS155" s="123">
        <f t="shared" si="149"/>
        <v>0</v>
      </c>
      <c r="BT155" s="123">
        <f t="shared" si="149"/>
        <v>0</v>
      </c>
      <c r="BU155" s="123">
        <f t="shared" si="149"/>
        <v>0</v>
      </c>
      <c r="BV155" s="123">
        <f t="shared" si="149"/>
        <v>0</v>
      </c>
      <c r="BW155" s="123">
        <f t="shared" si="149"/>
        <v>0</v>
      </c>
      <c r="BX155" s="123">
        <f t="shared" si="149"/>
        <v>0</v>
      </c>
      <c r="BY155" s="123">
        <f t="shared" si="149"/>
        <v>0</v>
      </c>
      <c r="BZ155" s="123">
        <f t="shared" si="149"/>
        <v>0</v>
      </c>
      <c r="CA155" s="123">
        <f t="shared" si="149"/>
        <v>0</v>
      </c>
      <c r="CB155" s="123">
        <f t="shared" si="149"/>
        <v>0</v>
      </c>
      <c r="CC155" s="123">
        <f t="shared" si="149"/>
        <v>0</v>
      </c>
      <c r="CD155" s="123">
        <f t="shared" si="149"/>
        <v>0</v>
      </c>
      <c r="CE155" s="123">
        <f t="shared" si="149"/>
        <v>0</v>
      </c>
      <c r="CF155" s="123">
        <f t="shared" si="149"/>
        <v>0</v>
      </c>
      <c r="CG155" s="123">
        <f t="shared" si="149"/>
        <v>0</v>
      </c>
      <c r="CH155" s="123">
        <f t="shared" si="149"/>
        <v>0</v>
      </c>
      <c r="CI155" s="123">
        <f t="shared" si="149"/>
        <v>0</v>
      </c>
      <c r="CJ155" s="123">
        <f t="shared" si="149"/>
        <v>0</v>
      </c>
      <c r="CK155" s="123">
        <f t="shared" si="149"/>
        <v>0</v>
      </c>
      <c r="CL155" s="123">
        <f t="shared" si="149"/>
        <v>0</v>
      </c>
      <c r="CM155" s="123">
        <f t="shared" si="149"/>
        <v>0</v>
      </c>
      <c r="CN155" s="123">
        <f t="shared" si="149"/>
        <v>0</v>
      </c>
      <c r="CO155" s="123">
        <f t="shared" si="149"/>
        <v>0</v>
      </c>
      <c r="CP155" s="123">
        <f t="shared" si="149"/>
        <v>0</v>
      </c>
      <c r="CQ155" s="123">
        <f t="shared" si="149"/>
        <v>0</v>
      </c>
      <c r="CR155" s="123">
        <f t="shared" si="149"/>
        <v>0</v>
      </c>
      <c r="CS155" s="123">
        <f t="shared" si="149"/>
        <v>0</v>
      </c>
      <c r="CT155" s="123">
        <f t="shared" si="149"/>
        <v>0</v>
      </c>
      <c r="CU155" s="123">
        <f t="shared" ref="CU155:CX155" si="150">CU149-(CU150+CU153+CU154)</f>
        <v>0</v>
      </c>
      <c r="CV155" s="123">
        <f t="shared" si="150"/>
        <v>0</v>
      </c>
      <c r="CW155" s="123">
        <f t="shared" si="150"/>
        <v>0</v>
      </c>
      <c r="CX155" s="123">
        <f t="shared" si="150"/>
        <v>0</v>
      </c>
    </row>
    <row r="156" spans="1:102" ht="20.100000000000001" customHeight="1">
      <c r="A156" s="184">
        <f t="shared" si="131"/>
        <v>0</v>
      </c>
      <c r="B156" s="107" t="s">
        <v>167</v>
      </c>
      <c r="C156" s="123">
        <v>0</v>
      </c>
      <c r="D156" s="123">
        <v>0</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c r="BH156" s="123">
        <v>0</v>
      </c>
      <c r="BI156" s="123">
        <v>0</v>
      </c>
      <c r="BJ156" s="123">
        <v>0</v>
      </c>
      <c r="BK156" s="123">
        <v>0</v>
      </c>
      <c r="BL156" s="123">
        <v>0</v>
      </c>
      <c r="BM156" s="123">
        <v>0</v>
      </c>
      <c r="BN156" s="123">
        <v>0</v>
      </c>
      <c r="BO156" s="123">
        <v>0</v>
      </c>
      <c r="BP156" s="123">
        <v>0</v>
      </c>
      <c r="BQ156" s="123">
        <v>0</v>
      </c>
      <c r="BR156" s="123">
        <v>0</v>
      </c>
      <c r="BS156" s="123">
        <v>0</v>
      </c>
      <c r="BT156" s="123">
        <v>0</v>
      </c>
      <c r="BU156" s="123">
        <v>0</v>
      </c>
      <c r="BV156" s="123">
        <v>0</v>
      </c>
      <c r="BW156" s="123">
        <v>0</v>
      </c>
      <c r="BX156" s="123">
        <v>0</v>
      </c>
      <c r="BY156" s="123">
        <v>0</v>
      </c>
      <c r="BZ156" s="123">
        <v>0</v>
      </c>
      <c r="CA156" s="123">
        <v>0</v>
      </c>
      <c r="CB156" s="123">
        <v>0</v>
      </c>
      <c r="CC156" s="123">
        <v>0</v>
      </c>
      <c r="CD156" s="123">
        <v>0</v>
      </c>
      <c r="CE156" s="123">
        <v>0</v>
      </c>
      <c r="CF156" s="123">
        <v>0</v>
      </c>
      <c r="CG156" s="123">
        <v>0</v>
      </c>
      <c r="CH156" s="123">
        <v>0</v>
      </c>
      <c r="CI156" s="123">
        <v>0</v>
      </c>
      <c r="CJ156" s="123">
        <v>0</v>
      </c>
      <c r="CK156" s="123">
        <v>0</v>
      </c>
      <c r="CL156" s="123">
        <v>0</v>
      </c>
      <c r="CM156" s="123">
        <v>0</v>
      </c>
      <c r="CN156" s="123">
        <v>0</v>
      </c>
      <c r="CO156" s="123">
        <v>0</v>
      </c>
      <c r="CP156" s="123">
        <v>0</v>
      </c>
      <c r="CQ156" s="123">
        <v>0</v>
      </c>
      <c r="CR156" s="123">
        <v>0</v>
      </c>
      <c r="CS156" s="123">
        <v>0</v>
      </c>
      <c r="CT156" s="123">
        <v>0</v>
      </c>
      <c r="CU156" s="123">
        <v>0</v>
      </c>
      <c r="CV156" s="123">
        <v>0</v>
      </c>
      <c r="CW156" s="123">
        <v>0</v>
      </c>
      <c r="CX156" s="123">
        <v>0</v>
      </c>
    </row>
    <row r="157" spans="1:102" ht="20.100000000000001" customHeight="1">
      <c r="A157" s="184">
        <f t="shared" si="131"/>
        <v>293564290.88220721</v>
      </c>
      <c r="B157" s="107" t="s">
        <v>168</v>
      </c>
      <c r="C157" s="123">
        <f>C155-C156</f>
        <v>-107497278.11831588</v>
      </c>
      <c r="D157" s="123">
        <f>D155-D156</f>
        <v>10026137.740080722</v>
      </c>
      <c r="E157" s="123">
        <f>E155-E156</f>
        <v>11740214.783295099</v>
      </c>
      <c r="F157" s="123">
        <f t="shared" ref="F157:BP157" si="151">F155-F156</f>
        <v>11940393.366853513</v>
      </c>
      <c r="G157" s="123">
        <f t="shared" si="151"/>
        <v>12145176.057833761</v>
      </c>
      <c r="H157" s="123">
        <f>H155-H156</f>
        <v>12354668.750706568</v>
      </c>
      <c r="I157" s="123">
        <f>I155-I156</f>
        <v>12568979.775515437</v>
      </c>
      <c r="J157" s="123">
        <f t="shared" si="151"/>
        <v>12788219.953894913</v>
      </c>
      <c r="K157" s="123">
        <f t="shared" si="151"/>
        <v>13012502.656377126</v>
      </c>
      <c r="L157" s="123">
        <f t="shared" si="151"/>
        <v>13241943.861016423</v>
      </c>
      <c r="M157" s="123">
        <f t="shared" si="151"/>
        <v>13476662.213362426</v>
      </c>
      <c r="N157" s="123">
        <f t="shared" si="151"/>
        <v>12198380.034391169</v>
      </c>
      <c r="O157" s="123">
        <f t="shared" si="151"/>
        <v>10925620.543532267</v>
      </c>
      <c r="P157" s="123">
        <f t="shared" si="151"/>
        <v>11176909.816033512</v>
      </c>
      <c r="Q157" s="123">
        <f t="shared" si="151"/>
        <v>11433978.741802275</v>
      </c>
      <c r="R157" s="123">
        <f t="shared" si="151"/>
        <v>11696960.252863728</v>
      </c>
      <c r="S157" s="123">
        <f t="shared" si="151"/>
        <v>11965990.338679597</v>
      </c>
      <c r="T157" s="123">
        <f t="shared" si="151"/>
        <v>12241208.116469227</v>
      </c>
      <c r="U157" s="123">
        <f t="shared" si="151"/>
        <v>12522755.90314801</v>
      </c>
      <c r="V157" s="123">
        <f t="shared" si="151"/>
        <v>12810779.28892041</v>
      </c>
      <c r="W157" s="123">
        <f t="shared" si="151"/>
        <v>13105427.212565586</v>
      </c>
      <c r="X157" s="123">
        <f t="shared" si="151"/>
        <v>13406852.038454592</v>
      </c>
      <c r="Y157" s="123">
        <f t="shared" si="151"/>
        <v>13715209.635339044</v>
      </c>
      <c r="Z157" s="123">
        <f t="shared" si="151"/>
        <v>14030659.456951842</v>
      </c>
      <c r="AA157" s="123">
        <f t="shared" si="151"/>
        <v>14353364.624461733</v>
      </c>
      <c r="AB157" s="123">
        <f t="shared" si="151"/>
        <v>14683492.01082436</v>
      </c>
      <c r="AC157" s="123">
        <f t="shared" si="151"/>
        <v>15021212.327073313</v>
      </c>
      <c r="AD157" s="123">
        <f t="shared" si="151"/>
        <v>15366700.210595995</v>
      </c>
      <c r="AE157" s="123">
        <f t="shared" si="151"/>
        <v>15720134.315439709</v>
      </c>
      <c r="AF157" s="123">
        <f t="shared" si="151"/>
        <v>16081697.404694811</v>
      </c>
      <c r="AG157" s="123">
        <f t="shared" si="151"/>
        <v>25309337.569345944</v>
      </c>
      <c r="AH157" s="123">
        <f t="shared" si="151"/>
        <v>0</v>
      </c>
      <c r="AI157" s="123">
        <f t="shared" si="151"/>
        <v>0</v>
      </c>
      <c r="AJ157" s="123">
        <f t="shared" si="151"/>
        <v>0</v>
      </c>
      <c r="AK157" s="123">
        <f t="shared" si="151"/>
        <v>0</v>
      </c>
      <c r="AL157" s="123">
        <f t="shared" si="151"/>
        <v>0</v>
      </c>
      <c r="AM157" s="123">
        <f t="shared" si="151"/>
        <v>0</v>
      </c>
      <c r="AN157" s="123">
        <f t="shared" si="151"/>
        <v>0</v>
      </c>
      <c r="AO157" s="123">
        <f t="shared" si="151"/>
        <v>0</v>
      </c>
      <c r="AP157" s="123">
        <f t="shared" si="151"/>
        <v>0</v>
      </c>
      <c r="AQ157" s="123">
        <f t="shared" si="151"/>
        <v>0</v>
      </c>
      <c r="AR157" s="123">
        <f t="shared" si="151"/>
        <v>0</v>
      </c>
      <c r="AS157" s="123">
        <f t="shared" si="151"/>
        <v>0</v>
      </c>
      <c r="AT157" s="123">
        <f t="shared" si="151"/>
        <v>0</v>
      </c>
      <c r="AU157" s="123">
        <f t="shared" si="151"/>
        <v>0</v>
      </c>
      <c r="AV157" s="123">
        <f t="shared" si="151"/>
        <v>0</v>
      </c>
      <c r="AW157" s="123">
        <f t="shared" si="151"/>
        <v>0</v>
      </c>
      <c r="AX157" s="123">
        <f t="shared" si="151"/>
        <v>0</v>
      </c>
      <c r="AY157" s="123">
        <f t="shared" si="151"/>
        <v>0</v>
      </c>
      <c r="AZ157" s="123">
        <f t="shared" si="151"/>
        <v>0</v>
      </c>
      <c r="BA157" s="123">
        <f t="shared" si="151"/>
        <v>0</v>
      </c>
      <c r="BB157" s="123">
        <f t="shared" si="151"/>
        <v>0</v>
      </c>
      <c r="BC157" s="123">
        <f t="shared" si="151"/>
        <v>0</v>
      </c>
      <c r="BD157" s="123">
        <f t="shared" si="151"/>
        <v>0</v>
      </c>
      <c r="BE157" s="123">
        <f t="shared" si="151"/>
        <v>0</v>
      </c>
      <c r="BF157" s="123">
        <f t="shared" si="151"/>
        <v>0</v>
      </c>
      <c r="BG157" s="123">
        <f t="shared" si="151"/>
        <v>0</v>
      </c>
      <c r="BH157" s="123">
        <f t="shared" si="151"/>
        <v>0</v>
      </c>
      <c r="BI157" s="123">
        <f t="shared" si="151"/>
        <v>0</v>
      </c>
      <c r="BJ157" s="123">
        <f t="shared" si="151"/>
        <v>0</v>
      </c>
      <c r="BK157" s="123">
        <f t="shared" si="151"/>
        <v>0</v>
      </c>
      <c r="BL157" s="123">
        <f t="shared" si="151"/>
        <v>0</v>
      </c>
      <c r="BM157" s="123">
        <f t="shared" si="151"/>
        <v>0</v>
      </c>
      <c r="BN157" s="123">
        <f t="shared" si="151"/>
        <v>0</v>
      </c>
      <c r="BO157" s="123">
        <f t="shared" si="151"/>
        <v>0</v>
      </c>
      <c r="BP157" s="123">
        <f t="shared" si="151"/>
        <v>0</v>
      </c>
      <c r="BQ157" s="123">
        <f t="shared" ref="BQ157:CX157" si="152">BQ155-BQ156</f>
        <v>0</v>
      </c>
      <c r="BR157" s="123">
        <f t="shared" si="152"/>
        <v>0</v>
      </c>
      <c r="BS157" s="123">
        <f t="shared" si="152"/>
        <v>0</v>
      </c>
      <c r="BT157" s="123">
        <f t="shared" si="152"/>
        <v>0</v>
      </c>
      <c r="BU157" s="123">
        <f t="shared" si="152"/>
        <v>0</v>
      </c>
      <c r="BV157" s="123">
        <f t="shared" si="152"/>
        <v>0</v>
      </c>
      <c r="BW157" s="123">
        <f t="shared" si="152"/>
        <v>0</v>
      </c>
      <c r="BX157" s="123">
        <f t="shared" si="152"/>
        <v>0</v>
      </c>
      <c r="BY157" s="123">
        <f t="shared" si="152"/>
        <v>0</v>
      </c>
      <c r="BZ157" s="123">
        <f t="shared" si="152"/>
        <v>0</v>
      </c>
      <c r="CA157" s="123">
        <f t="shared" si="152"/>
        <v>0</v>
      </c>
      <c r="CB157" s="123">
        <f t="shared" si="152"/>
        <v>0</v>
      </c>
      <c r="CC157" s="123">
        <f t="shared" si="152"/>
        <v>0</v>
      </c>
      <c r="CD157" s="123">
        <f t="shared" si="152"/>
        <v>0</v>
      </c>
      <c r="CE157" s="123">
        <f t="shared" si="152"/>
        <v>0</v>
      </c>
      <c r="CF157" s="123">
        <f t="shared" si="152"/>
        <v>0</v>
      </c>
      <c r="CG157" s="123">
        <f t="shared" si="152"/>
        <v>0</v>
      </c>
      <c r="CH157" s="123">
        <f t="shared" si="152"/>
        <v>0</v>
      </c>
      <c r="CI157" s="123">
        <f t="shared" si="152"/>
        <v>0</v>
      </c>
      <c r="CJ157" s="123">
        <f t="shared" si="152"/>
        <v>0</v>
      </c>
      <c r="CK157" s="123">
        <f t="shared" si="152"/>
        <v>0</v>
      </c>
      <c r="CL157" s="123">
        <f t="shared" si="152"/>
        <v>0</v>
      </c>
      <c r="CM157" s="123">
        <f t="shared" si="152"/>
        <v>0</v>
      </c>
      <c r="CN157" s="123">
        <f t="shared" si="152"/>
        <v>0</v>
      </c>
      <c r="CO157" s="123">
        <f t="shared" si="152"/>
        <v>0</v>
      </c>
      <c r="CP157" s="123">
        <f t="shared" si="152"/>
        <v>0</v>
      </c>
      <c r="CQ157" s="123">
        <f t="shared" si="152"/>
        <v>0</v>
      </c>
      <c r="CR157" s="123">
        <f t="shared" si="152"/>
        <v>0</v>
      </c>
      <c r="CS157" s="123">
        <f t="shared" si="152"/>
        <v>0</v>
      </c>
      <c r="CT157" s="123">
        <f t="shared" si="152"/>
        <v>0</v>
      </c>
      <c r="CU157" s="123">
        <f t="shared" si="152"/>
        <v>0</v>
      </c>
      <c r="CV157" s="123">
        <f t="shared" si="152"/>
        <v>0</v>
      </c>
      <c r="CW157" s="123">
        <f t="shared" si="152"/>
        <v>0</v>
      </c>
      <c r="CX157" s="123">
        <f t="shared" si="152"/>
        <v>0</v>
      </c>
    </row>
    <row r="158" spans="1:102" s="99" customFormat="1" ht="20.100000000000001" customHeight="1">
      <c r="B158" s="99" t="s">
        <v>169</v>
      </c>
      <c r="C158" s="208">
        <f>C157/C$80</f>
        <v>-107497278.11831588</v>
      </c>
      <c r="D158" s="208">
        <f>D157/D$80</f>
        <v>9423993.2244061884</v>
      </c>
      <c r="E158" s="208">
        <f t="shared" ref="E158:BO158" si="153">E157/E$80</f>
        <v>10372385.258068401</v>
      </c>
      <c r="F158" s="208">
        <f t="shared" si="153"/>
        <v>9915680.6231826562</v>
      </c>
      <c r="G158" s="208">
        <f t="shared" si="153"/>
        <v>9480014.6561833359</v>
      </c>
      <c r="H158" s="208">
        <f t="shared" si="153"/>
        <v>9064369.4463037625</v>
      </c>
      <c r="I158" s="208">
        <f t="shared" si="153"/>
        <v>8667778.7746478468</v>
      </c>
      <c r="J158" s="208">
        <f t="shared" si="153"/>
        <v>8289325.3726183847</v>
      </c>
      <c r="K158" s="208">
        <f t="shared" si="153"/>
        <v>7928138.3310472025</v>
      </c>
      <c r="L158" s="208">
        <f t="shared" si="153"/>
        <v>7583390.6515128175</v>
      </c>
      <c r="M158" s="208">
        <f t="shared" si="153"/>
        <v>7254296.9318217197</v>
      </c>
      <c r="N158" s="208">
        <f t="shared" si="153"/>
        <v>6171865.354783373</v>
      </c>
      <c r="O158" s="208">
        <f t="shared" si="153"/>
        <v>5195910.898194558</v>
      </c>
      <c r="P158" s="208">
        <f t="shared" si="153"/>
        <v>4996186.3348669885</v>
      </c>
      <c r="Q158" s="208">
        <f t="shared" si="153"/>
        <v>4804138.9434497803</v>
      </c>
      <c r="R158" s="208">
        <f t="shared" si="153"/>
        <v>4619473.622691703</v>
      </c>
      <c r="S158" s="208">
        <f t="shared" si="153"/>
        <v>4441906.6146785524</v>
      </c>
      <c r="T158" s="208">
        <f t="shared" si="153"/>
        <v>4271165.0688089356</v>
      </c>
      <c r="U158" s="208">
        <f t="shared" si="153"/>
        <v>4106986.6225302918</v>
      </c>
      <c r="V158" s="208">
        <f t="shared" si="153"/>
        <v>3949118.9981909152</v>
      </c>
      <c r="W158" s="208">
        <f t="shared" si="153"/>
        <v>3797319.6153884977</v>
      </c>
      <c r="X158" s="208">
        <f t="shared" si="153"/>
        <v>3651355.2182195201</v>
      </c>
      <c r="Y158" s="208">
        <f t="shared" si="153"/>
        <v>3511001.5168567519</v>
      </c>
      <c r="Z158" s="208">
        <f t="shared" si="153"/>
        <v>3376042.8429040643</v>
      </c>
      <c r="AA158" s="208">
        <f t="shared" si="153"/>
        <v>3246271.817998983</v>
      </c>
      <c r="AB158" s="208">
        <f t="shared" si="153"/>
        <v>3121489.0351537792</v>
      </c>
      <c r="AC158" s="208">
        <f t="shared" si="153"/>
        <v>3001502.7523454018</v>
      </c>
      <c r="AD158" s="208">
        <f t="shared" si="153"/>
        <v>2886128.5978834783</v>
      </c>
      <c r="AE158" s="208">
        <f t="shared" si="153"/>
        <v>2775189.2871035752</v>
      </c>
      <c r="AF158" s="208">
        <f t="shared" si="153"/>
        <v>2668514.3499504533</v>
      </c>
      <c r="AG158" s="208">
        <f t="shared" si="153"/>
        <v>3947478.1365234</v>
      </c>
      <c r="AH158" s="208">
        <f t="shared" si="153"/>
        <v>0</v>
      </c>
      <c r="AI158" s="208">
        <f t="shared" si="153"/>
        <v>0</v>
      </c>
      <c r="AJ158" s="208">
        <f t="shared" si="153"/>
        <v>0</v>
      </c>
      <c r="AK158" s="208">
        <f t="shared" si="153"/>
        <v>0</v>
      </c>
      <c r="AL158" s="208">
        <f t="shared" si="153"/>
        <v>0</v>
      </c>
      <c r="AM158" s="208">
        <f t="shared" si="153"/>
        <v>0</v>
      </c>
      <c r="AN158" s="208">
        <f t="shared" si="153"/>
        <v>0</v>
      </c>
      <c r="AO158" s="208">
        <f t="shared" si="153"/>
        <v>0</v>
      </c>
      <c r="AP158" s="208">
        <f t="shared" si="153"/>
        <v>0</v>
      </c>
      <c r="AQ158" s="208">
        <f t="shared" si="153"/>
        <v>0</v>
      </c>
      <c r="AR158" s="208">
        <f t="shared" si="153"/>
        <v>0</v>
      </c>
      <c r="AS158" s="208">
        <f t="shared" si="153"/>
        <v>0</v>
      </c>
      <c r="AT158" s="208">
        <f t="shared" si="153"/>
        <v>0</v>
      </c>
      <c r="AU158" s="208">
        <f t="shared" si="153"/>
        <v>0</v>
      </c>
      <c r="AV158" s="208">
        <f t="shared" si="153"/>
        <v>0</v>
      </c>
      <c r="AW158" s="208">
        <f t="shared" si="153"/>
        <v>0</v>
      </c>
      <c r="AX158" s="208">
        <f t="shared" si="153"/>
        <v>0</v>
      </c>
      <c r="AY158" s="208">
        <f t="shared" si="153"/>
        <v>0</v>
      </c>
      <c r="AZ158" s="208">
        <f t="shared" si="153"/>
        <v>0</v>
      </c>
      <c r="BA158" s="208">
        <f t="shared" si="153"/>
        <v>0</v>
      </c>
      <c r="BB158" s="208">
        <f t="shared" si="153"/>
        <v>0</v>
      </c>
      <c r="BC158" s="208">
        <f t="shared" si="153"/>
        <v>0</v>
      </c>
      <c r="BD158" s="208">
        <f t="shared" si="153"/>
        <v>0</v>
      </c>
      <c r="BE158" s="208">
        <f t="shared" si="153"/>
        <v>0</v>
      </c>
      <c r="BF158" s="208">
        <f t="shared" si="153"/>
        <v>0</v>
      </c>
      <c r="BG158" s="208">
        <f t="shared" si="153"/>
        <v>0</v>
      </c>
      <c r="BH158" s="208">
        <f t="shared" si="153"/>
        <v>0</v>
      </c>
      <c r="BI158" s="208">
        <f t="shared" si="153"/>
        <v>0</v>
      </c>
      <c r="BJ158" s="208">
        <f t="shared" si="153"/>
        <v>0</v>
      </c>
      <c r="BK158" s="208">
        <f t="shared" si="153"/>
        <v>0</v>
      </c>
      <c r="BL158" s="208">
        <f t="shared" si="153"/>
        <v>0</v>
      </c>
      <c r="BM158" s="208">
        <f t="shared" si="153"/>
        <v>0</v>
      </c>
      <c r="BN158" s="208">
        <f t="shared" si="153"/>
        <v>0</v>
      </c>
      <c r="BO158" s="208">
        <f t="shared" si="153"/>
        <v>0</v>
      </c>
      <c r="BP158" s="208">
        <f t="shared" ref="BP158:CX158" si="154">BP157/BP$80</f>
        <v>0</v>
      </c>
      <c r="BQ158" s="208">
        <f t="shared" si="154"/>
        <v>0</v>
      </c>
      <c r="BR158" s="208">
        <f t="shared" si="154"/>
        <v>0</v>
      </c>
      <c r="BS158" s="208">
        <f t="shared" si="154"/>
        <v>0</v>
      </c>
      <c r="BT158" s="208">
        <f t="shared" si="154"/>
        <v>0</v>
      </c>
      <c r="BU158" s="208">
        <f t="shared" si="154"/>
        <v>0</v>
      </c>
      <c r="BV158" s="208">
        <f t="shared" si="154"/>
        <v>0</v>
      </c>
      <c r="BW158" s="208">
        <f t="shared" si="154"/>
        <v>0</v>
      </c>
      <c r="BX158" s="208">
        <f t="shared" si="154"/>
        <v>0</v>
      </c>
      <c r="BY158" s="208">
        <f t="shared" si="154"/>
        <v>0</v>
      </c>
      <c r="BZ158" s="208">
        <f t="shared" si="154"/>
        <v>0</v>
      </c>
      <c r="CA158" s="208">
        <f t="shared" si="154"/>
        <v>0</v>
      </c>
      <c r="CB158" s="208">
        <f t="shared" si="154"/>
        <v>0</v>
      </c>
      <c r="CC158" s="208">
        <f t="shared" si="154"/>
        <v>0</v>
      </c>
      <c r="CD158" s="208">
        <f t="shared" si="154"/>
        <v>0</v>
      </c>
      <c r="CE158" s="208">
        <f t="shared" si="154"/>
        <v>0</v>
      </c>
      <c r="CF158" s="208">
        <f t="shared" si="154"/>
        <v>0</v>
      </c>
      <c r="CG158" s="208">
        <f t="shared" si="154"/>
        <v>0</v>
      </c>
      <c r="CH158" s="208">
        <f t="shared" si="154"/>
        <v>0</v>
      </c>
      <c r="CI158" s="208">
        <f t="shared" si="154"/>
        <v>0</v>
      </c>
      <c r="CJ158" s="208">
        <f t="shared" si="154"/>
        <v>0</v>
      </c>
      <c r="CK158" s="208">
        <f t="shared" si="154"/>
        <v>0</v>
      </c>
      <c r="CL158" s="208">
        <f t="shared" si="154"/>
        <v>0</v>
      </c>
      <c r="CM158" s="208">
        <f t="shared" si="154"/>
        <v>0</v>
      </c>
      <c r="CN158" s="208">
        <f t="shared" si="154"/>
        <v>0</v>
      </c>
      <c r="CO158" s="208">
        <f t="shared" si="154"/>
        <v>0</v>
      </c>
      <c r="CP158" s="208">
        <f t="shared" si="154"/>
        <v>0</v>
      </c>
      <c r="CQ158" s="208">
        <f t="shared" si="154"/>
        <v>0</v>
      </c>
      <c r="CR158" s="208">
        <f t="shared" si="154"/>
        <v>0</v>
      </c>
      <c r="CS158" s="208">
        <f t="shared" si="154"/>
        <v>0</v>
      </c>
      <c r="CT158" s="208">
        <f t="shared" si="154"/>
        <v>0</v>
      </c>
      <c r="CU158" s="208">
        <f t="shared" si="154"/>
        <v>0</v>
      </c>
      <c r="CV158" s="208">
        <f t="shared" si="154"/>
        <v>0</v>
      </c>
      <c r="CW158" s="208">
        <f t="shared" si="154"/>
        <v>0</v>
      </c>
      <c r="CX158" s="208">
        <f t="shared" si="154"/>
        <v>0</v>
      </c>
    </row>
    <row r="159" spans="1:102" ht="20.100000000000001" customHeight="1">
      <c r="A159" s="209">
        <f>SUM(C158:Y158)</f>
        <v>33998523.960136287</v>
      </c>
      <c r="B159" s="107" t="s">
        <v>176</v>
      </c>
      <c r="C159" s="200"/>
      <c r="D159" s="200"/>
      <c r="E159" s="200"/>
      <c r="F159" s="206"/>
      <c r="G159" s="206"/>
      <c r="H159" s="206"/>
      <c r="I159" s="206"/>
      <c r="J159" s="206"/>
      <c r="K159" s="206"/>
      <c r="L159" s="206"/>
      <c r="M159" s="206"/>
      <c r="N159" s="206"/>
      <c r="O159" s="206"/>
      <c r="P159" s="206"/>
      <c r="Q159" s="206"/>
      <c r="R159" s="206"/>
      <c r="S159" s="206"/>
      <c r="T159" s="206"/>
      <c r="U159" s="206"/>
      <c r="V159" s="206"/>
      <c r="W159" s="206"/>
      <c r="X159" s="200"/>
      <c r="Y159" s="200"/>
      <c r="Z159" s="200"/>
      <c r="AA159" s="200"/>
      <c r="AB159" s="200"/>
      <c r="AC159" s="200"/>
      <c r="AD159" s="200"/>
      <c r="AE159" s="200"/>
      <c r="AF159" s="200"/>
      <c r="AG159" s="200"/>
      <c r="AH159" s="200"/>
      <c r="AI159" s="200"/>
      <c r="AJ159" s="200"/>
      <c r="AK159" s="200"/>
      <c r="AL159" s="200"/>
      <c r="AM159" s="200"/>
      <c r="AN159" s="200"/>
      <c r="AO159" s="200"/>
      <c r="AP159" s="200"/>
      <c r="AQ159" s="200"/>
      <c r="AR159" s="200"/>
      <c r="AS159" s="200"/>
      <c r="AT159" s="200"/>
      <c r="AU159" s="200"/>
      <c r="AV159" s="200"/>
      <c r="AW159" s="200"/>
      <c r="AX159" s="200"/>
      <c r="AY159" s="200"/>
      <c r="AZ159" s="200"/>
      <c r="BA159" s="200"/>
      <c r="BB159" s="200"/>
      <c r="BC159" s="200"/>
      <c r="BD159" s="200"/>
      <c r="BE159" s="200"/>
      <c r="BF159" s="200"/>
      <c r="BG159" s="200"/>
      <c r="BH159" s="200"/>
      <c r="BI159" s="200"/>
      <c r="BJ159" s="200"/>
      <c r="BK159" s="200"/>
      <c r="BL159" s="200"/>
      <c r="BM159" s="200"/>
      <c r="BN159" s="200"/>
      <c r="BO159" s="200"/>
      <c r="BP159" s="200"/>
      <c r="BQ159" s="200"/>
      <c r="BR159" s="200"/>
      <c r="BS159" s="200"/>
      <c r="BT159" s="200"/>
      <c r="BU159" s="200"/>
      <c r="BV159" s="200"/>
      <c r="BW159" s="200"/>
      <c r="BX159" s="200"/>
      <c r="BY159" s="200"/>
      <c r="BZ159" s="200"/>
      <c r="CA159" s="200"/>
      <c r="CB159" s="200"/>
      <c r="CC159" s="200"/>
      <c r="CD159" s="200"/>
      <c r="CE159" s="200"/>
      <c r="CF159" s="200"/>
      <c r="CG159" s="200"/>
      <c r="CH159" s="200"/>
      <c r="CI159" s="200"/>
      <c r="CJ159" s="200"/>
      <c r="CK159" s="200"/>
      <c r="CL159" s="200"/>
      <c r="CM159" s="200"/>
      <c r="CN159" s="200"/>
      <c r="CO159" s="200"/>
      <c r="CP159" s="200"/>
      <c r="CQ159" s="200"/>
      <c r="CR159" s="200"/>
      <c r="CS159" s="200"/>
      <c r="CT159" s="200"/>
      <c r="CU159" s="200"/>
      <c r="CV159" s="200"/>
      <c r="CW159" s="200"/>
      <c r="CX159" s="200"/>
    </row>
    <row r="160" spans="1:102" ht="20.100000000000001" customHeight="1">
      <c r="A160" s="103" t="s">
        <v>170</v>
      </c>
    </row>
    <row r="165" spans="3:3">
      <c r="C165" s="179"/>
    </row>
  </sheetData>
  <phoneticPr fontId="12" type="noConversion"/>
  <dataValidations count="1">
    <dataValidation type="whole" allowBlank="1" showInputMessage="1" showErrorMessage="1" sqref="C39" xr:uid="{C78BE643-943F-42BC-A26A-2990591D0C0D}">
      <formula1>1</formula1>
      <formula2>5</formula2>
    </dataValidation>
  </dataValidations>
  <pageMargins left="0.7" right="0.7" top="0.75" bottom="0.75" header="0.3" footer="0.3"/>
  <pageSetup scale="65" pageOrder="overThenDown" orientation="landscape" r:id="rId1"/>
  <headerFooter>
    <oddFooter>&amp;L&amp;8&amp;D&amp;  at &amp;T&amp;C
&amp;8Page &amp;P &amp; of &amp;N&amp;R&amp;8&amp;Z
&amp;F</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A6EE4-8BC6-4DD6-B3EE-7D56608FA25F}">
  <sheetPr codeName="Sheet20"/>
  <dimension ref="A1:AF994"/>
  <sheetViews>
    <sheetView zoomScale="50" zoomScaleNormal="50" workbookViewId="0"/>
  </sheetViews>
  <sheetFormatPr defaultRowHeight="18.75"/>
  <cols>
    <col min="1" max="1" width="21.3984375" bestFit="1" customWidth="1"/>
    <col min="2" max="2" width="11.59765625" bestFit="1" customWidth="1"/>
    <col min="3" max="3" width="12.796875" bestFit="1" customWidth="1"/>
    <col min="4" max="4" width="16.5" bestFit="1" customWidth="1"/>
    <col min="5" max="5" width="14.296875" bestFit="1" customWidth="1"/>
    <col min="6" max="6" width="13.19921875" bestFit="1" customWidth="1"/>
    <col min="7" max="7" width="18.19921875" bestFit="1" customWidth="1"/>
    <col min="8" max="8" width="19.796875" bestFit="1" customWidth="1"/>
    <col min="9" max="9" width="17.59765625" bestFit="1" customWidth="1"/>
    <col min="10" max="10" width="20" bestFit="1" customWidth="1"/>
    <col min="11" max="11" width="8.69921875" bestFit="1" customWidth="1"/>
    <col min="12" max="12" width="11.8984375" customWidth="1"/>
    <col min="13" max="13" width="6.8984375" bestFit="1" customWidth="1"/>
    <col min="14" max="14" width="20" bestFit="1" customWidth="1"/>
    <col min="15" max="18" width="20" customWidth="1"/>
    <col min="19" max="19" width="8" bestFit="1" customWidth="1"/>
    <col min="20" max="20" width="8" customWidth="1"/>
    <col min="21" max="21" width="12.09765625" bestFit="1" customWidth="1"/>
    <col min="22" max="22" width="14" bestFit="1" customWidth="1"/>
    <col min="23" max="23" width="14" customWidth="1"/>
    <col min="24" max="24" width="15" bestFit="1" customWidth="1"/>
    <col min="25" max="25" width="18.59765625" bestFit="1" customWidth="1"/>
    <col min="26" max="26" width="12" bestFit="1" customWidth="1"/>
    <col min="27" max="27" width="12" customWidth="1"/>
    <col min="28" max="28" width="13.8984375" bestFit="1" customWidth="1"/>
    <col min="29" max="29" width="22.19921875" bestFit="1" customWidth="1"/>
    <col min="30" max="30" width="14.09765625" bestFit="1" customWidth="1"/>
    <col min="31" max="31" width="27.796875" bestFit="1" customWidth="1"/>
  </cols>
  <sheetData>
    <row r="1" spans="1:32" ht="21">
      <c r="A1" s="230" t="s">
        <v>1155</v>
      </c>
    </row>
    <row r="3" spans="1:32">
      <c r="A3" t="s">
        <v>363</v>
      </c>
      <c r="B3" t="s">
        <v>48</v>
      </c>
      <c r="C3" t="s">
        <v>1052</v>
      </c>
      <c r="D3" t="s">
        <v>545</v>
      </c>
      <c r="E3" t="s">
        <v>365</v>
      </c>
      <c r="F3" t="s">
        <v>364</v>
      </c>
      <c r="G3" t="s">
        <v>446</v>
      </c>
      <c r="H3" t="s">
        <v>886</v>
      </c>
      <c r="I3" t="s">
        <v>370</v>
      </c>
      <c r="J3" t="s">
        <v>367</v>
      </c>
      <c r="K3" t="s">
        <v>95</v>
      </c>
      <c r="L3" t="s">
        <v>1079</v>
      </c>
      <c r="M3" t="s">
        <v>373</v>
      </c>
      <c r="N3" t="s">
        <v>374</v>
      </c>
      <c r="O3" t="s">
        <v>1080</v>
      </c>
      <c r="P3" t="s">
        <v>1081</v>
      </c>
      <c r="Q3" t="s">
        <v>1082</v>
      </c>
      <c r="R3" t="s">
        <v>1083</v>
      </c>
      <c r="S3" t="s">
        <v>75</v>
      </c>
      <c r="T3" t="s">
        <v>300</v>
      </c>
      <c r="U3" t="s">
        <v>361</v>
      </c>
      <c r="V3" t="s">
        <v>360</v>
      </c>
      <c r="W3" t="s">
        <v>1042</v>
      </c>
      <c r="X3" t="s">
        <v>380</v>
      </c>
      <c r="Y3" t="s">
        <v>387</v>
      </c>
      <c r="Z3" t="s">
        <v>385</v>
      </c>
      <c r="AA3" t="s">
        <v>1103</v>
      </c>
      <c r="AB3" t="s">
        <v>1046</v>
      </c>
      <c r="AC3" t="s">
        <v>1048</v>
      </c>
      <c r="AD3" t="s">
        <v>1049</v>
      </c>
      <c r="AE3" t="s">
        <v>1044</v>
      </c>
      <c r="AF3" t="s">
        <v>372</v>
      </c>
    </row>
    <row r="4" spans="1:32">
      <c r="A4">
        <v>10</v>
      </c>
      <c r="B4">
        <v>5</v>
      </c>
      <c r="C4" s="3">
        <v>0</v>
      </c>
      <c r="D4" s="3">
        <v>15</v>
      </c>
      <c r="E4" s="16" t="s">
        <v>366</v>
      </c>
      <c r="F4" t="s">
        <v>49</v>
      </c>
      <c r="G4" t="s">
        <v>445</v>
      </c>
      <c r="H4" t="s">
        <v>887</v>
      </c>
      <c r="I4">
        <v>1</v>
      </c>
      <c r="J4">
        <v>1</v>
      </c>
      <c r="K4">
        <v>2023</v>
      </c>
      <c r="L4" t="s">
        <v>192</v>
      </c>
      <c r="M4" s="13">
        <v>0.01</v>
      </c>
      <c r="N4">
        <v>10</v>
      </c>
      <c r="O4" s="16">
        <v>0</v>
      </c>
      <c r="P4" s="13">
        <v>0</v>
      </c>
      <c r="Q4" s="13">
        <v>0</v>
      </c>
      <c r="R4" s="16">
        <v>0</v>
      </c>
      <c r="S4" t="s">
        <v>371</v>
      </c>
      <c r="T4" t="s">
        <v>203</v>
      </c>
      <c r="U4" t="s">
        <v>313</v>
      </c>
      <c r="V4" t="s">
        <v>317</v>
      </c>
      <c r="W4" t="s">
        <v>317</v>
      </c>
      <c r="X4" t="s">
        <v>382</v>
      </c>
      <c r="Y4" t="s">
        <v>386</v>
      </c>
      <c r="Z4">
        <v>2030</v>
      </c>
      <c r="AA4" t="s">
        <v>1104</v>
      </c>
      <c r="AB4" s="3" t="s">
        <v>192</v>
      </c>
      <c r="AC4" s="3">
        <f>Calculations!B752/Calculations!A63</f>
        <v>7.9851305845921088</v>
      </c>
      <c r="AD4" s="3">
        <v>4</v>
      </c>
      <c r="AE4" s="16">
        <v>0</v>
      </c>
      <c r="AF4" t="s">
        <v>37</v>
      </c>
    </row>
    <row r="5" spans="1:32">
      <c r="A5">
        <v>11</v>
      </c>
      <c r="B5">
        <v>10</v>
      </c>
      <c r="C5" s="3">
        <v>10</v>
      </c>
      <c r="D5" s="3"/>
      <c r="E5" s="16" t="s">
        <v>47</v>
      </c>
      <c r="F5" t="s">
        <v>240</v>
      </c>
      <c r="G5" t="s">
        <v>447</v>
      </c>
      <c r="H5" t="s">
        <v>888</v>
      </c>
      <c r="I5">
        <v>2</v>
      </c>
      <c r="J5">
        <v>2</v>
      </c>
      <c r="K5">
        <v>2024</v>
      </c>
      <c r="L5" s="3" t="s">
        <v>383</v>
      </c>
      <c r="M5" s="13">
        <v>1.2500000000000001E-2</v>
      </c>
      <c r="N5">
        <v>11</v>
      </c>
      <c r="O5" s="16">
        <v>0.01</v>
      </c>
      <c r="P5" s="13">
        <v>2.5000000000000001E-3</v>
      </c>
      <c r="Q5" s="13">
        <v>2.5000000000000001E-3</v>
      </c>
      <c r="R5" s="16">
        <v>0.01</v>
      </c>
      <c r="S5" t="s">
        <v>362</v>
      </c>
      <c r="U5" t="s">
        <v>201</v>
      </c>
      <c r="V5" t="s">
        <v>318</v>
      </c>
      <c r="W5" t="s">
        <v>319</v>
      </c>
      <c r="Y5" t="s">
        <v>384</v>
      </c>
      <c r="Z5">
        <v>2031</v>
      </c>
      <c r="AA5" t="s">
        <v>1105</v>
      </c>
      <c r="AB5" s="3" t="s">
        <v>383</v>
      </c>
      <c r="AC5" s="3"/>
      <c r="AD5" s="3">
        <v>8</v>
      </c>
      <c r="AE5" s="16">
        <v>0.01</v>
      </c>
    </row>
    <row r="6" spans="1:32">
      <c r="A6">
        <v>12</v>
      </c>
      <c r="B6">
        <v>15</v>
      </c>
      <c r="C6" s="3">
        <v>20</v>
      </c>
      <c r="H6" t="s">
        <v>889</v>
      </c>
      <c r="I6">
        <v>3</v>
      </c>
      <c r="J6">
        <v>3</v>
      </c>
      <c r="K6">
        <v>2025</v>
      </c>
      <c r="M6" s="13">
        <v>1.4999999999999999E-2</v>
      </c>
      <c r="N6">
        <v>12</v>
      </c>
      <c r="O6" s="16">
        <v>0.02</v>
      </c>
      <c r="P6" s="13">
        <v>5.0000000000000001E-3</v>
      </c>
      <c r="Q6" s="13">
        <v>5.0000000000000001E-3</v>
      </c>
      <c r="R6" s="16">
        <v>0.02</v>
      </c>
      <c r="S6" t="s">
        <v>360</v>
      </c>
      <c r="U6" t="s">
        <v>315</v>
      </c>
      <c r="V6" t="s">
        <v>319</v>
      </c>
      <c r="W6" t="s">
        <v>320</v>
      </c>
      <c r="Z6">
        <v>2032</v>
      </c>
      <c r="AB6" s="3"/>
      <c r="AC6" s="3"/>
      <c r="AD6" s="3">
        <v>12</v>
      </c>
      <c r="AE6" s="16">
        <v>0.02</v>
      </c>
    </row>
    <row r="7" spans="1:32">
      <c r="A7">
        <v>13</v>
      </c>
      <c r="B7">
        <v>20</v>
      </c>
      <c r="C7" s="3">
        <v>30</v>
      </c>
      <c r="D7" s="3"/>
      <c r="I7">
        <v>4</v>
      </c>
      <c r="J7">
        <v>4</v>
      </c>
      <c r="K7">
        <v>2026</v>
      </c>
      <c r="M7" s="13">
        <v>1.7500000000000002E-2</v>
      </c>
      <c r="N7">
        <v>13</v>
      </c>
      <c r="O7" s="16">
        <v>0.03</v>
      </c>
      <c r="P7" s="13">
        <v>7.4999999999999997E-3</v>
      </c>
      <c r="Q7" s="13">
        <v>7.4999999999999997E-3</v>
      </c>
      <c r="R7" s="16">
        <v>0.03</v>
      </c>
      <c r="U7" t="s">
        <v>316</v>
      </c>
      <c r="V7" t="s">
        <v>320</v>
      </c>
      <c r="W7" t="s">
        <v>248</v>
      </c>
      <c r="Z7">
        <v>2033</v>
      </c>
      <c r="AB7" s="3"/>
      <c r="AC7" s="3"/>
      <c r="AD7" s="3">
        <v>16</v>
      </c>
      <c r="AE7" s="16">
        <v>0.03</v>
      </c>
    </row>
    <row r="8" spans="1:32">
      <c r="A8">
        <v>14</v>
      </c>
      <c r="B8">
        <v>25</v>
      </c>
      <c r="C8" s="3">
        <v>40</v>
      </c>
      <c r="D8" s="3"/>
      <c r="I8">
        <v>5</v>
      </c>
      <c r="J8">
        <v>5</v>
      </c>
      <c r="K8">
        <v>2027</v>
      </c>
      <c r="M8" s="13">
        <v>0.02</v>
      </c>
      <c r="N8">
        <v>14</v>
      </c>
      <c r="O8" s="16">
        <v>0.04</v>
      </c>
      <c r="P8" s="13">
        <v>0.01</v>
      </c>
      <c r="Q8" s="13">
        <v>0.01</v>
      </c>
      <c r="R8" s="16">
        <v>0.04</v>
      </c>
      <c r="U8" t="s">
        <v>314</v>
      </c>
      <c r="V8" t="s">
        <v>248</v>
      </c>
      <c r="W8" t="s">
        <v>321</v>
      </c>
      <c r="Z8">
        <v>2034</v>
      </c>
      <c r="AB8" s="3"/>
      <c r="AC8" s="3"/>
      <c r="AD8" s="3">
        <v>20</v>
      </c>
      <c r="AE8" s="16">
        <v>0.04</v>
      </c>
    </row>
    <row r="9" spans="1:32">
      <c r="A9">
        <v>15</v>
      </c>
      <c r="B9">
        <v>30</v>
      </c>
      <c r="C9" s="3">
        <v>50</v>
      </c>
      <c r="D9" s="13"/>
      <c r="I9">
        <v>6</v>
      </c>
      <c r="K9">
        <v>2028</v>
      </c>
      <c r="M9" s="13">
        <v>2.2499999999999999E-2</v>
      </c>
      <c r="N9">
        <v>15</v>
      </c>
      <c r="O9" s="16">
        <v>0.05</v>
      </c>
      <c r="P9" s="13">
        <v>1.2500000000000001E-2</v>
      </c>
      <c r="Q9" s="13">
        <v>1.2500000000000001E-2</v>
      </c>
      <c r="R9" s="16">
        <v>0.05</v>
      </c>
      <c r="V9" t="s">
        <v>321</v>
      </c>
      <c r="W9" t="s">
        <v>323</v>
      </c>
      <c r="Z9">
        <v>2035</v>
      </c>
      <c r="AB9" s="3"/>
      <c r="AC9" s="3"/>
      <c r="AD9" s="3">
        <v>24</v>
      </c>
      <c r="AE9" s="16">
        <v>0.05</v>
      </c>
    </row>
    <row r="10" spans="1:32">
      <c r="A10">
        <v>16</v>
      </c>
      <c r="B10">
        <v>35</v>
      </c>
      <c r="C10" s="3">
        <v>60</v>
      </c>
      <c r="D10" s="3"/>
      <c r="I10">
        <v>7</v>
      </c>
      <c r="K10">
        <v>2029</v>
      </c>
      <c r="M10" s="13">
        <v>2.5000000000000001E-2</v>
      </c>
      <c r="N10">
        <v>16</v>
      </c>
      <c r="O10" s="16">
        <v>0.06</v>
      </c>
      <c r="P10" s="13">
        <v>1.4999999999999999E-2</v>
      </c>
      <c r="Q10" s="13">
        <v>1.4999999999999999E-2</v>
      </c>
      <c r="R10" s="16">
        <v>0.06</v>
      </c>
      <c r="V10" t="s">
        <v>322</v>
      </c>
      <c r="W10" t="s">
        <v>324</v>
      </c>
      <c r="Z10">
        <v>2036</v>
      </c>
      <c r="AB10" s="3"/>
      <c r="AC10" s="3"/>
      <c r="AD10" s="3">
        <v>28</v>
      </c>
      <c r="AE10" s="16">
        <v>0.06</v>
      </c>
    </row>
    <row r="11" spans="1:32">
      <c r="A11">
        <v>17</v>
      </c>
      <c r="B11">
        <v>40</v>
      </c>
      <c r="C11" s="3">
        <v>70</v>
      </c>
      <c r="D11" s="3"/>
      <c r="I11">
        <v>8</v>
      </c>
      <c r="K11">
        <v>2030</v>
      </c>
      <c r="M11" s="13">
        <v>2.75E-2</v>
      </c>
      <c r="N11">
        <v>17</v>
      </c>
      <c r="O11" s="16">
        <v>7.0000000000000007E-2</v>
      </c>
      <c r="P11" s="13">
        <v>1.7500000000000002E-2</v>
      </c>
      <c r="Q11" s="13">
        <v>1.7500000000000002E-2</v>
      </c>
      <c r="R11" s="16">
        <v>7.0000000000000007E-2</v>
      </c>
      <c r="V11" t="s">
        <v>323</v>
      </c>
      <c r="W11" t="s">
        <v>325</v>
      </c>
      <c r="Z11">
        <v>2037</v>
      </c>
      <c r="AB11" s="3"/>
      <c r="AC11" s="3"/>
      <c r="AD11" s="3">
        <v>32</v>
      </c>
      <c r="AE11" s="16">
        <v>7.0000000000000007E-2</v>
      </c>
    </row>
    <row r="12" spans="1:32">
      <c r="A12">
        <v>18</v>
      </c>
      <c r="B12">
        <v>45</v>
      </c>
      <c r="C12" s="3">
        <v>80</v>
      </c>
      <c r="D12" s="3"/>
      <c r="I12">
        <v>9</v>
      </c>
      <c r="K12">
        <v>2031</v>
      </c>
      <c r="M12" s="13">
        <v>0.03</v>
      </c>
      <c r="N12">
        <v>18</v>
      </c>
      <c r="O12" s="16">
        <v>0.08</v>
      </c>
      <c r="P12" s="13">
        <v>0.02</v>
      </c>
      <c r="Q12" s="13">
        <v>0.02</v>
      </c>
      <c r="R12" s="16">
        <v>0.08</v>
      </c>
      <c r="V12" t="s">
        <v>324</v>
      </c>
      <c r="W12" t="s">
        <v>327</v>
      </c>
      <c r="Z12">
        <v>2038</v>
      </c>
      <c r="AB12" s="3"/>
      <c r="AC12" s="3"/>
      <c r="AD12" s="3">
        <v>36</v>
      </c>
      <c r="AE12" s="16">
        <v>0.08</v>
      </c>
    </row>
    <row r="13" spans="1:32">
      <c r="A13">
        <v>19</v>
      </c>
      <c r="B13">
        <v>50</v>
      </c>
      <c r="C13" s="3">
        <v>90</v>
      </c>
      <c r="D13" s="3"/>
      <c r="I13">
        <v>10</v>
      </c>
      <c r="K13">
        <v>2032</v>
      </c>
      <c r="M13" s="13">
        <v>3.2500000000000001E-2</v>
      </c>
      <c r="N13">
        <v>19</v>
      </c>
      <c r="O13" s="16">
        <v>0.09</v>
      </c>
      <c r="P13" s="13">
        <v>2.2499999999999999E-2</v>
      </c>
      <c r="Q13" s="13">
        <v>2.2499999999999999E-2</v>
      </c>
      <c r="R13" s="16">
        <v>0.09</v>
      </c>
      <c r="V13" t="s">
        <v>325</v>
      </c>
      <c r="W13" t="s">
        <v>208</v>
      </c>
      <c r="Z13">
        <v>2039</v>
      </c>
      <c r="AB13" s="3"/>
      <c r="AC13" s="3"/>
      <c r="AD13" s="3">
        <v>40</v>
      </c>
      <c r="AE13" s="16">
        <v>0.09</v>
      </c>
    </row>
    <row r="14" spans="1:32">
      <c r="A14">
        <v>20</v>
      </c>
      <c r="B14">
        <v>55</v>
      </c>
      <c r="C14">
        <f t="shared" ref="C14:C36" si="0">C5*10</f>
        <v>100</v>
      </c>
      <c r="I14">
        <v>11</v>
      </c>
      <c r="K14">
        <v>2033</v>
      </c>
      <c r="M14" s="13">
        <v>3.5000000000000003E-2</v>
      </c>
      <c r="N14">
        <v>20</v>
      </c>
      <c r="O14" s="16">
        <v>0.1</v>
      </c>
      <c r="P14" s="13">
        <v>2.5000000000000001E-2</v>
      </c>
      <c r="Q14" s="13">
        <v>2.5000000000000001E-2</v>
      </c>
      <c r="R14" s="16">
        <v>0.1</v>
      </c>
      <c r="V14" t="s">
        <v>326</v>
      </c>
      <c r="W14" t="s">
        <v>207</v>
      </c>
      <c r="Z14">
        <v>2040</v>
      </c>
      <c r="AB14" s="3"/>
      <c r="AC14" s="3"/>
      <c r="AD14" s="3">
        <v>44</v>
      </c>
      <c r="AE14" s="16">
        <v>0.1</v>
      </c>
    </row>
    <row r="15" spans="1:32">
      <c r="A15">
        <v>21</v>
      </c>
      <c r="B15">
        <v>60</v>
      </c>
      <c r="C15">
        <f t="shared" si="0"/>
        <v>200</v>
      </c>
      <c r="I15">
        <v>12</v>
      </c>
      <c r="K15">
        <v>2034</v>
      </c>
      <c r="M15" s="13">
        <v>3.7499999999999999E-2</v>
      </c>
      <c r="N15">
        <v>21</v>
      </c>
      <c r="O15" s="16">
        <v>0.11</v>
      </c>
      <c r="P15" s="13">
        <v>2.75E-2</v>
      </c>
      <c r="Q15" s="13">
        <v>2.75E-2</v>
      </c>
      <c r="R15" s="16">
        <v>0.11</v>
      </c>
      <c r="V15" t="s">
        <v>327</v>
      </c>
      <c r="W15" t="s">
        <v>209</v>
      </c>
      <c r="Z15">
        <v>2041</v>
      </c>
      <c r="AB15" s="3"/>
      <c r="AC15" s="3"/>
      <c r="AD15" s="3">
        <v>48</v>
      </c>
      <c r="AE15" s="16">
        <v>0.11</v>
      </c>
    </row>
    <row r="16" spans="1:32">
      <c r="A16">
        <v>22</v>
      </c>
      <c r="B16">
        <v>65</v>
      </c>
      <c r="C16">
        <f t="shared" si="0"/>
        <v>300</v>
      </c>
      <c r="I16">
        <v>13</v>
      </c>
      <c r="K16">
        <v>2035</v>
      </c>
      <c r="M16" s="13">
        <v>0.04</v>
      </c>
      <c r="N16">
        <v>22</v>
      </c>
      <c r="O16" s="16">
        <v>0.12</v>
      </c>
      <c r="P16" s="13">
        <v>0.03</v>
      </c>
      <c r="Q16" s="13">
        <v>0.03</v>
      </c>
      <c r="R16" s="16">
        <v>0.12</v>
      </c>
      <c r="V16" t="s">
        <v>208</v>
      </c>
      <c r="W16" t="s">
        <v>328</v>
      </c>
      <c r="Z16">
        <v>2042</v>
      </c>
      <c r="AB16" s="3"/>
      <c r="AC16" s="3"/>
      <c r="AD16" s="3">
        <v>52</v>
      </c>
      <c r="AE16" s="16">
        <v>0.12</v>
      </c>
    </row>
    <row r="17" spans="1:31">
      <c r="A17">
        <v>23</v>
      </c>
      <c r="B17">
        <v>70</v>
      </c>
      <c r="C17">
        <f t="shared" si="0"/>
        <v>400</v>
      </c>
      <c r="I17">
        <v>14</v>
      </c>
      <c r="K17">
        <v>2036</v>
      </c>
      <c r="M17" s="13">
        <v>4.2500000000000003E-2</v>
      </c>
      <c r="O17" s="16">
        <v>0.13</v>
      </c>
      <c r="P17" s="13">
        <v>3.2500000000000001E-2</v>
      </c>
      <c r="Q17" s="13">
        <v>3.2500000000000001E-2</v>
      </c>
      <c r="R17" s="16">
        <v>0.13</v>
      </c>
      <c r="V17" t="s">
        <v>207</v>
      </c>
      <c r="W17" t="s">
        <v>329</v>
      </c>
      <c r="Z17">
        <v>2043</v>
      </c>
      <c r="AB17" s="3"/>
      <c r="AC17" s="3"/>
      <c r="AD17" s="3">
        <v>56</v>
      </c>
      <c r="AE17" s="16">
        <v>0.13</v>
      </c>
    </row>
    <row r="18" spans="1:31">
      <c r="A18">
        <v>24</v>
      </c>
      <c r="B18">
        <v>75</v>
      </c>
      <c r="C18">
        <f t="shared" si="0"/>
        <v>500</v>
      </c>
      <c r="I18">
        <v>15</v>
      </c>
      <c r="K18">
        <v>2037</v>
      </c>
      <c r="M18" s="13">
        <v>4.4999999999999998E-2</v>
      </c>
      <c r="O18" s="16">
        <v>0.14000000000000001</v>
      </c>
      <c r="P18" s="13">
        <v>3.5000000000000003E-2</v>
      </c>
      <c r="Q18" s="13">
        <v>3.5000000000000003E-2</v>
      </c>
      <c r="R18" s="16">
        <v>0.14000000000000001</v>
      </c>
      <c r="V18" t="s">
        <v>209</v>
      </c>
      <c r="W18" t="s">
        <v>204</v>
      </c>
      <c r="Z18">
        <v>2044</v>
      </c>
      <c r="AB18" s="3"/>
      <c r="AC18" s="3"/>
      <c r="AD18" s="3">
        <v>60</v>
      </c>
      <c r="AE18" s="16">
        <v>0.14000000000000001</v>
      </c>
    </row>
    <row r="19" spans="1:31">
      <c r="A19">
        <v>25</v>
      </c>
      <c r="B19">
        <v>80</v>
      </c>
      <c r="C19">
        <f t="shared" si="0"/>
        <v>600</v>
      </c>
      <c r="I19">
        <v>16</v>
      </c>
      <c r="K19">
        <v>2038</v>
      </c>
      <c r="M19" s="13">
        <v>4.7500000000000001E-2</v>
      </c>
      <c r="O19" s="16">
        <v>0.15</v>
      </c>
      <c r="P19" s="13">
        <v>3.7499999999999999E-2</v>
      </c>
      <c r="Q19" s="13">
        <v>3.7499999999999999E-2</v>
      </c>
      <c r="R19" s="16">
        <v>0.15</v>
      </c>
      <c r="V19" t="s">
        <v>328</v>
      </c>
      <c r="W19" t="s">
        <v>330</v>
      </c>
      <c r="Z19">
        <v>2045</v>
      </c>
      <c r="AB19" s="3"/>
      <c r="AC19" s="3"/>
      <c r="AD19" s="3">
        <v>64</v>
      </c>
      <c r="AE19" s="16">
        <v>0.15</v>
      </c>
    </row>
    <row r="20" spans="1:31">
      <c r="A20">
        <v>26</v>
      </c>
      <c r="B20">
        <v>85</v>
      </c>
      <c r="C20">
        <f t="shared" si="0"/>
        <v>700</v>
      </c>
      <c r="I20">
        <v>17</v>
      </c>
      <c r="K20">
        <v>2039</v>
      </c>
      <c r="M20" s="13">
        <v>0.05</v>
      </c>
      <c r="O20" s="16">
        <v>0.16</v>
      </c>
      <c r="P20" s="13">
        <v>0.04</v>
      </c>
      <c r="Q20" s="13">
        <v>0.04</v>
      </c>
      <c r="R20" s="16">
        <v>0.16</v>
      </c>
      <c r="V20" t="s">
        <v>329</v>
      </c>
      <c r="W20" t="s">
        <v>331</v>
      </c>
      <c r="Z20">
        <v>2046</v>
      </c>
      <c r="AB20" s="3"/>
      <c r="AC20" s="3"/>
      <c r="AD20" s="3">
        <v>68</v>
      </c>
      <c r="AE20" s="16">
        <v>0.16</v>
      </c>
    </row>
    <row r="21" spans="1:31">
      <c r="A21">
        <v>27</v>
      </c>
      <c r="B21">
        <v>90</v>
      </c>
      <c r="C21">
        <f t="shared" si="0"/>
        <v>800</v>
      </c>
      <c r="I21">
        <v>18</v>
      </c>
      <c r="K21">
        <v>2040</v>
      </c>
      <c r="M21" s="13">
        <v>5.2499999999999998E-2</v>
      </c>
      <c r="O21" s="16">
        <v>0.17</v>
      </c>
      <c r="P21" s="13">
        <v>4.2500000000000003E-2</v>
      </c>
      <c r="Q21" s="13">
        <v>4.2500000000000003E-2</v>
      </c>
      <c r="R21" s="16">
        <v>0.17</v>
      </c>
      <c r="V21" t="s">
        <v>204</v>
      </c>
      <c r="W21" t="s">
        <v>332</v>
      </c>
      <c r="Z21">
        <v>2047</v>
      </c>
      <c r="AB21" s="3"/>
      <c r="AC21" s="3"/>
      <c r="AD21" s="3">
        <v>72</v>
      </c>
      <c r="AE21" s="16">
        <v>0.17</v>
      </c>
    </row>
    <row r="22" spans="1:31">
      <c r="A22">
        <v>28</v>
      </c>
      <c r="B22">
        <v>95</v>
      </c>
      <c r="C22">
        <f t="shared" si="0"/>
        <v>900</v>
      </c>
      <c r="I22">
        <v>19</v>
      </c>
      <c r="K22">
        <v>2041</v>
      </c>
      <c r="M22" s="13">
        <v>5.5E-2</v>
      </c>
      <c r="O22" s="16">
        <v>0.18</v>
      </c>
      <c r="P22" s="13">
        <v>4.4999999999999998E-2</v>
      </c>
      <c r="Q22" s="13">
        <v>4.4999999999999998E-2</v>
      </c>
      <c r="R22" s="16">
        <v>0.18</v>
      </c>
      <c r="V22" t="s">
        <v>330</v>
      </c>
      <c r="W22" t="s">
        <v>333</v>
      </c>
      <c r="Z22">
        <v>2048</v>
      </c>
      <c r="AB22" s="3"/>
      <c r="AC22" s="3"/>
      <c r="AD22" s="3">
        <v>76</v>
      </c>
      <c r="AE22" s="16">
        <v>0.18</v>
      </c>
    </row>
    <row r="23" spans="1:31">
      <c r="A23">
        <v>29</v>
      </c>
      <c r="B23">
        <v>100</v>
      </c>
      <c r="C23">
        <f t="shared" si="0"/>
        <v>1000</v>
      </c>
      <c r="D23" s="16"/>
      <c r="I23">
        <v>20</v>
      </c>
      <c r="K23">
        <v>2042</v>
      </c>
      <c r="M23" s="13">
        <v>5.7500000000000002E-2</v>
      </c>
      <c r="O23" s="16">
        <v>0.19</v>
      </c>
      <c r="P23" s="13">
        <v>4.7500000000000001E-2</v>
      </c>
      <c r="Q23" s="13">
        <v>4.7500000000000001E-2</v>
      </c>
      <c r="R23" s="16">
        <v>0.19</v>
      </c>
      <c r="V23" t="s">
        <v>331</v>
      </c>
      <c r="W23" t="s">
        <v>334</v>
      </c>
      <c r="Z23">
        <v>2049</v>
      </c>
      <c r="AB23" s="3"/>
      <c r="AC23" s="3"/>
      <c r="AD23" s="3">
        <v>80</v>
      </c>
      <c r="AE23" s="16">
        <v>0.19</v>
      </c>
    </row>
    <row r="24" spans="1:31">
      <c r="A24">
        <v>30</v>
      </c>
      <c r="B24">
        <v>105</v>
      </c>
      <c r="C24">
        <f t="shared" si="0"/>
        <v>2000</v>
      </c>
      <c r="I24">
        <v>21</v>
      </c>
      <c r="K24">
        <v>2043</v>
      </c>
      <c r="M24" s="13">
        <v>0.06</v>
      </c>
      <c r="O24" s="16">
        <v>0.2</v>
      </c>
      <c r="P24" s="13">
        <v>0.05</v>
      </c>
      <c r="Q24" s="13">
        <v>0.05</v>
      </c>
      <c r="R24" s="16">
        <v>0.2</v>
      </c>
      <c r="V24" t="s">
        <v>332</v>
      </c>
      <c r="W24" t="s">
        <v>205</v>
      </c>
      <c r="Z24">
        <v>2050</v>
      </c>
      <c r="AB24" s="3"/>
      <c r="AC24" s="3"/>
      <c r="AD24" s="3">
        <v>84</v>
      </c>
      <c r="AE24" s="16">
        <v>0.2</v>
      </c>
    </row>
    <row r="25" spans="1:31">
      <c r="A25">
        <v>31</v>
      </c>
      <c r="B25">
        <v>110</v>
      </c>
      <c r="C25">
        <f t="shared" si="0"/>
        <v>3000</v>
      </c>
      <c r="I25">
        <v>22</v>
      </c>
      <c r="K25">
        <v>2044</v>
      </c>
      <c r="M25" s="13">
        <v>6.25E-2</v>
      </c>
      <c r="O25" s="16">
        <v>0.21</v>
      </c>
      <c r="P25" s="13">
        <v>5.2499999999999998E-2</v>
      </c>
      <c r="Q25" s="13">
        <v>5.2499999999999998E-2</v>
      </c>
      <c r="R25" s="16">
        <v>0.21</v>
      </c>
      <c r="V25" t="s">
        <v>333</v>
      </c>
      <c r="W25" t="s">
        <v>335</v>
      </c>
      <c r="Z25">
        <v>2051</v>
      </c>
      <c r="AB25" s="3"/>
      <c r="AC25" s="3"/>
      <c r="AD25" s="3">
        <v>88</v>
      </c>
      <c r="AE25" s="16">
        <v>0.21</v>
      </c>
    </row>
    <row r="26" spans="1:31">
      <c r="A26">
        <v>32</v>
      </c>
      <c r="B26">
        <v>115</v>
      </c>
      <c r="C26">
        <f t="shared" si="0"/>
        <v>4000</v>
      </c>
      <c r="I26">
        <v>23</v>
      </c>
      <c r="K26">
        <v>2045</v>
      </c>
      <c r="M26" s="13">
        <v>6.5000000000000002E-2</v>
      </c>
      <c r="O26" s="16">
        <v>0.22</v>
      </c>
      <c r="P26" s="13">
        <v>5.5E-2</v>
      </c>
      <c r="Q26" s="13">
        <v>5.5E-2</v>
      </c>
      <c r="R26" s="16">
        <v>0.22</v>
      </c>
      <c r="V26" t="s">
        <v>334</v>
      </c>
      <c r="W26" t="s">
        <v>336</v>
      </c>
      <c r="Z26">
        <v>2052</v>
      </c>
      <c r="AB26" s="3"/>
      <c r="AC26" s="3"/>
      <c r="AD26" s="3">
        <v>92</v>
      </c>
      <c r="AE26" s="16">
        <v>0.22</v>
      </c>
    </row>
    <row r="27" spans="1:31">
      <c r="A27">
        <v>33</v>
      </c>
      <c r="B27">
        <v>120</v>
      </c>
      <c r="C27">
        <f t="shared" si="0"/>
        <v>5000</v>
      </c>
      <c r="I27">
        <v>24</v>
      </c>
      <c r="K27">
        <v>2046</v>
      </c>
      <c r="M27" s="13">
        <v>6.7500000000000004E-2</v>
      </c>
      <c r="O27" s="16">
        <v>0.23</v>
      </c>
      <c r="P27" s="13">
        <v>5.7500000000000002E-2</v>
      </c>
      <c r="Q27" s="13">
        <v>5.7500000000000002E-2</v>
      </c>
      <c r="R27" s="16">
        <v>0.23</v>
      </c>
      <c r="V27" t="s">
        <v>205</v>
      </c>
      <c r="W27" t="s">
        <v>337</v>
      </c>
      <c r="Z27">
        <v>2053</v>
      </c>
      <c r="AB27" s="3"/>
      <c r="AC27" s="3"/>
      <c r="AD27" s="3">
        <v>96</v>
      </c>
      <c r="AE27" s="16">
        <v>0.23</v>
      </c>
    </row>
    <row r="28" spans="1:31">
      <c r="A28">
        <v>34</v>
      </c>
      <c r="B28">
        <v>125</v>
      </c>
      <c r="C28">
        <f t="shared" si="0"/>
        <v>6000</v>
      </c>
      <c r="I28">
        <v>25</v>
      </c>
      <c r="K28">
        <v>2047</v>
      </c>
      <c r="M28" s="13">
        <v>7.0000000000000007E-2</v>
      </c>
      <c r="O28" s="16">
        <v>0.24</v>
      </c>
      <c r="P28" s="13">
        <v>0.06</v>
      </c>
      <c r="Q28" s="13">
        <v>0.06</v>
      </c>
      <c r="R28" s="16">
        <v>0.24</v>
      </c>
      <c r="V28" t="s">
        <v>335</v>
      </c>
      <c r="W28" t="s">
        <v>338</v>
      </c>
      <c r="Z28">
        <v>2054</v>
      </c>
      <c r="AB28" s="3"/>
      <c r="AC28" s="3"/>
      <c r="AD28" s="3">
        <v>100</v>
      </c>
      <c r="AE28" s="16">
        <v>0.24</v>
      </c>
    </row>
    <row r="29" spans="1:31">
      <c r="A29">
        <v>35</v>
      </c>
      <c r="B29">
        <v>130</v>
      </c>
      <c r="C29">
        <f t="shared" si="0"/>
        <v>7000</v>
      </c>
      <c r="I29">
        <v>26</v>
      </c>
      <c r="K29">
        <v>2048</v>
      </c>
      <c r="M29" s="13">
        <v>7.2499999999999995E-2</v>
      </c>
      <c r="O29" s="16">
        <v>0.25</v>
      </c>
      <c r="P29" s="13">
        <v>6.25E-2</v>
      </c>
      <c r="Q29" s="13">
        <v>6.25E-2</v>
      </c>
      <c r="R29" s="16">
        <v>0.25</v>
      </c>
      <c r="V29" t="s">
        <v>336</v>
      </c>
      <c r="W29" t="s">
        <v>340</v>
      </c>
      <c r="Z29">
        <v>2055</v>
      </c>
      <c r="AB29" s="3"/>
      <c r="AC29" s="3"/>
      <c r="AD29" s="3">
        <v>104</v>
      </c>
      <c r="AE29" s="16">
        <v>0.25</v>
      </c>
    </row>
    <row r="30" spans="1:31">
      <c r="A30">
        <v>36</v>
      </c>
      <c r="B30">
        <v>135</v>
      </c>
      <c r="C30">
        <f t="shared" si="0"/>
        <v>8000</v>
      </c>
      <c r="I30">
        <v>27</v>
      </c>
      <c r="K30">
        <v>2049</v>
      </c>
      <c r="M30" s="13">
        <v>7.4999999999999997E-2</v>
      </c>
      <c r="O30" s="16">
        <v>0.26</v>
      </c>
      <c r="P30" s="13">
        <v>6.5000000000000002E-2</v>
      </c>
      <c r="Q30" s="13">
        <v>6.5000000000000002E-2</v>
      </c>
      <c r="R30" s="16">
        <v>0.26</v>
      </c>
      <c r="V30" t="s">
        <v>337</v>
      </c>
      <c r="W30" t="s">
        <v>341</v>
      </c>
      <c r="Z30">
        <v>2056</v>
      </c>
      <c r="AB30" s="3"/>
      <c r="AC30" s="3"/>
      <c r="AD30" s="3">
        <v>108</v>
      </c>
      <c r="AE30" s="16">
        <v>0.26</v>
      </c>
    </row>
    <row r="31" spans="1:31">
      <c r="A31">
        <v>37</v>
      </c>
      <c r="B31">
        <v>140</v>
      </c>
      <c r="C31">
        <f t="shared" si="0"/>
        <v>9000</v>
      </c>
      <c r="I31">
        <v>28</v>
      </c>
      <c r="K31">
        <v>2050</v>
      </c>
      <c r="M31" s="13">
        <v>7.7499999999999999E-2</v>
      </c>
      <c r="O31" s="16">
        <v>0.27</v>
      </c>
      <c r="P31" s="13">
        <v>6.7500000000000004E-2</v>
      </c>
      <c r="Q31" s="13">
        <v>6.7500000000000004E-2</v>
      </c>
      <c r="R31" s="16">
        <v>0.27</v>
      </c>
      <c r="V31" t="s">
        <v>338</v>
      </c>
      <c r="W31" t="s">
        <v>342</v>
      </c>
      <c r="Z31">
        <v>2057</v>
      </c>
      <c r="AB31" s="3"/>
      <c r="AC31" s="3"/>
      <c r="AD31" s="3">
        <v>112</v>
      </c>
      <c r="AE31" s="16">
        <v>0.27</v>
      </c>
    </row>
    <row r="32" spans="1:31">
      <c r="A32">
        <v>38</v>
      </c>
      <c r="B32">
        <v>145</v>
      </c>
      <c r="C32">
        <f t="shared" si="0"/>
        <v>10000</v>
      </c>
      <c r="I32">
        <v>29</v>
      </c>
      <c r="M32" s="13">
        <v>0.08</v>
      </c>
      <c r="O32" s="16">
        <v>0.28000000000000003</v>
      </c>
      <c r="P32" s="13">
        <v>7.0000000000000007E-2</v>
      </c>
      <c r="Q32" s="13">
        <v>7.0000000000000007E-2</v>
      </c>
      <c r="R32" s="16">
        <v>0.28000000000000003</v>
      </c>
      <c r="V32" t="s">
        <v>339</v>
      </c>
      <c r="W32" t="s">
        <v>343</v>
      </c>
      <c r="Z32">
        <v>2058</v>
      </c>
      <c r="AB32" s="3"/>
      <c r="AC32" s="3"/>
      <c r="AD32" s="3">
        <v>116</v>
      </c>
      <c r="AE32" s="16">
        <v>0.28000000000000003</v>
      </c>
    </row>
    <row r="33" spans="1:31">
      <c r="A33">
        <v>39</v>
      </c>
      <c r="B33">
        <v>150</v>
      </c>
      <c r="C33">
        <f t="shared" si="0"/>
        <v>20000</v>
      </c>
      <c r="I33">
        <v>30</v>
      </c>
      <c r="M33" s="13">
        <v>8.2500000000000004E-2</v>
      </c>
      <c r="O33" s="16">
        <v>0.28999999999999998</v>
      </c>
      <c r="P33" s="13">
        <v>7.2499999999999995E-2</v>
      </c>
      <c r="Q33" s="13">
        <v>7.2499999999999995E-2</v>
      </c>
      <c r="R33" s="16">
        <v>0.28999999999999998</v>
      </c>
      <c r="V33" t="s">
        <v>340</v>
      </c>
      <c r="W33" t="s">
        <v>344</v>
      </c>
      <c r="Z33">
        <v>2059</v>
      </c>
      <c r="AB33" s="3"/>
      <c r="AC33" s="3"/>
      <c r="AD33" s="3">
        <v>120</v>
      </c>
      <c r="AE33" s="16">
        <v>0.28999999999999998</v>
      </c>
    </row>
    <row r="34" spans="1:31">
      <c r="A34">
        <v>40</v>
      </c>
      <c r="B34">
        <v>155</v>
      </c>
      <c r="C34">
        <f t="shared" si="0"/>
        <v>30000</v>
      </c>
      <c r="I34">
        <v>31</v>
      </c>
      <c r="M34" s="13">
        <v>8.5000000000000006E-2</v>
      </c>
      <c r="O34" s="16">
        <v>0.3</v>
      </c>
      <c r="P34" s="13">
        <v>7.4999999999999997E-2</v>
      </c>
      <c r="Q34" s="13">
        <v>7.4999999999999997E-2</v>
      </c>
      <c r="R34" s="16">
        <v>0.3</v>
      </c>
      <c r="V34" t="s">
        <v>341</v>
      </c>
      <c r="W34" t="s">
        <v>345</v>
      </c>
      <c r="Z34">
        <v>2060</v>
      </c>
      <c r="AB34" s="3"/>
      <c r="AC34" s="3"/>
      <c r="AD34" s="3">
        <v>124</v>
      </c>
      <c r="AE34" s="16">
        <v>0.3</v>
      </c>
    </row>
    <row r="35" spans="1:31">
      <c r="A35">
        <v>41</v>
      </c>
      <c r="B35">
        <v>160</v>
      </c>
      <c r="C35">
        <f t="shared" si="0"/>
        <v>40000</v>
      </c>
      <c r="I35">
        <v>32</v>
      </c>
      <c r="M35" s="13">
        <v>8.7499999999999994E-2</v>
      </c>
      <c r="O35" s="16">
        <v>0.31</v>
      </c>
      <c r="P35" s="13">
        <v>7.7499999999999999E-2</v>
      </c>
      <c r="Q35" s="13">
        <v>7.7499999999999999E-2</v>
      </c>
      <c r="R35" s="16">
        <v>0.31</v>
      </c>
      <c r="V35" t="s">
        <v>342</v>
      </c>
      <c r="W35" t="s">
        <v>346</v>
      </c>
      <c r="Z35">
        <v>2061</v>
      </c>
      <c r="AB35" s="3"/>
      <c r="AC35" s="3"/>
      <c r="AD35" s="3">
        <v>128</v>
      </c>
      <c r="AE35" s="16">
        <v>0.31</v>
      </c>
    </row>
    <row r="36" spans="1:31">
      <c r="A36">
        <v>42</v>
      </c>
      <c r="B36">
        <v>165</v>
      </c>
      <c r="C36">
        <f t="shared" si="0"/>
        <v>50000</v>
      </c>
      <c r="I36">
        <v>33</v>
      </c>
      <c r="M36" s="13">
        <v>0.09</v>
      </c>
      <c r="O36" s="16">
        <v>0.32</v>
      </c>
      <c r="P36" s="13">
        <v>0.08</v>
      </c>
      <c r="Q36" s="13">
        <v>0.08</v>
      </c>
      <c r="R36" s="16">
        <v>0.32</v>
      </c>
      <c r="V36" t="s">
        <v>343</v>
      </c>
      <c r="W36" t="s">
        <v>347</v>
      </c>
      <c r="Z36">
        <v>2062</v>
      </c>
      <c r="AB36" s="3"/>
      <c r="AC36" s="3"/>
      <c r="AD36" s="3">
        <v>132</v>
      </c>
      <c r="AE36" s="16">
        <v>0.32</v>
      </c>
    </row>
    <row r="37" spans="1:31">
      <c r="A37">
        <v>43</v>
      </c>
      <c r="B37">
        <v>170</v>
      </c>
      <c r="I37">
        <v>34</v>
      </c>
      <c r="M37" s="13">
        <v>9.2499999999999999E-2</v>
      </c>
      <c r="O37" s="16">
        <v>0.33</v>
      </c>
      <c r="P37" s="13">
        <v>8.2500000000000004E-2</v>
      </c>
      <c r="Q37" s="13">
        <v>8.2500000000000004E-2</v>
      </c>
      <c r="R37" s="16">
        <v>0.33</v>
      </c>
      <c r="V37" t="s">
        <v>344</v>
      </c>
      <c r="W37" t="s">
        <v>348</v>
      </c>
      <c r="Z37">
        <v>2063</v>
      </c>
      <c r="AB37" s="3"/>
      <c r="AC37" s="3"/>
      <c r="AD37" s="3">
        <v>136</v>
      </c>
      <c r="AE37" s="16">
        <v>0.33</v>
      </c>
    </row>
    <row r="38" spans="1:31">
      <c r="A38">
        <v>44</v>
      </c>
      <c r="B38">
        <v>175</v>
      </c>
      <c r="I38">
        <v>35</v>
      </c>
      <c r="M38" s="13">
        <v>9.5000000000000001E-2</v>
      </c>
      <c r="O38" s="16">
        <v>0.34</v>
      </c>
      <c r="P38" s="13">
        <v>8.5000000000000006E-2</v>
      </c>
      <c r="Q38" s="13">
        <v>8.5000000000000006E-2</v>
      </c>
      <c r="R38" s="16">
        <v>0.34</v>
      </c>
      <c r="V38" t="s">
        <v>345</v>
      </c>
      <c r="W38" t="s">
        <v>350</v>
      </c>
      <c r="Z38">
        <v>2064</v>
      </c>
      <c r="AB38" s="3"/>
      <c r="AC38" s="3"/>
      <c r="AD38" s="3">
        <v>140</v>
      </c>
      <c r="AE38" s="16">
        <v>0.34</v>
      </c>
    </row>
    <row r="39" spans="1:31">
      <c r="A39">
        <v>45</v>
      </c>
      <c r="B39">
        <v>180</v>
      </c>
      <c r="I39">
        <v>36</v>
      </c>
      <c r="M39" s="13">
        <v>9.7500000000000003E-2</v>
      </c>
      <c r="O39" s="16">
        <v>0.35</v>
      </c>
      <c r="P39" s="13">
        <v>8.7499999999999994E-2</v>
      </c>
      <c r="Q39" s="13">
        <v>8.7499999999999994E-2</v>
      </c>
      <c r="R39" s="16">
        <v>0.35</v>
      </c>
      <c r="V39" t="s">
        <v>346</v>
      </c>
      <c r="W39" t="s">
        <v>351</v>
      </c>
      <c r="Z39">
        <v>2065</v>
      </c>
      <c r="AB39" s="3"/>
      <c r="AC39" s="3"/>
      <c r="AD39" s="3">
        <v>144</v>
      </c>
      <c r="AE39" s="16">
        <v>0.35</v>
      </c>
    </row>
    <row r="40" spans="1:31">
      <c r="A40">
        <v>46</v>
      </c>
      <c r="B40">
        <v>185</v>
      </c>
      <c r="I40">
        <v>37</v>
      </c>
      <c r="M40" s="13">
        <v>0.1</v>
      </c>
      <c r="O40" s="16">
        <v>0.36</v>
      </c>
      <c r="P40" s="13">
        <v>0.09</v>
      </c>
      <c r="Q40" s="13">
        <v>0.09</v>
      </c>
      <c r="R40" s="16">
        <v>0.36</v>
      </c>
      <c r="V40" t="s">
        <v>347</v>
      </c>
      <c r="W40" t="s">
        <v>352</v>
      </c>
      <c r="Z40">
        <v>2066</v>
      </c>
      <c r="AB40" s="3"/>
      <c r="AC40" s="3"/>
      <c r="AD40" s="3">
        <v>148</v>
      </c>
      <c r="AE40" s="16">
        <v>0.36</v>
      </c>
    </row>
    <row r="41" spans="1:31">
      <c r="A41">
        <v>47</v>
      </c>
      <c r="B41">
        <v>190</v>
      </c>
      <c r="I41">
        <v>38</v>
      </c>
      <c r="M41" s="13">
        <v>0.10249999999999999</v>
      </c>
      <c r="O41" s="16">
        <v>0.37</v>
      </c>
      <c r="P41" s="13">
        <v>9.2499999999999999E-2</v>
      </c>
      <c r="Q41" s="13">
        <v>9.2499999999999999E-2</v>
      </c>
      <c r="R41" s="16">
        <v>0.37</v>
      </c>
      <c r="V41" t="s">
        <v>348</v>
      </c>
      <c r="W41" t="s">
        <v>206</v>
      </c>
      <c r="Z41">
        <v>2067</v>
      </c>
      <c r="AB41" s="3"/>
      <c r="AC41" s="3"/>
      <c r="AD41" s="3">
        <v>152</v>
      </c>
      <c r="AE41" s="16">
        <v>0.37</v>
      </c>
    </row>
    <row r="42" spans="1:31">
      <c r="A42">
        <v>48</v>
      </c>
      <c r="B42">
        <v>195</v>
      </c>
      <c r="I42">
        <v>39</v>
      </c>
      <c r="M42" s="13">
        <v>0.105</v>
      </c>
      <c r="O42" s="16">
        <v>0.38</v>
      </c>
      <c r="P42" s="13">
        <v>9.5000000000000001E-2</v>
      </c>
      <c r="Q42" s="13">
        <v>9.5000000000000001E-2</v>
      </c>
      <c r="R42" s="16">
        <v>0.38</v>
      </c>
      <c r="V42" t="s">
        <v>349</v>
      </c>
      <c r="W42" t="s">
        <v>353</v>
      </c>
      <c r="Z42">
        <v>2068</v>
      </c>
      <c r="AB42" s="3"/>
      <c r="AC42" s="3"/>
      <c r="AD42" s="3">
        <v>156</v>
      </c>
      <c r="AE42" s="16">
        <v>0.38</v>
      </c>
    </row>
    <row r="43" spans="1:31">
      <c r="A43">
        <v>49</v>
      </c>
      <c r="B43">
        <v>200</v>
      </c>
      <c r="I43">
        <v>40</v>
      </c>
      <c r="M43" s="13">
        <v>0.1075</v>
      </c>
      <c r="O43" s="16">
        <v>0.39</v>
      </c>
      <c r="P43" s="13">
        <v>9.7500000000000003E-2</v>
      </c>
      <c r="Q43" s="13">
        <v>9.7500000000000003E-2</v>
      </c>
      <c r="R43" s="16">
        <v>0.39</v>
      </c>
      <c r="V43" t="s">
        <v>350</v>
      </c>
      <c r="W43" t="s">
        <v>354</v>
      </c>
      <c r="Z43">
        <v>2069</v>
      </c>
      <c r="AB43" s="3"/>
      <c r="AC43" s="3"/>
      <c r="AD43" s="3">
        <v>160</v>
      </c>
      <c r="AE43" s="16">
        <v>0.39</v>
      </c>
    </row>
    <row r="44" spans="1:31">
      <c r="A44">
        <v>50</v>
      </c>
      <c r="B44">
        <v>205</v>
      </c>
      <c r="I44">
        <v>41</v>
      </c>
      <c r="M44" s="13">
        <v>0.11</v>
      </c>
      <c r="O44" s="16">
        <v>0.4</v>
      </c>
      <c r="P44" s="13">
        <v>0.1</v>
      </c>
      <c r="Q44" s="13">
        <v>0.1</v>
      </c>
      <c r="R44" s="16">
        <v>0.4</v>
      </c>
      <c r="V44" t="s">
        <v>351</v>
      </c>
      <c r="W44" t="s">
        <v>355</v>
      </c>
      <c r="Z44">
        <v>2070</v>
      </c>
      <c r="AB44" s="3"/>
      <c r="AC44" s="3"/>
      <c r="AD44" s="3">
        <v>164</v>
      </c>
      <c r="AE44" s="16">
        <v>0.4</v>
      </c>
    </row>
    <row r="45" spans="1:31">
      <c r="A45">
        <v>51</v>
      </c>
      <c r="B45">
        <v>210</v>
      </c>
      <c r="I45">
        <v>42</v>
      </c>
      <c r="M45" s="13">
        <v>0.1125</v>
      </c>
      <c r="O45" s="16">
        <v>0.41</v>
      </c>
      <c r="P45" s="13">
        <v>0.10249999999999999</v>
      </c>
      <c r="Q45" s="13">
        <v>0.10249999999999999</v>
      </c>
      <c r="R45" s="16">
        <v>0.41</v>
      </c>
      <c r="V45" t="s">
        <v>352</v>
      </c>
      <c r="W45" t="s">
        <v>356</v>
      </c>
      <c r="Z45">
        <v>2071</v>
      </c>
      <c r="AB45" s="3"/>
      <c r="AC45" s="3"/>
      <c r="AD45" s="3">
        <v>168</v>
      </c>
      <c r="AE45" s="16">
        <v>0.41</v>
      </c>
    </row>
    <row r="46" spans="1:31">
      <c r="A46">
        <v>52</v>
      </c>
      <c r="B46">
        <v>215</v>
      </c>
      <c r="I46">
        <v>43</v>
      </c>
      <c r="M46" s="13">
        <v>0.115</v>
      </c>
      <c r="O46" s="16">
        <v>0.42</v>
      </c>
      <c r="P46" s="13">
        <v>0.105</v>
      </c>
      <c r="Q46" s="13">
        <v>0.105</v>
      </c>
      <c r="R46" s="16">
        <v>0.42</v>
      </c>
      <c r="V46" t="s">
        <v>206</v>
      </c>
      <c r="W46" t="s">
        <v>357</v>
      </c>
      <c r="Z46">
        <v>2072</v>
      </c>
      <c r="AB46" s="3"/>
      <c r="AC46" s="3"/>
      <c r="AD46" s="3">
        <v>172</v>
      </c>
      <c r="AE46" s="16">
        <v>0.42</v>
      </c>
    </row>
    <row r="47" spans="1:31">
      <c r="A47">
        <v>53</v>
      </c>
      <c r="B47">
        <v>220</v>
      </c>
      <c r="I47">
        <v>44</v>
      </c>
      <c r="M47" s="13">
        <v>0.11749999999999999</v>
      </c>
      <c r="O47" s="16">
        <v>0.43</v>
      </c>
      <c r="P47" s="13">
        <v>0.1075</v>
      </c>
      <c r="Q47" s="13">
        <v>0.1075</v>
      </c>
      <c r="R47" s="16">
        <v>0.43</v>
      </c>
      <c r="V47" t="s">
        <v>353</v>
      </c>
      <c r="W47" t="s">
        <v>358</v>
      </c>
      <c r="Z47">
        <v>2073</v>
      </c>
      <c r="AB47" s="3"/>
      <c r="AC47" s="3"/>
      <c r="AD47" s="3">
        <v>176</v>
      </c>
      <c r="AE47" s="16">
        <v>0.43</v>
      </c>
    </row>
    <row r="48" spans="1:31">
      <c r="A48">
        <v>54</v>
      </c>
      <c r="B48">
        <v>225</v>
      </c>
      <c r="I48">
        <v>45</v>
      </c>
      <c r="M48" s="13">
        <v>0.12</v>
      </c>
      <c r="O48" s="16">
        <v>0.44</v>
      </c>
      <c r="P48" s="13">
        <v>0.11</v>
      </c>
      <c r="Q48" s="13">
        <v>0.11</v>
      </c>
      <c r="R48" s="16">
        <v>0.44</v>
      </c>
      <c r="V48" t="s">
        <v>354</v>
      </c>
      <c r="W48" t="s">
        <v>359</v>
      </c>
      <c r="Z48">
        <v>2074</v>
      </c>
      <c r="AB48" s="3"/>
      <c r="AC48" s="3"/>
      <c r="AD48" s="3">
        <v>180</v>
      </c>
      <c r="AE48" s="16">
        <v>0.44</v>
      </c>
    </row>
    <row r="49" spans="1:31">
      <c r="A49">
        <v>55</v>
      </c>
      <c r="B49">
        <v>230</v>
      </c>
      <c r="I49">
        <v>46</v>
      </c>
      <c r="M49" s="13">
        <v>0.1225</v>
      </c>
      <c r="O49" s="16">
        <v>0.45</v>
      </c>
      <c r="P49" s="13">
        <v>0.1125</v>
      </c>
      <c r="Q49" s="13">
        <v>0.1125</v>
      </c>
      <c r="R49" s="16">
        <v>0.45</v>
      </c>
      <c r="V49" t="s">
        <v>355</v>
      </c>
      <c r="Z49">
        <v>2075</v>
      </c>
      <c r="AB49" s="3"/>
      <c r="AC49" s="3"/>
      <c r="AD49" s="3">
        <v>184</v>
      </c>
      <c r="AE49" s="16">
        <v>0.45</v>
      </c>
    </row>
    <row r="50" spans="1:31">
      <c r="A50">
        <v>56</v>
      </c>
      <c r="B50">
        <v>235</v>
      </c>
      <c r="I50">
        <v>47</v>
      </c>
      <c r="M50" s="13">
        <v>0.125</v>
      </c>
      <c r="O50" s="16">
        <v>0.46</v>
      </c>
      <c r="P50" s="13">
        <v>0.115</v>
      </c>
      <c r="Q50" s="13">
        <v>0.115</v>
      </c>
      <c r="R50" s="16">
        <v>0.46</v>
      </c>
      <c r="V50" t="s">
        <v>356</v>
      </c>
      <c r="Z50">
        <v>2076</v>
      </c>
      <c r="AB50" s="3"/>
      <c r="AC50" s="3"/>
      <c r="AD50" s="3">
        <v>188</v>
      </c>
      <c r="AE50" s="16">
        <v>0.46</v>
      </c>
    </row>
    <row r="51" spans="1:31">
      <c r="A51">
        <v>57</v>
      </c>
      <c r="B51">
        <v>240</v>
      </c>
      <c r="I51">
        <v>48</v>
      </c>
      <c r="M51" s="13">
        <v>0.1275</v>
      </c>
      <c r="O51" s="16">
        <v>0.47</v>
      </c>
      <c r="P51" s="13">
        <v>0.11749999999999999</v>
      </c>
      <c r="Q51" s="13">
        <v>0.11749999999999999</v>
      </c>
      <c r="R51" s="16">
        <v>0.47</v>
      </c>
      <c r="V51" t="s">
        <v>357</v>
      </c>
      <c r="Z51">
        <v>2077</v>
      </c>
      <c r="AB51" s="3"/>
      <c r="AC51" s="3"/>
      <c r="AD51" s="3">
        <v>192</v>
      </c>
      <c r="AE51" s="16">
        <v>0.47</v>
      </c>
    </row>
    <row r="52" spans="1:31">
      <c r="A52">
        <v>58</v>
      </c>
      <c r="B52">
        <v>245</v>
      </c>
      <c r="I52">
        <v>49</v>
      </c>
      <c r="M52" s="13">
        <v>0.13</v>
      </c>
      <c r="O52" s="16">
        <v>0.48</v>
      </c>
      <c r="P52" s="13">
        <v>0.12</v>
      </c>
      <c r="Q52" s="13">
        <v>0.12</v>
      </c>
      <c r="R52" s="16">
        <v>0.48</v>
      </c>
      <c r="V52" t="s">
        <v>358</v>
      </c>
      <c r="Z52">
        <v>2078</v>
      </c>
      <c r="AB52" s="3"/>
      <c r="AC52" s="3"/>
      <c r="AD52" s="3">
        <v>196</v>
      </c>
      <c r="AE52" s="16">
        <v>0.48</v>
      </c>
    </row>
    <row r="53" spans="1:31">
      <c r="A53">
        <v>59</v>
      </c>
      <c r="B53">
        <v>250</v>
      </c>
      <c r="I53">
        <v>50</v>
      </c>
      <c r="M53" s="13">
        <v>0.13250000000000001</v>
      </c>
      <c r="O53" s="16">
        <v>0.49</v>
      </c>
      <c r="P53" s="13">
        <v>0.1225</v>
      </c>
      <c r="Q53" s="13">
        <v>0.1225</v>
      </c>
      <c r="R53" s="16">
        <v>0.49</v>
      </c>
      <c r="V53" t="s">
        <v>359</v>
      </c>
      <c r="Z53">
        <v>2079</v>
      </c>
      <c r="AB53" s="3"/>
      <c r="AC53" s="3"/>
      <c r="AD53" s="3">
        <v>200</v>
      </c>
      <c r="AE53" s="16">
        <v>0.49</v>
      </c>
    </row>
    <row r="54" spans="1:31">
      <c r="A54">
        <v>60</v>
      </c>
      <c r="B54">
        <v>255</v>
      </c>
      <c r="M54" s="13">
        <v>0.13500000000000001</v>
      </c>
      <c r="O54" s="16">
        <v>0.5</v>
      </c>
      <c r="P54" s="13">
        <v>0.125</v>
      </c>
      <c r="Q54" s="13">
        <v>0.125</v>
      </c>
      <c r="R54" s="16">
        <v>0.5</v>
      </c>
      <c r="Z54">
        <v>2080</v>
      </c>
      <c r="AB54" s="3"/>
      <c r="AC54" s="3"/>
      <c r="AD54" s="3">
        <v>204</v>
      </c>
      <c r="AE54" s="16">
        <v>0.5</v>
      </c>
    </row>
    <row r="55" spans="1:31">
      <c r="A55">
        <v>61</v>
      </c>
      <c r="B55">
        <v>260</v>
      </c>
      <c r="M55" s="13">
        <v>0.13750000000000001</v>
      </c>
      <c r="O55" s="16">
        <v>0.51</v>
      </c>
      <c r="P55" s="13">
        <v>0.1275</v>
      </c>
      <c r="Q55" s="13">
        <v>0.1275</v>
      </c>
      <c r="R55" s="16">
        <v>0.51</v>
      </c>
      <c r="Z55">
        <v>2081</v>
      </c>
      <c r="AB55" s="3"/>
      <c r="AC55" s="3"/>
      <c r="AD55" s="3">
        <v>208</v>
      </c>
      <c r="AE55" s="16">
        <v>0.51</v>
      </c>
    </row>
    <row r="56" spans="1:31">
      <c r="A56">
        <v>62</v>
      </c>
      <c r="B56">
        <v>265</v>
      </c>
      <c r="M56" s="13">
        <v>0.14000000000000001</v>
      </c>
      <c r="O56" s="16">
        <v>0.52</v>
      </c>
      <c r="P56" s="13">
        <v>0.13</v>
      </c>
      <c r="Q56" s="13">
        <v>0.13</v>
      </c>
      <c r="R56" s="16">
        <v>0.52</v>
      </c>
      <c r="Z56">
        <v>2082</v>
      </c>
      <c r="AB56" s="3"/>
      <c r="AC56" s="3"/>
      <c r="AD56" s="3">
        <v>212</v>
      </c>
      <c r="AE56" s="16">
        <v>0.52</v>
      </c>
    </row>
    <row r="57" spans="1:31">
      <c r="A57">
        <v>63</v>
      </c>
      <c r="B57">
        <v>270</v>
      </c>
      <c r="M57" s="13">
        <v>0.14249999999999999</v>
      </c>
      <c r="O57" s="16">
        <v>0.53</v>
      </c>
      <c r="P57" s="13">
        <v>0.13250000000000001</v>
      </c>
      <c r="Q57" s="13">
        <v>0.13250000000000001</v>
      </c>
      <c r="R57" s="16">
        <v>0.53</v>
      </c>
      <c r="Z57">
        <v>2083</v>
      </c>
      <c r="AB57" s="3"/>
      <c r="AC57" s="3"/>
      <c r="AD57" s="3">
        <v>216</v>
      </c>
      <c r="AE57" s="16">
        <v>0.53</v>
      </c>
    </row>
    <row r="58" spans="1:31">
      <c r="A58">
        <v>64</v>
      </c>
      <c r="B58">
        <v>275</v>
      </c>
      <c r="M58" s="13">
        <v>0.14499999999999999</v>
      </c>
      <c r="O58" s="16">
        <v>0.54</v>
      </c>
      <c r="P58" s="13">
        <v>0.13500000000000001</v>
      </c>
      <c r="Q58" s="13">
        <v>0.13500000000000001</v>
      </c>
      <c r="R58" s="16">
        <v>0.54</v>
      </c>
      <c r="Z58">
        <v>2084</v>
      </c>
      <c r="AB58" s="3"/>
      <c r="AC58" s="3"/>
      <c r="AD58" s="3">
        <v>220</v>
      </c>
      <c r="AE58" s="16">
        <v>0.54</v>
      </c>
    </row>
    <row r="59" spans="1:31">
      <c r="A59">
        <v>65</v>
      </c>
      <c r="B59">
        <v>280</v>
      </c>
      <c r="M59" s="13">
        <v>0.14749999999999999</v>
      </c>
      <c r="O59" s="16">
        <v>0.55000000000000004</v>
      </c>
      <c r="P59" s="13">
        <v>0.13750000000000001</v>
      </c>
      <c r="Q59" s="13">
        <v>0.13750000000000001</v>
      </c>
      <c r="R59" s="16">
        <v>0.55000000000000004</v>
      </c>
      <c r="Z59">
        <v>2085</v>
      </c>
      <c r="AB59" s="3"/>
      <c r="AC59" s="3"/>
      <c r="AD59" s="3">
        <v>224</v>
      </c>
      <c r="AE59" s="16">
        <v>0.55000000000000004</v>
      </c>
    </row>
    <row r="60" spans="1:31">
      <c r="A60">
        <v>66</v>
      </c>
      <c r="B60">
        <v>285</v>
      </c>
      <c r="M60" s="13">
        <v>0.15</v>
      </c>
      <c r="O60" s="16">
        <v>0.56000000000000005</v>
      </c>
      <c r="P60" s="13">
        <v>0.14000000000000001</v>
      </c>
      <c r="Q60" s="13">
        <v>0.14000000000000001</v>
      </c>
      <c r="R60" s="16">
        <v>0.56000000000000005</v>
      </c>
      <c r="Z60">
        <v>2086</v>
      </c>
      <c r="AB60" s="3"/>
      <c r="AC60" s="3"/>
      <c r="AD60" s="3">
        <v>228</v>
      </c>
      <c r="AE60" s="16">
        <v>0.56000000000000005</v>
      </c>
    </row>
    <row r="61" spans="1:31">
      <c r="A61">
        <v>67</v>
      </c>
      <c r="B61">
        <v>290</v>
      </c>
      <c r="O61" s="16">
        <v>0.56999999999999995</v>
      </c>
      <c r="P61" s="13">
        <v>0.14249999999999999</v>
      </c>
      <c r="Q61" s="13">
        <v>0.14249999999999999</v>
      </c>
      <c r="R61" s="16">
        <v>0.56999999999999995</v>
      </c>
      <c r="Z61">
        <v>2087</v>
      </c>
      <c r="AB61" s="3"/>
      <c r="AC61" s="3"/>
      <c r="AD61" s="3">
        <v>232</v>
      </c>
      <c r="AE61" s="16">
        <v>0.56999999999999995</v>
      </c>
    </row>
    <row r="62" spans="1:31">
      <c r="A62">
        <v>68</v>
      </c>
      <c r="B62">
        <v>295</v>
      </c>
      <c r="O62" s="16">
        <v>0.57999999999999996</v>
      </c>
      <c r="P62" s="13">
        <v>0.14499999999999999</v>
      </c>
      <c r="Q62" s="13">
        <v>0.14499999999999999</v>
      </c>
      <c r="R62" s="16">
        <v>0.57999999999999996</v>
      </c>
      <c r="Z62">
        <v>2088</v>
      </c>
      <c r="AB62" s="3"/>
      <c r="AC62" s="3"/>
      <c r="AD62" s="3">
        <v>236</v>
      </c>
      <c r="AE62" s="16">
        <v>0.57999999999999996</v>
      </c>
    </row>
    <row r="63" spans="1:31">
      <c r="A63">
        <v>69</v>
      </c>
      <c r="B63">
        <v>300</v>
      </c>
      <c r="O63" s="16">
        <v>0.59</v>
      </c>
      <c r="P63" s="13">
        <v>0.14749999999999999</v>
      </c>
      <c r="Q63" s="13">
        <v>0.14749999999999999</v>
      </c>
      <c r="R63" s="16">
        <v>0.59</v>
      </c>
      <c r="Z63">
        <v>2089</v>
      </c>
      <c r="AB63" s="3"/>
      <c r="AC63" s="3"/>
      <c r="AD63" s="3">
        <v>240</v>
      </c>
      <c r="AE63" s="16">
        <v>0.59</v>
      </c>
    </row>
    <row r="64" spans="1:31">
      <c r="A64">
        <v>70</v>
      </c>
      <c r="B64">
        <v>305</v>
      </c>
      <c r="O64" s="16">
        <v>0.6</v>
      </c>
      <c r="P64" s="13">
        <v>0.15</v>
      </c>
      <c r="Q64" s="13">
        <v>0.15</v>
      </c>
      <c r="R64" s="16">
        <v>0.6</v>
      </c>
      <c r="Z64">
        <v>2090</v>
      </c>
      <c r="AB64" s="3"/>
      <c r="AC64" s="3"/>
      <c r="AD64" s="3">
        <v>244</v>
      </c>
      <c r="AE64" s="16">
        <v>0.6</v>
      </c>
    </row>
    <row r="65" spans="1:31">
      <c r="A65">
        <v>71</v>
      </c>
      <c r="B65">
        <v>310</v>
      </c>
      <c r="O65" s="16">
        <v>0.61</v>
      </c>
      <c r="P65" s="13">
        <v>0.1525</v>
      </c>
      <c r="Q65" s="13">
        <v>0.1525</v>
      </c>
      <c r="R65" s="16">
        <v>0.61</v>
      </c>
      <c r="Z65">
        <v>2091</v>
      </c>
      <c r="AB65" s="3"/>
      <c r="AC65" s="3"/>
      <c r="AD65" s="3">
        <v>248</v>
      </c>
      <c r="AE65" s="16">
        <v>0.61</v>
      </c>
    </row>
    <row r="66" spans="1:31">
      <c r="A66">
        <v>72</v>
      </c>
      <c r="B66">
        <v>315</v>
      </c>
      <c r="O66" s="16">
        <v>0.62</v>
      </c>
      <c r="P66" s="13">
        <v>0.155</v>
      </c>
      <c r="Q66" s="13">
        <v>0.155</v>
      </c>
      <c r="R66" s="16">
        <v>0.62</v>
      </c>
      <c r="Z66">
        <v>2092</v>
      </c>
      <c r="AB66" s="3"/>
      <c r="AC66" s="3"/>
      <c r="AD66" s="3">
        <v>252</v>
      </c>
      <c r="AE66" s="16">
        <v>0.62</v>
      </c>
    </row>
    <row r="67" spans="1:31">
      <c r="A67">
        <v>73</v>
      </c>
      <c r="B67">
        <v>320</v>
      </c>
      <c r="O67" s="16">
        <v>0.63</v>
      </c>
      <c r="P67" s="13">
        <v>0.1575</v>
      </c>
      <c r="Q67" s="13">
        <v>0.1575</v>
      </c>
      <c r="R67" s="16">
        <v>0.63</v>
      </c>
      <c r="Z67">
        <v>2093</v>
      </c>
      <c r="AB67" s="3"/>
      <c r="AC67" s="3"/>
      <c r="AD67" s="3">
        <v>256</v>
      </c>
      <c r="AE67" s="16">
        <v>0.63</v>
      </c>
    </row>
    <row r="68" spans="1:31">
      <c r="A68">
        <v>74</v>
      </c>
      <c r="B68">
        <v>325</v>
      </c>
      <c r="O68" s="16">
        <v>0.64</v>
      </c>
      <c r="P68" s="13">
        <v>0.16</v>
      </c>
      <c r="Q68" s="13">
        <v>0.16</v>
      </c>
      <c r="R68" s="16">
        <v>0.64</v>
      </c>
      <c r="Z68">
        <v>2094</v>
      </c>
      <c r="AB68" s="3"/>
      <c r="AC68" s="3"/>
      <c r="AD68" s="3">
        <v>260</v>
      </c>
      <c r="AE68" s="16">
        <v>0.64</v>
      </c>
    </row>
    <row r="69" spans="1:31">
      <c r="A69">
        <v>75</v>
      </c>
      <c r="B69">
        <v>330</v>
      </c>
      <c r="O69" s="16">
        <v>0.65</v>
      </c>
      <c r="P69" s="13">
        <v>0.16250000000000001</v>
      </c>
      <c r="Q69" s="13">
        <v>0.16250000000000001</v>
      </c>
      <c r="R69" s="16">
        <v>0.65</v>
      </c>
      <c r="Z69">
        <v>2095</v>
      </c>
      <c r="AB69" s="3"/>
      <c r="AC69" s="3"/>
      <c r="AD69" s="3">
        <v>264</v>
      </c>
      <c r="AE69" s="16">
        <v>0.65</v>
      </c>
    </row>
    <row r="70" spans="1:31">
      <c r="A70">
        <v>76</v>
      </c>
      <c r="B70">
        <v>335</v>
      </c>
      <c r="O70" s="16">
        <v>0.66</v>
      </c>
      <c r="P70" s="13">
        <v>0.16500000000000001</v>
      </c>
      <c r="Q70" s="13">
        <v>0.16500000000000001</v>
      </c>
      <c r="R70" s="16">
        <v>0.66</v>
      </c>
      <c r="Z70">
        <v>2096</v>
      </c>
      <c r="AB70" s="3"/>
      <c r="AC70" s="3"/>
      <c r="AD70" s="3">
        <v>268</v>
      </c>
      <c r="AE70" s="16">
        <v>0.66</v>
      </c>
    </row>
    <row r="71" spans="1:31">
      <c r="A71">
        <v>77</v>
      </c>
      <c r="B71">
        <v>340</v>
      </c>
      <c r="O71" s="16">
        <v>0.67</v>
      </c>
      <c r="P71" s="13">
        <v>0.16750000000000001</v>
      </c>
      <c r="Q71" s="13">
        <v>0.16750000000000001</v>
      </c>
      <c r="R71" s="16">
        <v>0.67</v>
      </c>
      <c r="Z71">
        <v>2097</v>
      </c>
      <c r="AB71" s="3"/>
      <c r="AC71" s="3"/>
      <c r="AD71" s="3">
        <v>272</v>
      </c>
      <c r="AE71" s="16">
        <v>0.67</v>
      </c>
    </row>
    <row r="72" spans="1:31">
      <c r="A72">
        <v>78</v>
      </c>
      <c r="B72">
        <v>345</v>
      </c>
      <c r="O72" s="16">
        <v>0.68</v>
      </c>
      <c r="P72" s="13">
        <v>0.17</v>
      </c>
      <c r="Q72" s="13">
        <v>0.17</v>
      </c>
      <c r="R72" s="16">
        <v>0.68</v>
      </c>
      <c r="Z72">
        <v>2098</v>
      </c>
      <c r="AB72" s="3"/>
      <c r="AC72" s="3"/>
      <c r="AD72" s="3">
        <v>276</v>
      </c>
      <c r="AE72" s="16">
        <v>0.68</v>
      </c>
    </row>
    <row r="73" spans="1:31">
      <c r="A73">
        <v>79</v>
      </c>
      <c r="B73">
        <v>350</v>
      </c>
      <c r="O73" s="16">
        <v>0.69</v>
      </c>
      <c r="P73" s="13">
        <v>0.17249999999999999</v>
      </c>
      <c r="Q73" s="13">
        <v>0.17249999999999999</v>
      </c>
      <c r="R73" s="16">
        <v>0.69</v>
      </c>
      <c r="Z73">
        <v>2099</v>
      </c>
      <c r="AB73" s="3"/>
      <c r="AC73" s="3"/>
      <c r="AD73" s="3">
        <v>280</v>
      </c>
      <c r="AE73" s="16">
        <v>0.69</v>
      </c>
    </row>
    <row r="74" spans="1:31">
      <c r="A74">
        <v>80</v>
      </c>
      <c r="B74">
        <v>355</v>
      </c>
      <c r="O74" s="16">
        <v>0.7</v>
      </c>
      <c r="P74" s="13">
        <v>0.17499999999999999</v>
      </c>
      <c r="Q74" s="13">
        <v>0.17499999999999999</v>
      </c>
      <c r="R74" s="16">
        <v>0.7</v>
      </c>
      <c r="Z74">
        <v>2100</v>
      </c>
      <c r="AB74" s="3"/>
      <c r="AC74" s="3"/>
      <c r="AD74" s="3">
        <v>284</v>
      </c>
      <c r="AE74" s="16">
        <v>0.7</v>
      </c>
    </row>
    <row r="75" spans="1:31">
      <c r="A75">
        <v>81</v>
      </c>
      <c r="B75">
        <v>360</v>
      </c>
      <c r="O75" s="16">
        <v>0.71</v>
      </c>
      <c r="P75" s="13">
        <v>0.17749999999999999</v>
      </c>
      <c r="Q75" s="13">
        <v>0.17749999999999999</v>
      </c>
      <c r="R75" s="16">
        <v>0.71</v>
      </c>
      <c r="AB75" s="3"/>
      <c r="AC75" s="3"/>
      <c r="AD75" s="3">
        <v>288</v>
      </c>
      <c r="AE75" s="16">
        <v>0.71</v>
      </c>
    </row>
    <row r="76" spans="1:31">
      <c r="A76">
        <v>82</v>
      </c>
      <c r="B76">
        <v>365</v>
      </c>
      <c r="O76" s="16">
        <v>0.72</v>
      </c>
      <c r="P76" s="13">
        <v>0.18</v>
      </c>
      <c r="Q76" s="13">
        <v>0.18</v>
      </c>
      <c r="R76" s="16">
        <v>0.72</v>
      </c>
      <c r="AB76" s="3"/>
      <c r="AC76" s="3"/>
      <c r="AD76" s="3">
        <v>292</v>
      </c>
      <c r="AE76" s="16">
        <v>0.72</v>
      </c>
    </row>
    <row r="77" spans="1:31">
      <c r="A77">
        <v>83</v>
      </c>
      <c r="B77">
        <v>370</v>
      </c>
      <c r="O77" s="16">
        <v>0.73</v>
      </c>
      <c r="P77" s="13">
        <v>0.1825</v>
      </c>
      <c r="Q77" s="13">
        <v>0.1825</v>
      </c>
      <c r="R77" s="16">
        <v>0.73</v>
      </c>
      <c r="AB77" s="3"/>
      <c r="AC77" s="3"/>
      <c r="AD77" s="3">
        <v>296</v>
      </c>
      <c r="AE77" s="16">
        <v>0.73</v>
      </c>
    </row>
    <row r="78" spans="1:31">
      <c r="A78">
        <v>84</v>
      </c>
      <c r="B78">
        <v>375</v>
      </c>
      <c r="O78" s="16">
        <v>0.74</v>
      </c>
      <c r="P78" s="13">
        <v>0.185</v>
      </c>
      <c r="Q78" s="13">
        <v>0.185</v>
      </c>
      <c r="R78" s="16">
        <v>0.74</v>
      </c>
      <c r="AB78" s="3"/>
      <c r="AC78" s="3"/>
      <c r="AD78" s="3">
        <v>300</v>
      </c>
      <c r="AE78" s="16">
        <v>0.74</v>
      </c>
    </row>
    <row r="79" spans="1:31">
      <c r="A79">
        <v>85</v>
      </c>
      <c r="B79">
        <v>380</v>
      </c>
      <c r="O79" s="16">
        <v>0.75</v>
      </c>
      <c r="P79" s="13">
        <v>0.1875</v>
      </c>
      <c r="Q79" s="13">
        <v>0.1875</v>
      </c>
      <c r="R79" s="16">
        <v>0.75</v>
      </c>
      <c r="AB79" s="3"/>
      <c r="AC79" s="3"/>
      <c r="AD79" s="3">
        <v>304</v>
      </c>
      <c r="AE79" s="16">
        <v>0.75</v>
      </c>
    </row>
    <row r="80" spans="1:31">
      <c r="A80">
        <v>86</v>
      </c>
      <c r="B80">
        <v>385</v>
      </c>
      <c r="O80" s="16">
        <v>0.76</v>
      </c>
      <c r="P80" s="13">
        <v>0.19</v>
      </c>
      <c r="Q80" s="13">
        <v>0.19</v>
      </c>
      <c r="R80" s="16">
        <v>0.76</v>
      </c>
      <c r="AB80" s="3"/>
      <c r="AC80" s="3"/>
      <c r="AD80" s="3">
        <v>308</v>
      </c>
      <c r="AE80" s="16">
        <v>0.76</v>
      </c>
    </row>
    <row r="81" spans="1:31">
      <c r="A81">
        <v>87</v>
      </c>
      <c r="B81">
        <v>390</v>
      </c>
      <c r="O81" s="16">
        <v>0.77</v>
      </c>
      <c r="P81" s="13">
        <v>0.1925</v>
      </c>
      <c r="Q81" s="13">
        <v>0.1925</v>
      </c>
      <c r="R81" s="16">
        <v>0.77</v>
      </c>
      <c r="AB81" s="3"/>
      <c r="AC81" s="3"/>
      <c r="AD81" s="3">
        <v>312</v>
      </c>
      <c r="AE81" s="16">
        <v>0.77</v>
      </c>
    </row>
    <row r="82" spans="1:31">
      <c r="A82">
        <v>88</v>
      </c>
      <c r="B82">
        <v>395</v>
      </c>
      <c r="O82" s="16">
        <v>0.78</v>
      </c>
      <c r="P82" s="13">
        <v>0.19500000000000001</v>
      </c>
      <c r="Q82" s="13">
        <v>0.19500000000000001</v>
      </c>
      <c r="R82" s="16">
        <v>0.78</v>
      </c>
      <c r="AB82" s="3"/>
      <c r="AC82" s="3"/>
      <c r="AD82" s="3">
        <v>316</v>
      </c>
      <c r="AE82" s="16">
        <v>0.78</v>
      </c>
    </row>
    <row r="83" spans="1:31">
      <c r="A83">
        <v>89</v>
      </c>
      <c r="B83">
        <v>400</v>
      </c>
      <c r="O83" s="16">
        <v>0.79</v>
      </c>
      <c r="P83" s="13">
        <v>0.19750000000000001</v>
      </c>
      <c r="Q83" s="13">
        <v>0.19750000000000001</v>
      </c>
      <c r="R83" s="16">
        <v>0.79</v>
      </c>
      <c r="AB83" s="3"/>
      <c r="AC83" s="3"/>
      <c r="AD83" s="3">
        <v>320</v>
      </c>
      <c r="AE83" s="16">
        <v>0.79</v>
      </c>
    </row>
    <row r="84" spans="1:31">
      <c r="A84">
        <v>90</v>
      </c>
      <c r="B84">
        <v>405</v>
      </c>
      <c r="O84" s="16">
        <v>0.8</v>
      </c>
      <c r="P84" s="13">
        <v>0.2</v>
      </c>
      <c r="Q84" s="13">
        <v>0.2</v>
      </c>
      <c r="R84" s="16">
        <v>0.8</v>
      </c>
      <c r="AB84" s="3"/>
      <c r="AC84" s="3"/>
      <c r="AD84" s="3">
        <v>324</v>
      </c>
      <c r="AE84" s="16">
        <v>0.8</v>
      </c>
    </row>
    <row r="85" spans="1:31">
      <c r="A85">
        <v>91</v>
      </c>
      <c r="B85">
        <v>410</v>
      </c>
      <c r="O85" s="16">
        <v>0.81</v>
      </c>
      <c r="P85" s="13">
        <v>0.20250000000000001</v>
      </c>
      <c r="Q85" s="13">
        <v>0.20250000000000001</v>
      </c>
      <c r="R85" s="16">
        <v>0.81</v>
      </c>
      <c r="AB85" s="3"/>
      <c r="AC85" s="3"/>
      <c r="AD85" s="3">
        <v>328</v>
      </c>
      <c r="AE85" s="16">
        <v>0.81</v>
      </c>
    </row>
    <row r="86" spans="1:31">
      <c r="A86">
        <v>92</v>
      </c>
      <c r="B86">
        <v>415</v>
      </c>
      <c r="O86" s="16">
        <v>0.82</v>
      </c>
      <c r="P86" s="13">
        <v>0.20499999999999999</v>
      </c>
      <c r="Q86" s="13">
        <v>0.20499999999999999</v>
      </c>
      <c r="R86" s="16">
        <v>0.82</v>
      </c>
      <c r="AB86" s="3"/>
      <c r="AC86" s="3"/>
      <c r="AD86" s="3">
        <v>332</v>
      </c>
      <c r="AE86" s="16">
        <v>0.82</v>
      </c>
    </row>
    <row r="87" spans="1:31">
      <c r="A87">
        <v>93</v>
      </c>
      <c r="B87">
        <v>420</v>
      </c>
      <c r="O87" s="16">
        <v>0.83</v>
      </c>
      <c r="P87" s="13">
        <v>0.20749999999999999</v>
      </c>
      <c r="Q87" s="13">
        <v>0.20749999999999999</v>
      </c>
      <c r="R87" s="16">
        <v>0.83</v>
      </c>
      <c r="AB87" s="3"/>
      <c r="AC87" s="3"/>
      <c r="AD87" s="3">
        <v>336</v>
      </c>
      <c r="AE87" s="16">
        <v>0.83</v>
      </c>
    </row>
    <row r="88" spans="1:31">
      <c r="A88">
        <v>94</v>
      </c>
      <c r="B88">
        <v>425</v>
      </c>
      <c r="O88" s="16">
        <v>0.84</v>
      </c>
      <c r="P88" s="13">
        <v>0.21</v>
      </c>
      <c r="Q88" s="13">
        <v>0.21</v>
      </c>
      <c r="R88" s="16">
        <v>0.84</v>
      </c>
      <c r="AB88" s="3"/>
      <c r="AC88" s="3"/>
      <c r="AD88" s="3">
        <v>340</v>
      </c>
      <c r="AE88" s="16">
        <v>0.84</v>
      </c>
    </row>
    <row r="89" spans="1:31">
      <c r="A89">
        <v>95</v>
      </c>
      <c r="B89">
        <v>430</v>
      </c>
      <c r="O89" s="16">
        <v>0.85</v>
      </c>
      <c r="P89" s="13">
        <v>0.21249999999999999</v>
      </c>
      <c r="Q89" s="13">
        <v>0.21249999999999999</v>
      </c>
      <c r="R89" s="16">
        <v>0.85</v>
      </c>
      <c r="AB89" s="3"/>
      <c r="AC89" s="3"/>
      <c r="AD89" s="3">
        <v>344</v>
      </c>
      <c r="AE89" s="16">
        <v>0.85</v>
      </c>
    </row>
    <row r="90" spans="1:31">
      <c r="A90">
        <v>96</v>
      </c>
      <c r="B90">
        <v>435</v>
      </c>
      <c r="O90" s="16">
        <v>0.86</v>
      </c>
      <c r="P90" s="13">
        <v>0.215</v>
      </c>
      <c r="Q90" s="13">
        <v>0.215</v>
      </c>
      <c r="R90" s="16">
        <v>0.86</v>
      </c>
      <c r="AB90" s="3"/>
      <c r="AC90" s="3"/>
      <c r="AD90" s="3">
        <v>348</v>
      </c>
      <c r="AE90" s="16">
        <v>0.86</v>
      </c>
    </row>
    <row r="91" spans="1:31">
      <c r="A91">
        <v>97</v>
      </c>
      <c r="B91">
        <v>440</v>
      </c>
      <c r="O91" s="16">
        <v>0.87</v>
      </c>
      <c r="P91" s="13">
        <v>0.2175</v>
      </c>
      <c r="Q91" s="13">
        <v>0.2175</v>
      </c>
      <c r="R91" s="16">
        <v>0.87</v>
      </c>
      <c r="AB91" s="3"/>
      <c r="AC91" s="3"/>
      <c r="AD91" s="3">
        <v>352</v>
      </c>
      <c r="AE91" s="16">
        <v>0.87</v>
      </c>
    </row>
    <row r="92" spans="1:31">
      <c r="A92">
        <v>98</v>
      </c>
      <c r="B92">
        <v>445</v>
      </c>
      <c r="O92" s="16">
        <v>0.88</v>
      </c>
      <c r="P92" s="13">
        <v>0.22</v>
      </c>
      <c r="Q92" s="13">
        <v>0.22</v>
      </c>
      <c r="R92" s="16">
        <v>0.88</v>
      </c>
      <c r="AB92" s="3"/>
      <c r="AC92" s="3"/>
      <c r="AD92" s="3">
        <v>356</v>
      </c>
      <c r="AE92" s="16">
        <v>0.88</v>
      </c>
    </row>
    <row r="93" spans="1:31">
      <c r="A93">
        <v>99</v>
      </c>
      <c r="B93">
        <v>450</v>
      </c>
      <c r="O93" s="16">
        <v>0.89</v>
      </c>
      <c r="P93" s="13">
        <v>0.2225</v>
      </c>
      <c r="Q93" s="13">
        <v>0.2225</v>
      </c>
      <c r="R93" s="16">
        <v>0.89</v>
      </c>
      <c r="AB93" s="3"/>
      <c r="AC93" s="3"/>
      <c r="AD93" s="3">
        <v>360</v>
      </c>
      <c r="AE93" s="16">
        <v>0.89</v>
      </c>
    </row>
    <row r="94" spans="1:31">
      <c r="A94">
        <v>100</v>
      </c>
      <c r="B94">
        <v>455</v>
      </c>
      <c r="O94" s="16">
        <v>0.9</v>
      </c>
      <c r="P94" s="13">
        <v>0.22500000000000001</v>
      </c>
      <c r="Q94" s="13">
        <v>0.22500000000000001</v>
      </c>
      <c r="R94" s="16">
        <v>0.9</v>
      </c>
      <c r="AB94" s="3"/>
      <c r="AC94" s="3"/>
      <c r="AD94" s="3">
        <v>364</v>
      </c>
      <c r="AE94" s="16">
        <v>0.9</v>
      </c>
    </row>
    <row r="95" spans="1:31">
      <c r="A95">
        <v>101</v>
      </c>
      <c r="B95">
        <v>460</v>
      </c>
      <c r="O95" s="16">
        <v>0.91</v>
      </c>
      <c r="P95" s="13">
        <v>0.22750000000000001</v>
      </c>
      <c r="Q95" s="13">
        <v>0.22750000000000001</v>
      </c>
      <c r="R95" s="16">
        <v>0.91</v>
      </c>
      <c r="AB95" s="3"/>
      <c r="AC95" s="3"/>
      <c r="AD95" s="3">
        <v>368</v>
      </c>
      <c r="AE95" s="16">
        <v>0.91</v>
      </c>
    </row>
    <row r="96" spans="1:31">
      <c r="A96">
        <v>102</v>
      </c>
      <c r="B96">
        <v>465</v>
      </c>
      <c r="O96" s="16">
        <v>0.92</v>
      </c>
      <c r="P96" s="13">
        <v>0.23</v>
      </c>
      <c r="Q96" s="13">
        <v>0.23</v>
      </c>
      <c r="R96" s="16">
        <v>0.92</v>
      </c>
      <c r="AB96" s="3"/>
      <c r="AC96" s="3"/>
      <c r="AD96" s="3">
        <v>372</v>
      </c>
      <c r="AE96" s="16">
        <v>0.92</v>
      </c>
    </row>
    <row r="97" spans="1:31">
      <c r="A97">
        <v>103</v>
      </c>
      <c r="B97">
        <v>470</v>
      </c>
      <c r="O97" s="16">
        <v>0.93</v>
      </c>
      <c r="P97" s="13">
        <v>0.23250000000000001</v>
      </c>
      <c r="Q97" s="13">
        <v>0.23250000000000001</v>
      </c>
      <c r="R97" s="16">
        <v>0.93</v>
      </c>
      <c r="AB97" s="3"/>
      <c r="AC97" s="3"/>
      <c r="AD97" s="3">
        <v>376</v>
      </c>
      <c r="AE97" s="16">
        <v>0.93</v>
      </c>
    </row>
    <row r="98" spans="1:31">
      <c r="A98">
        <v>104</v>
      </c>
      <c r="B98">
        <v>475</v>
      </c>
      <c r="O98" s="16">
        <v>0.94</v>
      </c>
      <c r="P98" s="13">
        <v>0.23499999999999999</v>
      </c>
      <c r="Q98" s="13">
        <v>0.23499999999999999</v>
      </c>
      <c r="R98" s="16">
        <v>0.94</v>
      </c>
      <c r="AB98" s="3"/>
      <c r="AC98" s="3"/>
      <c r="AD98" s="3">
        <v>380</v>
      </c>
      <c r="AE98" s="16">
        <v>0.94</v>
      </c>
    </row>
    <row r="99" spans="1:31">
      <c r="A99">
        <v>105</v>
      </c>
      <c r="B99">
        <v>480</v>
      </c>
      <c r="O99" s="16">
        <v>0.95</v>
      </c>
      <c r="P99" s="13">
        <v>0.23749999999999999</v>
      </c>
      <c r="Q99" s="13">
        <v>0.23749999999999999</v>
      </c>
      <c r="R99" s="16">
        <v>0.95</v>
      </c>
      <c r="AB99" s="3"/>
      <c r="AC99" s="3"/>
      <c r="AD99" s="3">
        <v>384</v>
      </c>
      <c r="AE99" s="16">
        <v>0.95</v>
      </c>
    </row>
    <row r="100" spans="1:31">
      <c r="A100">
        <v>106</v>
      </c>
      <c r="B100">
        <v>485</v>
      </c>
      <c r="O100" s="16">
        <v>0.96</v>
      </c>
      <c r="P100" s="13">
        <v>0.24</v>
      </c>
      <c r="Q100" s="13">
        <v>0.24</v>
      </c>
      <c r="R100" s="16">
        <v>0.96</v>
      </c>
      <c r="AB100" s="3"/>
      <c r="AC100" s="3"/>
      <c r="AD100" s="3">
        <v>388</v>
      </c>
      <c r="AE100" s="16">
        <v>0.96</v>
      </c>
    </row>
    <row r="101" spans="1:31">
      <c r="A101">
        <v>107</v>
      </c>
      <c r="B101">
        <v>490</v>
      </c>
      <c r="O101" s="16">
        <v>0.97</v>
      </c>
      <c r="P101" s="13">
        <v>0.24249999999999999</v>
      </c>
      <c r="Q101" s="13">
        <v>0.24249999999999999</v>
      </c>
      <c r="R101" s="16">
        <v>0.97</v>
      </c>
      <c r="AB101" s="3"/>
      <c r="AC101" s="3"/>
      <c r="AD101" s="3">
        <v>392</v>
      </c>
      <c r="AE101" s="16">
        <v>0.97</v>
      </c>
    </row>
    <row r="102" spans="1:31">
      <c r="A102">
        <v>108</v>
      </c>
      <c r="B102">
        <v>495</v>
      </c>
      <c r="O102" s="16">
        <v>0.98</v>
      </c>
      <c r="P102" s="13">
        <v>0.245</v>
      </c>
      <c r="Q102" s="13">
        <v>0.245</v>
      </c>
      <c r="R102" s="16">
        <v>0.98</v>
      </c>
      <c r="AB102" s="3"/>
      <c r="AC102" s="3"/>
      <c r="AD102" s="3">
        <v>396</v>
      </c>
      <c r="AE102" s="16">
        <v>0.98</v>
      </c>
    </row>
    <row r="103" spans="1:31">
      <c r="A103">
        <v>109</v>
      </c>
      <c r="B103">
        <v>500</v>
      </c>
      <c r="O103" s="16">
        <v>0.99</v>
      </c>
      <c r="P103" s="13">
        <v>0.2475</v>
      </c>
      <c r="Q103" s="13">
        <v>0.2475</v>
      </c>
      <c r="R103" s="16">
        <v>0.99</v>
      </c>
      <c r="AB103" s="3"/>
      <c r="AC103" s="3"/>
      <c r="AD103" s="3">
        <v>400</v>
      </c>
      <c r="AE103" s="16">
        <v>0.99</v>
      </c>
    </row>
    <row r="104" spans="1:31">
      <c r="A104">
        <v>110</v>
      </c>
      <c r="B104">
        <v>505</v>
      </c>
      <c r="O104" s="16">
        <v>1</v>
      </c>
      <c r="P104" s="13">
        <v>0.25</v>
      </c>
      <c r="Q104" s="13">
        <v>0.25</v>
      </c>
      <c r="R104" s="16">
        <v>1</v>
      </c>
      <c r="AB104" s="3"/>
      <c r="AC104" s="3"/>
      <c r="AD104" s="3">
        <v>404</v>
      </c>
    </row>
    <row r="105" spans="1:31">
      <c r="A105">
        <v>111</v>
      </c>
      <c r="B105">
        <v>510</v>
      </c>
      <c r="P105" s="13">
        <v>0.2525</v>
      </c>
      <c r="Q105" s="13">
        <v>0.2525</v>
      </c>
      <c r="R105" s="13"/>
      <c r="AB105" s="3"/>
      <c r="AC105" s="3"/>
      <c r="AD105" s="3">
        <v>408</v>
      </c>
    </row>
    <row r="106" spans="1:31">
      <c r="A106">
        <v>112</v>
      </c>
      <c r="B106">
        <v>515</v>
      </c>
      <c r="P106" s="13">
        <v>0.255</v>
      </c>
      <c r="Q106" s="13">
        <v>0.255</v>
      </c>
      <c r="R106" s="13"/>
      <c r="AB106" s="3"/>
      <c r="AC106" s="3"/>
      <c r="AD106" s="3">
        <v>412</v>
      </c>
    </row>
    <row r="107" spans="1:31">
      <c r="A107">
        <v>113</v>
      </c>
      <c r="B107">
        <v>520</v>
      </c>
      <c r="P107" s="13">
        <v>0.25750000000000001</v>
      </c>
      <c r="Q107" s="13">
        <v>0.25750000000000001</v>
      </c>
      <c r="R107" s="13"/>
      <c r="AB107" s="3"/>
      <c r="AC107" s="3"/>
      <c r="AD107" s="3">
        <v>416</v>
      </c>
    </row>
    <row r="108" spans="1:31">
      <c r="A108">
        <v>114</v>
      </c>
      <c r="B108">
        <v>525</v>
      </c>
      <c r="P108" s="13">
        <v>0.26</v>
      </c>
      <c r="Q108" s="13">
        <v>0.26</v>
      </c>
      <c r="R108" s="13"/>
      <c r="AB108" s="3"/>
      <c r="AC108" s="3"/>
      <c r="AD108" s="3">
        <v>420</v>
      </c>
    </row>
    <row r="109" spans="1:31">
      <c r="A109">
        <v>115</v>
      </c>
      <c r="B109">
        <v>530</v>
      </c>
      <c r="P109" s="13">
        <v>0.26250000000000001</v>
      </c>
      <c r="Q109" s="13">
        <v>0.26250000000000001</v>
      </c>
      <c r="R109" s="13"/>
      <c r="AB109" s="3"/>
      <c r="AC109" s="3"/>
      <c r="AD109" s="3">
        <v>424</v>
      </c>
    </row>
    <row r="110" spans="1:31">
      <c r="A110">
        <v>116</v>
      </c>
      <c r="B110">
        <v>535</v>
      </c>
      <c r="P110" s="13">
        <v>0.26500000000000001</v>
      </c>
      <c r="Q110" s="13">
        <v>0.26500000000000001</v>
      </c>
      <c r="R110" s="13"/>
      <c r="AB110" s="3"/>
      <c r="AC110" s="3"/>
      <c r="AD110" s="3">
        <v>428</v>
      </c>
    </row>
    <row r="111" spans="1:31">
      <c r="A111">
        <v>117</v>
      </c>
      <c r="B111">
        <v>540</v>
      </c>
      <c r="P111" s="13">
        <v>0.26750000000000002</v>
      </c>
      <c r="Q111" s="13">
        <v>0.26750000000000002</v>
      </c>
      <c r="R111" s="13"/>
      <c r="AB111" s="3"/>
      <c r="AC111" s="3"/>
      <c r="AD111" s="3">
        <v>432</v>
      </c>
    </row>
    <row r="112" spans="1:31">
      <c r="A112">
        <v>118</v>
      </c>
      <c r="B112">
        <v>545</v>
      </c>
      <c r="P112" s="13">
        <v>0.27</v>
      </c>
      <c r="Q112" s="13">
        <v>0.27</v>
      </c>
      <c r="R112" s="13"/>
      <c r="AB112" s="3"/>
      <c r="AC112" s="3"/>
      <c r="AD112" s="3">
        <v>436</v>
      </c>
    </row>
    <row r="113" spans="1:30">
      <c r="A113">
        <v>119</v>
      </c>
      <c r="B113">
        <v>550</v>
      </c>
      <c r="P113" s="13">
        <v>0.27250000000000002</v>
      </c>
      <c r="Q113" s="13">
        <v>0.27250000000000002</v>
      </c>
      <c r="R113" s="13"/>
      <c r="AB113" s="3"/>
      <c r="AC113" s="3"/>
      <c r="AD113" s="3">
        <v>440</v>
      </c>
    </row>
    <row r="114" spans="1:30">
      <c r="A114">
        <v>120</v>
      </c>
      <c r="B114">
        <v>555</v>
      </c>
      <c r="P114" s="13">
        <v>0.27500000000000002</v>
      </c>
      <c r="Q114" s="13">
        <v>0.27500000000000002</v>
      </c>
      <c r="R114" s="13"/>
      <c r="AB114" s="3"/>
      <c r="AC114" s="3"/>
      <c r="AD114" s="3">
        <v>444</v>
      </c>
    </row>
    <row r="115" spans="1:30">
      <c r="A115">
        <v>121</v>
      </c>
      <c r="B115">
        <v>560</v>
      </c>
      <c r="P115" s="13">
        <v>0.27750000000000002</v>
      </c>
      <c r="Q115" s="13">
        <v>0.27750000000000002</v>
      </c>
      <c r="R115" s="13"/>
      <c r="AB115" s="3"/>
      <c r="AC115" s="3"/>
      <c r="AD115" s="3">
        <v>448</v>
      </c>
    </row>
    <row r="116" spans="1:30">
      <c r="A116">
        <v>122</v>
      </c>
      <c r="B116">
        <v>565</v>
      </c>
      <c r="P116" s="13">
        <v>0.28000000000000003</v>
      </c>
      <c r="Q116" s="13">
        <v>0.28000000000000003</v>
      </c>
      <c r="R116" s="13"/>
      <c r="AB116" s="3"/>
      <c r="AC116" s="3"/>
      <c r="AD116" s="3">
        <v>452</v>
      </c>
    </row>
    <row r="117" spans="1:30">
      <c r="A117">
        <v>123</v>
      </c>
      <c r="B117">
        <v>570</v>
      </c>
      <c r="P117" s="13">
        <v>0.28249999999999997</v>
      </c>
      <c r="Q117" s="13">
        <v>0.28249999999999997</v>
      </c>
      <c r="R117" s="13"/>
      <c r="AB117" s="3"/>
      <c r="AC117" s="3"/>
      <c r="AD117" s="3">
        <v>456</v>
      </c>
    </row>
    <row r="118" spans="1:30">
      <c r="A118">
        <v>124</v>
      </c>
      <c r="B118">
        <v>575</v>
      </c>
      <c r="P118" s="13">
        <v>0.28499999999999998</v>
      </c>
      <c r="Q118" s="13">
        <v>0.28499999999999998</v>
      </c>
      <c r="R118" s="13"/>
      <c r="AB118" s="3"/>
      <c r="AC118" s="3"/>
      <c r="AD118" s="3">
        <v>460</v>
      </c>
    </row>
    <row r="119" spans="1:30">
      <c r="A119">
        <v>125</v>
      </c>
      <c r="B119">
        <v>580</v>
      </c>
      <c r="P119" s="13">
        <v>0.28749999999999998</v>
      </c>
      <c r="Q119" s="13">
        <v>0.28749999999999998</v>
      </c>
      <c r="R119" s="13"/>
      <c r="AB119" s="3"/>
      <c r="AC119" s="3"/>
      <c r="AD119" s="3">
        <v>464</v>
      </c>
    </row>
    <row r="120" spans="1:30">
      <c r="A120">
        <v>126</v>
      </c>
      <c r="B120">
        <v>585</v>
      </c>
      <c r="P120" s="13">
        <v>0.28999999999999998</v>
      </c>
      <c r="Q120" s="13">
        <v>0.28999999999999998</v>
      </c>
      <c r="R120" s="13"/>
      <c r="AB120" s="3"/>
      <c r="AC120" s="3"/>
      <c r="AD120" s="3">
        <v>468</v>
      </c>
    </row>
    <row r="121" spans="1:30">
      <c r="A121">
        <v>127</v>
      </c>
      <c r="B121">
        <v>590</v>
      </c>
      <c r="P121" s="13">
        <v>0.29249999999999998</v>
      </c>
      <c r="Q121" s="13">
        <v>0.29249999999999998</v>
      </c>
      <c r="R121" s="13"/>
      <c r="AB121" s="3"/>
      <c r="AC121" s="3"/>
      <c r="AD121" s="3">
        <v>472</v>
      </c>
    </row>
    <row r="122" spans="1:30">
      <c r="A122">
        <v>128</v>
      </c>
      <c r="B122">
        <v>595</v>
      </c>
      <c r="P122" s="13">
        <v>0.29499999999999998</v>
      </c>
      <c r="Q122" s="13">
        <v>0.29499999999999998</v>
      </c>
      <c r="R122" s="13"/>
      <c r="AB122" s="3"/>
      <c r="AC122" s="3"/>
      <c r="AD122" s="3">
        <v>476</v>
      </c>
    </row>
    <row r="123" spans="1:30">
      <c r="A123">
        <v>129</v>
      </c>
      <c r="B123">
        <v>600</v>
      </c>
      <c r="P123" s="13">
        <v>0.29749999999999999</v>
      </c>
      <c r="Q123" s="13">
        <v>0.29749999999999999</v>
      </c>
      <c r="R123" s="13"/>
      <c r="AB123" s="3"/>
      <c r="AC123" s="3"/>
      <c r="AD123" s="3">
        <v>480</v>
      </c>
    </row>
    <row r="124" spans="1:30">
      <c r="A124">
        <v>130</v>
      </c>
      <c r="B124">
        <v>605</v>
      </c>
      <c r="P124" s="13">
        <v>0.3</v>
      </c>
      <c r="Q124" s="13">
        <v>0.3</v>
      </c>
      <c r="R124" s="13"/>
      <c r="AB124" s="3"/>
      <c r="AC124" s="3"/>
      <c r="AD124" s="3">
        <v>484</v>
      </c>
    </row>
    <row r="125" spans="1:30">
      <c r="A125">
        <v>131</v>
      </c>
      <c r="B125">
        <v>610</v>
      </c>
      <c r="P125" s="13">
        <v>0.30249999999999999</v>
      </c>
      <c r="Q125" s="13">
        <v>0.30249999999999999</v>
      </c>
      <c r="R125" s="13"/>
      <c r="AB125" s="3"/>
      <c r="AC125" s="3"/>
      <c r="AD125" s="3">
        <v>488</v>
      </c>
    </row>
    <row r="126" spans="1:30">
      <c r="A126">
        <v>132</v>
      </c>
      <c r="B126">
        <v>615</v>
      </c>
      <c r="P126" s="13">
        <v>0.30499999999999999</v>
      </c>
      <c r="Q126" s="13">
        <v>0.30499999999999999</v>
      </c>
      <c r="R126" s="13"/>
      <c r="AB126" s="3"/>
      <c r="AC126" s="3"/>
      <c r="AD126" s="3">
        <v>492</v>
      </c>
    </row>
    <row r="127" spans="1:30">
      <c r="A127">
        <v>133</v>
      </c>
      <c r="B127">
        <v>620</v>
      </c>
      <c r="P127" s="13">
        <v>0.3075</v>
      </c>
      <c r="Q127" s="13">
        <v>0.3075</v>
      </c>
      <c r="R127" s="13"/>
      <c r="AB127" s="3"/>
      <c r="AC127" s="3"/>
      <c r="AD127" s="3">
        <v>496</v>
      </c>
    </row>
    <row r="128" spans="1:30">
      <c r="A128">
        <v>134</v>
      </c>
      <c r="B128">
        <v>625</v>
      </c>
      <c r="P128" s="13">
        <v>0.31</v>
      </c>
      <c r="Q128" s="13">
        <v>0.31</v>
      </c>
      <c r="R128" s="13"/>
      <c r="AB128" s="3"/>
      <c r="AC128" s="3"/>
      <c r="AD128" s="3">
        <v>500</v>
      </c>
    </row>
    <row r="129" spans="1:30">
      <c r="A129">
        <v>135</v>
      </c>
      <c r="B129">
        <v>630</v>
      </c>
      <c r="P129" s="13">
        <v>0.3125</v>
      </c>
      <c r="Q129" s="13">
        <v>0.3125</v>
      </c>
      <c r="R129" s="13"/>
      <c r="AB129" s="3"/>
      <c r="AC129" s="3"/>
      <c r="AD129" s="3">
        <v>504</v>
      </c>
    </row>
    <row r="130" spans="1:30">
      <c r="A130">
        <v>136</v>
      </c>
      <c r="B130">
        <v>635</v>
      </c>
      <c r="P130" s="13">
        <v>0.315</v>
      </c>
      <c r="Q130" s="13">
        <v>0.315</v>
      </c>
      <c r="R130" s="13"/>
      <c r="AB130" s="3"/>
      <c r="AC130" s="3"/>
      <c r="AD130" s="3">
        <v>508</v>
      </c>
    </row>
    <row r="131" spans="1:30">
      <c r="A131">
        <v>137</v>
      </c>
      <c r="B131">
        <v>640</v>
      </c>
      <c r="P131" s="13">
        <v>0.3175</v>
      </c>
      <c r="Q131" s="13">
        <v>0.3175</v>
      </c>
      <c r="R131" s="13"/>
      <c r="AB131" s="3"/>
      <c r="AC131" s="3"/>
      <c r="AD131" s="3">
        <v>512</v>
      </c>
    </row>
    <row r="132" spans="1:30">
      <c r="A132">
        <v>138</v>
      </c>
      <c r="B132">
        <v>645</v>
      </c>
      <c r="P132" s="13">
        <v>0.32</v>
      </c>
      <c r="Q132" s="13">
        <v>0.32</v>
      </c>
      <c r="R132" s="13"/>
      <c r="AB132" s="3"/>
      <c r="AC132" s="3"/>
      <c r="AD132" s="3">
        <v>516</v>
      </c>
    </row>
    <row r="133" spans="1:30">
      <c r="A133">
        <v>139</v>
      </c>
      <c r="B133">
        <v>650</v>
      </c>
      <c r="P133" s="13">
        <v>0.32250000000000001</v>
      </c>
      <c r="Q133" s="13">
        <v>0.32250000000000001</v>
      </c>
      <c r="R133" s="13"/>
      <c r="AB133" s="3"/>
      <c r="AC133" s="3"/>
      <c r="AD133" s="3">
        <v>520</v>
      </c>
    </row>
    <row r="134" spans="1:30">
      <c r="A134">
        <v>140</v>
      </c>
      <c r="B134">
        <v>655</v>
      </c>
      <c r="P134" s="13">
        <v>0.32500000000000001</v>
      </c>
      <c r="Q134" s="13">
        <v>0.32500000000000001</v>
      </c>
      <c r="R134" s="13"/>
      <c r="AB134" s="3"/>
      <c r="AC134" s="3"/>
      <c r="AD134" s="3">
        <v>524</v>
      </c>
    </row>
    <row r="135" spans="1:30">
      <c r="A135">
        <v>141</v>
      </c>
      <c r="B135">
        <v>660</v>
      </c>
      <c r="P135" s="13">
        <v>0.32750000000000001</v>
      </c>
      <c r="Q135" s="13">
        <v>0.32750000000000001</v>
      </c>
      <c r="R135" s="13"/>
      <c r="AB135" s="3"/>
      <c r="AC135" s="3"/>
      <c r="AD135" s="3">
        <v>528</v>
      </c>
    </row>
    <row r="136" spans="1:30">
      <c r="A136">
        <v>142</v>
      </c>
      <c r="B136">
        <v>665</v>
      </c>
      <c r="P136" s="13">
        <v>0.33</v>
      </c>
      <c r="Q136" s="13">
        <v>0.33</v>
      </c>
      <c r="R136" s="13"/>
      <c r="AB136" s="3"/>
      <c r="AC136" s="3"/>
      <c r="AD136" s="3">
        <v>532</v>
      </c>
    </row>
    <row r="137" spans="1:30">
      <c r="A137">
        <v>143</v>
      </c>
      <c r="B137">
        <v>670</v>
      </c>
      <c r="P137" s="13">
        <v>0.33250000000000002</v>
      </c>
      <c r="Q137" s="13">
        <v>0.33250000000000002</v>
      </c>
      <c r="R137" s="13"/>
      <c r="AB137" s="3"/>
      <c r="AC137" s="3"/>
      <c r="AD137" s="3">
        <v>536</v>
      </c>
    </row>
    <row r="138" spans="1:30">
      <c r="A138">
        <v>144</v>
      </c>
      <c r="B138">
        <v>675</v>
      </c>
      <c r="P138" s="13">
        <v>0.33500000000000002</v>
      </c>
      <c r="Q138" s="13">
        <v>0.33500000000000002</v>
      </c>
      <c r="R138" s="13"/>
      <c r="AB138" s="3"/>
      <c r="AC138" s="3"/>
      <c r="AD138" s="3">
        <v>540</v>
      </c>
    </row>
    <row r="139" spans="1:30">
      <c r="A139">
        <v>145</v>
      </c>
      <c r="B139">
        <v>680</v>
      </c>
      <c r="P139" s="13">
        <v>0.33750000000000002</v>
      </c>
      <c r="Q139" s="13">
        <v>0.33750000000000002</v>
      </c>
      <c r="R139" s="13"/>
      <c r="AB139" s="3"/>
      <c r="AC139" s="3"/>
      <c r="AD139" s="3">
        <v>544</v>
      </c>
    </row>
    <row r="140" spans="1:30">
      <c r="A140">
        <v>146</v>
      </c>
      <c r="B140">
        <v>685</v>
      </c>
      <c r="P140" s="13">
        <v>0.34</v>
      </c>
      <c r="Q140" s="13">
        <v>0.34</v>
      </c>
      <c r="R140" s="13"/>
      <c r="AB140" s="3"/>
      <c r="AC140" s="3"/>
      <c r="AD140" s="3">
        <v>548</v>
      </c>
    </row>
    <row r="141" spans="1:30">
      <c r="A141">
        <v>147</v>
      </c>
      <c r="B141">
        <v>690</v>
      </c>
      <c r="P141" s="13">
        <v>0.34250000000000003</v>
      </c>
      <c r="Q141" s="13">
        <v>0.34250000000000003</v>
      </c>
      <c r="R141" s="13"/>
      <c r="AB141" s="3"/>
      <c r="AC141" s="3"/>
      <c r="AD141" s="3">
        <v>552</v>
      </c>
    </row>
    <row r="142" spans="1:30">
      <c r="A142">
        <v>148</v>
      </c>
      <c r="B142">
        <v>695</v>
      </c>
      <c r="P142" s="13">
        <v>0.34499999999999997</v>
      </c>
      <c r="Q142" s="13">
        <v>0.34499999999999997</v>
      </c>
      <c r="R142" s="13"/>
      <c r="AB142" s="3"/>
      <c r="AC142" s="3"/>
      <c r="AD142" s="3">
        <v>556</v>
      </c>
    </row>
    <row r="143" spans="1:30">
      <c r="A143">
        <v>149</v>
      </c>
      <c r="B143">
        <v>700</v>
      </c>
      <c r="P143" s="13">
        <v>0.34749999999999998</v>
      </c>
      <c r="Q143" s="13">
        <v>0.34749999999999998</v>
      </c>
      <c r="R143" s="13"/>
      <c r="AB143" s="3"/>
      <c r="AC143" s="3"/>
      <c r="AD143" s="3">
        <v>560</v>
      </c>
    </row>
    <row r="144" spans="1:30">
      <c r="A144">
        <v>150</v>
      </c>
      <c r="B144">
        <v>705</v>
      </c>
      <c r="P144" s="13">
        <v>0.35</v>
      </c>
      <c r="Q144" s="13">
        <v>0.35</v>
      </c>
      <c r="R144" s="13"/>
      <c r="AB144" s="3"/>
      <c r="AC144" s="3"/>
      <c r="AD144" s="3">
        <v>564</v>
      </c>
    </row>
    <row r="145" spans="1:30">
      <c r="A145">
        <v>151</v>
      </c>
      <c r="B145">
        <v>710</v>
      </c>
      <c r="P145" s="13">
        <v>0.35249999999999998</v>
      </c>
      <c r="Q145" s="13">
        <v>0.35249999999999998</v>
      </c>
      <c r="R145" s="13"/>
      <c r="AB145" s="3"/>
      <c r="AC145" s="3"/>
      <c r="AD145" s="3">
        <v>568</v>
      </c>
    </row>
    <row r="146" spans="1:30">
      <c r="A146">
        <v>152</v>
      </c>
      <c r="B146">
        <v>715</v>
      </c>
      <c r="P146" s="13">
        <v>0.35499999999999998</v>
      </c>
      <c r="Q146" s="13">
        <v>0.35499999999999998</v>
      </c>
      <c r="R146" s="13"/>
      <c r="AB146" s="3"/>
      <c r="AC146" s="3"/>
      <c r="AD146" s="3">
        <v>572</v>
      </c>
    </row>
    <row r="147" spans="1:30">
      <c r="A147">
        <v>153</v>
      </c>
      <c r="B147">
        <v>720</v>
      </c>
      <c r="P147" s="13">
        <v>0.35749999999999998</v>
      </c>
      <c r="Q147" s="13">
        <v>0.35749999999999998</v>
      </c>
      <c r="R147" s="13"/>
      <c r="AB147" s="3"/>
      <c r="AC147" s="3"/>
      <c r="AD147" s="3">
        <v>576</v>
      </c>
    </row>
    <row r="148" spans="1:30">
      <c r="A148">
        <v>154</v>
      </c>
      <c r="B148">
        <v>725</v>
      </c>
      <c r="P148" s="13">
        <v>0.36</v>
      </c>
      <c r="Q148" s="13">
        <v>0.36</v>
      </c>
      <c r="R148" s="13"/>
      <c r="AB148" s="3"/>
      <c r="AC148" s="3"/>
      <c r="AD148" s="3">
        <v>580</v>
      </c>
    </row>
    <row r="149" spans="1:30">
      <c r="A149">
        <v>155</v>
      </c>
      <c r="B149">
        <v>730</v>
      </c>
      <c r="P149" s="13">
        <v>0.36249999999999999</v>
      </c>
      <c r="Q149" s="13">
        <v>0.36249999999999999</v>
      </c>
      <c r="R149" s="13"/>
      <c r="AB149" s="3"/>
      <c r="AC149" s="3"/>
      <c r="AD149" s="3">
        <v>584</v>
      </c>
    </row>
    <row r="150" spans="1:30">
      <c r="A150">
        <v>156</v>
      </c>
      <c r="B150">
        <v>735</v>
      </c>
      <c r="P150" s="13">
        <v>0.36499999999999999</v>
      </c>
      <c r="Q150" s="13">
        <v>0.36499999999999999</v>
      </c>
      <c r="R150" s="13"/>
      <c r="AB150" s="3"/>
      <c r="AC150" s="3"/>
      <c r="AD150" s="3">
        <v>588</v>
      </c>
    </row>
    <row r="151" spans="1:30">
      <c r="A151">
        <v>157</v>
      </c>
      <c r="B151">
        <v>740</v>
      </c>
      <c r="P151" s="13">
        <v>0.36749999999999999</v>
      </c>
      <c r="Q151" s="13">
        <v>0.36749999999999999</v>
      </c>
      <c r="R151" s="13"/>
      <c r="AB151" s="3"/>
      <c r="AC151" s="3"/>
      <c r="AD151" s="3">
        <v>592</v>
      </c>
    </row>
    <row r="152" spans="1:30">
      <c r="A152">
        <v>158</v>
      </c>
      <c r="B152">
        <v>745</v>
      </c>
      <c r="P152" s="13">
        <v>0.37</v>
      </c>
      <c r="Q152" s="13">
        <v>0.37</v>
      </c>
      <c r="R152" s="13"/>
      <c r="AB152" s="3"/>
      <c r="AC152" s="3"/>
      <c r="AD152" s="3">
        <v>596</v>
      </c>
    </row>
    <row r="153" spans="1:30">
      <c r="A153">
        <v>159</v>
      </c>
      <c r="B153">
        <v>750</v>
      </c>
      <c r="P153" s="13">
        <v>0.3725</v>
      </c>
      <c r="Q153" s="13">
        <v>0.3725</v>
      </c>
      <c r="R153" s="13"/>
      <c r="AB153" s="3"/>
      <c r="AC153" s="3"/>
      <c r="AD153" s="3">
        <v>600</v>
      </c>
    </row>
    <row r="154" spans="1:30">
      <c r="A154">
        <v>160</v>
      </c>
      <c r="B154">
        <v>755</v>
      </c>
      <c r="P154" s="13">
        <v>0.375</v>
      </c>
      <c r="Q154" s="13">
        <v>0.375</v>
      </c>
      <c r="R154" s="13"/>
      <c r="AB154" s="3"/>
      <c r="AC154" s="3"/>
      <c r="AD154" s="3">
        <v>604</v>
      </c>
    </row>
    <row r="155" spans="1:30">
      <c r="A155">
        <v>161</v>
      </c>
      <c r="B155">
        <v>760</v>
      </c>
      <c r="P155" s="13">
        <v>0.3775</v>
      </c>
      <c r="Q155" s="13">
        <v>0.3775</v>
      </c>
      <c r="R155" s="13"/>
      <c r="AB155" s="3"/>
      <c r="AC155" s="3"/>
      <c r="AD155" s="3">
        <v>608</v>
      </c>
    </row>
    <row r="156" spans="1:30">
      <c r="A156">
        <v>162</v>
      </c>
      <c r="B156">
        <v>765</v>
      </c>
      <c r="P156" s="13">
        <v>0.38</v>
      </c>
      <c r="Q156" s="13">
        <v>0.38</v>
      </c>
      <c r="R156" s="13"/>
      <c r="AB156" s="3"/>
      <c r="AC156" s="3"/>
      <c r="AD156" s="3">
        <v>612</v>
      </c>
    </row>
    <row r="157" spans="1:30">
      <c r="A157">
        <v>163</v>
      </c>
      <c r="B157">
        <v>770</v>
      </c>
      <c r="P157" s="13">
        <v>0.38250000000000001</v>
      </c>
      <c r="Q157" s="13">
        <v>0.38250000000000001</v>
      </c>
      <c r="R157" s="13"/>
      <c r="AB157" s="3"/>
      <c r="AC157" s="3"/>
      <c r="AD157" s="3">
        <v>616</v>
      </c>
    </row>
    <row r="158" spans="1:30">
      <c r="A158">
        <v>164</v>
      </c>
      <c r="B158">
        <v>775</v>
      </c>
      <c r="P158" s="13">
        <v>0.38500000000000001</v>
      </c>
      <c r="Q158" s="13">
        <v>0.38500000000000001</v>
      </c>
      <c r="R158" s="13"/>
      <c r="AB158" s="3"/>
      <c r="AC158" s="3"/>
      <c r="AD158" s="3">
        <v>620</v>
      </c>
    </row>
    <row r="159" spans="1:30">
      <c r="A159">
        <v>165</v>
      </c>
      <c r="B159">
        <v>780</v>
      </c>
      <c r="P159" s="13">
        <v>0.38750000000000001</v>
      </c>
      <c r="Q159" s="13">
        <v>0.38750000000000001</v>
      </c>
      <c r="R159" s="13"/>
      <c r="AB159" s="3"/>
      <c r="AC159" s="3"/>
      <c r="AD159" s="3">
        <v>624</v>
      </c>
    </row>
    <row r="160" spans="1:30">
      <c r="A160">
        <v>166</v>
      </c>
      <c r="B160">
        <v>785</v>
      </c>
      <c r="P160" s="13">
        <v>0.39</v>
      </c>
      <c r="Q160" s="13">
        <v>0.39</v>
      </c>
      <c r="R160" s="13"/>
      <c r="AB160" s="3"/>
      <c r="AC160" s="3"/>
      <c r="AD160" s="3">
        <v>628</v>
      </c>
    </row>
    <row r="161" spans="1:30">
      <c r="A161">
        <v>167</v>
      </c>
      <c r="B161">
        <v>790</v>
      </c>
      <c r="P161" s="13">
        <v>0.39250000000000002</v>
      </c>
      <c r="Q161" s="13">
        <v>0.39250000000000002</v>
      </c>
      <c r="R161" s="13"/>
      <c r="AB161" s="3"/>
      <c r="AC161" s="3"/>
      <c r="AD161" s="3">
        <v>632</v>
      </c>
    </row>
    <row r="162" spans="1:30">
      <c r="A162">
        <v>168</v>
      </c>
      <c r="B162">
        <v>795</v>
      </c>
      <c r="P162" s="13">
        <v>0.39500000000000002</v>
      </c>
      <c r="Q162" s="13">
        <v>0.39500000000000002</v>
      </c>
      <c r="R162" s="13"/>
      <c r="AB162" s="3"/>
      <c r="AC162" s="3"/>
      <c r="AD162" s="3">
        <v>636</v>
      </c>
    </row>
    <row r="163" spans="1:30">
      <c r="A163">
        <v>169</v>
      </c>
      <c r="B163">
        <v>800</v>
      </c>
      <c r="P163" s="13">
        <v>0.39750000000000002</v>
      </c>
      <c r="Q163" s="13">
        <v>0.39750000000000002</v>
      </c>
      <c r="R163" s="13"/>
      <c r="AB163" s="3"/>
      <c r="AC163" s="3"/>
      <c r="AD163" s="3">
        <v>640</v>
      </c>
    </row>
    <row r="164" spans="1:30">
      <c r="A164">
        <v>170</v>
      </c>
      <c r="B164">
        <v>805</v>
      </c>
      <c r="P164" s="13">
        <v>0.4</v>
      </c>
      <c r="Q164" s="13">
        <v>0.4</v>
      </c>
      <c r="R164" s="13"/>
      <c r="AB164" s="3"/>
      <c r="AC164" s="3"/>
      <c r="AD164" s="3">
        <v>644</v>
      </c>
    </row>
    <row r="165" spans="1:30">
      <c r="A165">
        <v>171</v>
      </c>
      <c r="B165">
        <v>810</v>
      </c>
      <c r="P165" s="13">
        <v>0.40250000000000002</v>
      </c>
      <c r="Q165" s="13">
        <v>0.40250000000000002</v>
      </c>
      <c r="R165" s="13"/>
      <c r="AD165" s="3">
        <v>648</v>
      </c>
    </row>
    <row r="166" spans="1:30">
      <c r="A166">
        <v>172</v>
      </c>
      <c r="B166">
        <v>815</v>
      </c>
      <c r="P166" s="13">
        <v>0.40500000000000003</v>
      </c>
      <c r="Q166" s="13">
        <v>0.40500000000000003</v>
      </c>
      <c r="R166" s="13"/>
      <c r="AD166" s="3">
        <v>652</v>
      </c>
    </row>
    <row r="167" spans="1:30">
      <c r="A167">
        <v>173</v>
      </c>
      <c r="B167">
        <v>820</v>
      </c>
      <c r="P167" s="13">
        <v>0.40749999999999997</v>
      </c>
      <c r="Q167" s="13">
        <v>0.40749999999999997</v>
      </c>
      <c r="R167" s="13"/>
      <c r="AD167" s="3">
        <v>656</v>
      </c>
    </row>
    <row r="168" spans="1:30">
      <c r="A168">
        <v>174</v>
      </c>
      <c r="B168">
        <v>825</v>
      </c>
      <c r="P168" s="13">
        <v>0.41</v>
      </c>
      <c r="Q168" s="13">
        <v>0.41</v>
      </c>
      <c r="R168" s="13"/>
      <c r="AD168" s="3">
        <v>660</v>
      </c>
    </row>
    <row r="169" spans="1:30">
      <c r="A169">
        <v>175</v>
      </c>
      <c r="B169">
        <v>830</v>
      </c>
      <c r="P169" s="13">
        <v>0.41249999999999998</v>
      </c>
      <c r="Q169" s="13">
        <v>0.41249999999999998</v>
      </c>
      <c r="R169" s="13"/>
      <c r="AD169" s="3">
        <v>664</v>
      </c>
    </row>
    <row r="170" spans="1:30">
      <c r="A170">
        <v>176</v>
      </c>
      <c r="B170">
        <v>835</v>
      </c>
      <c r="P170" s="13">
        <v>0.41499999999999998</v>
      </c>
      <c r="Q170" s="13">
        <v>0.41499999999999998</v>
      </c>
      <c r="R170" s="13"/>
      <c r="AD170" s="3">
        <v>668</v>
      </c>
    </row>
    <row r="171" spans="1:30">
      <c r="A171">
        <v>177</v>
      </c>
      <c r="B171">
        <v>840</v>
      </c>
      <c r="P171" s="13">
        <v>0.41749999999999998</v>
      </c>
      <c r="Q171" s="13">
        <v>0.41749999999999998</v>
      </c>
      <c r="R171" s="13"/>
      <c r="AD171" s="3">
        <v>672</v>
      </c>
    </row>
    <row r="172" spans="1:30">
      <c r="A172">
        <v>178</v>
      </c>
      <c r="B172">
        <v>845</v>
      </c>
      <c r="P172" s="13">
        <v>0.42</v>
      </c>
      <c r="Q172" s="13">
        <v>0.42</v>
      </c>
      <c r="R172" s="13"/>
      <c r="AD172" s="3">
        <v>676</v>
      </c>
    </row>
    <row r="173" spans="1:30">
      <c r="A173">
        <v>179</v>
      </c>
      <c r="B173">
        <v>850</v>
      </c>
      <c r="P173" s="13">
        <v>0.42249999999999999</v>
      </c>
      <c r="Q173" s="13">
        <v>0.42249999999999999</v>
      </c>
      <c r="R173" s="13"/>
      <c r="AD173" s="3">
        <v>680</v>
      </c>
    </row>
    <row r="174" spans="1:30">
      <c r="A174">
        <v>180</v>
      </c>
      <c r="B174">
        <v>855</v>
      </c>
      <c r="P174" s="13">
        <v>0.42499999999999999</v>
      </c>
      <c r="Q174" s="13">
        <v>0.42499999999999999</v>
      </c>
      <c r="R174" s="13"/>
      <c r="AD174" s="3">
        <v>684</v>
      </c>
    </row>
    <row r="175" spans="1:30">
      <c r="A175">
        <v>181</v>
      </c>
      <c r="B175">
        <v>860</v>
      </c>
      <c r="P175" s="13">
        <v>0.42749999999999999</v>
      </c>
      <c r="Q175" s="13">
        <v>0.42749999999999999</v>
      </c>
      <c r="R175" s="13"/>
      <c r="AD175" s="3">
        <v>688</v>
      </c>
    </row>
    <row r="176" spans="1:30">
      <c r="A176">
        <v>182</v>
      </c>
      <c r="B176">
        <v>865</v>
      </c>
      <c r="P176" s="13">
        <v>0.43</v>
      </c>
      <c r="Q176" s="13">
        <v>0.43</v>
      </c>
      <c r="R176" s="13"/>
      <c r="AD176" s="3">
        <v>692</v>
      </c>
    </row>
    <row r="177" spans="1:30">
      <c r="A177">
        <v>183</v>
      </c>
      <c r="B177">
        <v>870</v>
      </c>
      <c r="P177" s="13">
        <v>0.4325</v>
      </c>
      <c r="Q177" s="13">
        <v>0.4325</v>
      </c>
      <c r="R177" s="13"/>
      <c r="AD177" s="3">
        <v>696</v>
      </c>
    </row>
    <row r="178" spans="1:30">
      <c r="A178">
        <v>184</v>
      </c>
      <c r="B178">
        <v>875</v>
      </c>
      <c r="P178" s="13">
        <v>0.435</v>
      </c>
      <c r="Q178" s="13">
        <v>0.435</v>
      </c>
      <c r="R178" s="13"/>
      <c r="AD178" s="3">
        <v>700</v>
      </c>
    </row>
    <row r="179" spans="1:30">
      <c r="A179">
        <v>185</v>
      </c>
      <c r="B179">
        <v>880</v>
      </c>
      <c r="P179" s="13">
        <v>0.4375</v>
      </c>
      <c r="Q179" s="13">
        <v>0.4375</v>
      </c>
      <c r="R179" s="13"/>
      <c r="AD179" s="3">
        <v>704</v>
      </c>
    </row>
    <row r="180" spans="1:30">
      <c r="A180">
        <v>186</v>
      </c>
      <c r="B180">
        <v>885</v>
      </c>
      <c r="P180" s="13">
        <v>0.44</v>
      </c>
      <c r="Q180" s="13">
        <v>0.44</v>
      </c>
      <c r="R180" s="13"/>
      <c r="AD180" s="3">
        <v>708</v>
      </c>
    </row>
    <row r="181" spans="1:30">
      <c r="A181">
        <v>187</v>
      </c>
      <c r="B181">
        <v>890</v>
      </c>
      <c r="P181" s="13">
        <v>0.4425</v>
      </c>
      <c r="Q181" s="13">
        <v>0.4425</v>
      </c>
      <c r="R181" s="13"/>
      <c r="AD181" s="3">
        <v>712</v>
      </c>
    </row>
    <row r="182" spans="1:30">
      <c r="A182">
        <v>188</v>
      </c>
      <c r="B182">
        <v>895</v>
      </c>
      <c r="P182" s="13">
        <v>0.44500000000000001</v>
      </c>
      <c r="Q182" s="13">
        <v>0.44500000000000001</v>
      </c>
      <c r="R182" s="13"/>
      <c r="AD182" s="3">
        <v>716</v>
      </c>
    </row>
    <row r="183" spans="1:30">
      <c r="A183">
        <v>189</v>
      </c>
      <c r="B183">
        <v>900</v>
      </c>
      <c r="P183" s="13">
        <v>0.44750000000000001</v>
      </c>
      <c r="Q183" s="13">
        <v>0.44750000000000001</v>
      </c>
      <c r="R183" s="13"/>
      <c r="AD183" s="3">
        <v>720</v>
      </c>
    </row>
    <row r="184" spans="1:30">
      <c r="A184">
        <v>190</v>
      </c>
      <c r="B184">
        <v>905</v>
      </c>
      <c r="P184" s="13">
        <v>0.45</v>
      </c>
      <c r="Q184" s="13">
        <v>0.45</v>
      </c>
      <c r="R184" s="13"/>
      <c r="AD184" s="3"/>
    </row>
    <row r="185" spans="1:30">
      <c r="A185">
        <v>191</v>
      </c>
      <c r="B185">
        <v>910</v>
      </c>
      <c r="P185" s="13">
        <v>0.45250000000000001</v>
      </c>
      <c r="Q185" s="13">
        <v>0.45250000000000001</v>
      </c>
      <c r="R185" s="13"/>
      <c r="AD185" s="3"/>
    </row>
    <row r="186" spans="1:30">
      <c r="A186">
        <v>192</v>
      </c>
      <c r="B186">
        <v>915</v>
      </c>
      <c r="P186" s="13">
        <v>0.45500000000000002</v>
      </c>
      <c r="Q186" s="13">
        <v>0.45500000000000002</v>
      </c>
      <c r="R186" s="13"/>
      <c r="AD186" s="3"/>
    </row>
    <row r="187" spans="1:30">
      <c r="A187">
        <v>193</v>
      </c>
      <c r="B187">
        <v>920</v>
      </c>
      <c r="P187" s="13">
        <v>0.45750000000000002</v>
      </c>
      <c r="Q187" s="13">
        <v>0.45750000000000002</v>
      </c>
      <c r="R187" s="13"/>
      <c r="AD187" s="3"/>
    </row>
    <row r="188" spans="1:30">
      <c r="A188">
        <v>194</v>
      </c>
      <c r="B188">
        <v>925</v>
      </c>
      <c r="P188" s="13">
        <v>0.46</v>
      </c>
      <c r="Q188" s="13">
        <v>0.46</v>
      </c>
      <c r="R188" s="13"/>
      <c r="AD188" s="3"/>
    </row>
    <row r="189" spans="1:30">
      <c r="A189">
        <v>195</v>
      </c>
      <c r="B189">
        <v>930</v>
      </c>
      <c r="P189" s="13">
        <v>0.46250000000000002</v>
      </c>
      <c r="Q189" s="13">
        <v>0.46250000000000002</v>
      </c>
      <c r="R189" s="13"/>
      <c r="AD189" s="3"/>
    </row>
    <row r="190" spans="1:30">
      <c r="A190">
        <v>196</v>
      </c>
      <c r="B190">
        <v>935</v>
      </c>
      <c r="P190" s="13">
        <v>0.46500000000000002</v>
      </c>
      <c r="Q190" s="13">
        <v>0.46500000000000002</v>
      </c>
      <c r="R190" s="13"/>
      <c r="AD190" s="3"/>
    </row>
    <row r="191" spans="1:30">
      <c r="A191">
        <v>197</v>
      </c>
      <c r="B191">
        <v>940</v>
      </c>
      <c r="P191" s="13">
        <v>0.46750000000000003</v>
      </c>
      <c r="Q191" s="13">
        <v>0.46750000000000003</v>
      </c>
      <c r="R191" s="13"/>
      <c r="AD191" s="3"/>
    </row>
    <row r="192" spans="1:30">
      <c r="A192">
        <v>198</v>
      </c>
      <c r="B192">
        <v>945</v>
      </c>
      <c r="P192" s="13">
        <v>0.47</v>
      </c>
      <c r="Q192" s="13">
        <v>0.47</v>
      </c>
      <c r="R192" s="13"/>
      <c r="AD192" s="3"/>
    </row>
    <row r="193" spans="1:30">
      <c r="A193">
        <v>199</v>
      </c>
      <c r="B193">
        <v>950</v>
      </c>
      <c r="P193" s="13">
        <v>0.47249999999999998</v>
      </c>
      <c r="Q193" s="13">
        <v>0.47249999999999998</v>
      </c>
      <c r="R193" s="13"/>
      <c r="AD193" s="3"/>
    </row>
    <row r="194" spans="1:30">
      <c r="A194">
        <v>200</v>
      </c>
      <c r="B194">
        <v>955</v>
      </c>
      <c r="P194" s="13">
        <v>0.47499999999999998</v>
      </c>
      <c r="Q194" s="13">
        <v>0.47499999999999998</v>
      </c>
      <c r="R194" s="13"/>
      <c r="AD194" s="3"/>
    </row>
    <row r="195" spans="1:30">
      <c r="A195">
        <v>201</v>
      </c>
      <c r="B195">
        <v>960</v>
      </c>
      <c r="P195" s="13">
        <v>0.47749999999999998</v>
      </c>
      <c r="Q195" s="13">
        <v>0.47749999999999998</v>
      </c>
      <c r="R195" s="13"/>
      <c r="AD195" s="3"/>
    </row>
    <row r="196" spans="1:30">
      <c r="A196">
        <v>202</v>
      </c>
      <c r="B196">
        <v>965</v>
      </c>
      <c r="P196" s="13">
        <v>0.48</v>
      </c>
      <c r="Q196" s="13">
        <v>0.48</v>
      </c>
      <c r="R196" s="13"/>
      <c r="AD196" s="3"/>
    </row>
    <row r="197" spans="1:30">
      <c r="A197">
        <v>203</v>
      </c>
      <c r="B197">
        <v>970</v>
      </c>
      <c r="P197" s="13">
        <v>0.48249999999999998</v>
      </c>
      <c r="Q197" s="13">
        <v>0.48249999999999998</v>
      </c>
      <c r="R197" s="13"/>
      <c r="AD197" s="3"/>
    </row>
    <row r="198" spans="1:30">
      <c r="A198">
        <v>204</v>
      </c>
      <c r="B198">
        <v>975</v>
      </c>
      <c r="P198" s="13">
        <v>0.48499999999999999</v>
      </c>
      <c r="Q198" s="13">
        <v>0.48499999999999999</v>
      </c>
      <c r="R198" s="13"/>
      <c r="AD198" s="3"/>
    </row>
    <row r="199" spans="1:30">
      <c r="A199">
        <v>205</v>
      </c>
      <c r="B199">
        <v>980</v>
      </c>
      <c r="P199" s="13">
        <v>0.48749999999999999</v>
      </c>
      <c r="Q199" s="13">
        <v>0.48749999999999999</v>
      </c>
      <c r="R199" s="13"/>
      <c r="AD199" s="3"/>
    </row>
    <row r="200" spans="1:30">
      <c r="A200">
        <v>206</v>
      </c>
      <c r="B200">
        <v>985</v>
      </c>
      <c r="P200" s="13">
        <v>0.49</v>
      </c>
      <c r="Q200" s="13">
        <v>0.49</v>
      </c>
      <c r="R200" s="13"/>
      <c r="AD200" s="3"/>
    </row>
    <row r="201" spans="1:30">
      <c r="A201">
        <v>207</v>
      </c>
      <c r="B201">
        <v>990</v>
      </c>
      <c r="P201" s="13">
        <v>0.49249999999999999</v>
      </c>
      <c r="Q201" s="13">
        <v>0.49249999999999999</v>
      </c>
      <c r="R201" s="13"/>
      <c r="AD201" s="3"/>
    </row>
    <row r="202" spans="1:30">
      <c r="A202">
        <v>208</v>
      </c>
      <c r="B202">
        <v>995</v>
      </c>
      <c r="P202" s="13">
        <v>0.495</v>
      </c>
      <c r="Q202" s="13">
        <v>0.495</v>
      </c>
      <c r="R202" s="13"/>
      <c r="AD202" s="3"/>
    </row>
    <row r="203" spans="1:30">
      <c r="A203">
        <v>209</v>
      </c>
      <c r="B203">
        <v>1000</v>
      </c>
      <c r="P203" s="13">
        <v>0.4975</v>
      </c>
      <c r="Q203" s="13">
        <v>0.4975</v>
      </c>
      <c r="R203" s="13"/>
      <c r="AD203" s="3"/>
    </row>
    <row r="204" spans="1:30">
      <c r="A204">
        <v>210</v>
      </c>
      <c r="B204">
        <v>1005</v>
      </c>
      <c r="P204" s="13">
        <v>0.5</v>
      </c>
      <c r="Q204" s="13">
        <v>0.5</v>
      </c>
      <c r="R204" s="13"/>
      <c r="AD204" s="3"/>
    </row>
    <row r="205" spans="1:30">
      <c r="A205">
        <v>211</v>
      </c>
      <c r="B205">
        <v>1010</v>
      </c>
      <c r="P205" s="13">
        <v>0.50249999999999995</v>
      </c>
      <c r="Q205" s="13">
        <v>0.50249999999999995</v>
      </c>
      <c r="R205" s="13"/>
      <c r="AD205" s="3"/>
    </row>
    <row r="206" spans="1:30">
      <c r="A206">
        <v>212</v>
      </c>
      <c r="B206">
        <v>1015</v>
      </c>
      <c r="P206" s="13">
        <v>0.505</v>
      </c>
      <c r="Q206" s="13">
        <v>0.505</v>
      </c>
      <c r="R206" s="13"/>
      <c r="AD206" s="3"/>
    </row>
    <row r="207" spans="1:30">
      <c r="A207">
        <v>213</v>
      </c>
      <c r="B207">
        <v>1020</v>
      </c>
      <c r="P207" s="13">
        <v>0.50749999999999995</v>
      </c>
      <c r="Q207" s="13">
        <v>0.50749999999999995</v>
      </c>
      <c r="R207" s="13"/>
      <c r="AD207" s="3"/>
    </row>
    <row r="208" spans="1:30">
      <c r="A208">
        <v>214</v>
      </c>
      <c r="B208">
        <v>1025</v>
      </c>
      <c r="P208" s="13">
        <v>0.51</v>
      </c>
      <c r="Q208" s="13">
        <v>0.51</v>
      </c>
      <c r="R208" s="13"/>
      <c r="AD208" s="3"/>
    </row>
    <row r="209" spans="1:30">
      <c r="A209">
        <v>215</v>
      </c>
      <c r="B209">
        <v>1030</v>
      </c>
      <c r="P209" s="13">
        <v>0.51249999999999996</v>
      </c>
      <c r="Q209" s="13">
        <v>0.51249999999999996</v>
      </c>
      <c r="R209" s="13"/>
      <c r="AD209" s="3"/>
    </row>
    <row r="210" spans="1:30">
      <c r="A210">
        <v>216</v>
      </c>
      <c r="B210">
        <v>1035</v>
      </c>
      <c r="P210" s="13">
        <v>0.51500000000000001</v>
      </c>
      <c r="Q210" s="13">
        <v>0.51500000000000001</v>
      </c>
      <c r="R210" s="13"/>
      <c r="AD210" s="3"/>
    </row>
    <row r="211" spans="1:30">
      <c r="A211">
        <v>217</v>
      </c>
      <c r="B211">
        <v>1040</v>
      </c>
      <c r="P211" s="13">
        <v>0.51749999999999996</v>
      </c>
      <c r="Q211" s="13">
        <v>0.51749999999999996</v>
      </c>
      <c r="R211" s="13"/>
      <c r="AD211" s="3"/>
    </row>
    <row r="212" spans="1:30">
      <c r="A212">
        <v>218</v>
      </c>
      <c r="B212">
        <v>1045</v>
      </c>
      <c r="P212" s="13">
        <v>0.52</v>
      </c>
      <c r="Q212" s="13">
        <v>0.52</v>
      </c>
      <c r="R212" s="13"/>
      <c r="AD212" s="3"/>
    </row>
    <row r="213" spans="1:30">
      <c r="A213">
        <v>219</v>
      </c>
      <c r="B213">
        <v>1050</v>
      </c>
      <c r="P213" s="13">
        <v>0.52249999999999996</v>
      </c>
      <c r="Q213" s="13">
        <v>0.52249999999999996</v>
      </c>
      <c r="R213" s="13"/>
      <c r="AD213" s="3"/>
    </row>
    <row r="214" spans="1:30">
      <c r="A214">
        <v>220</v>
      </c>
      <c r="B214">
        <v>1055</v>
      </c>
      <c r="P214" s="13">
        <v>0.52500000000000002</v>
      </c>
      <c r="Q214" s="13">
        <v>0.52500000000000002</v>
      </c>
      <c r="R214" s="13"/>
      <c r="AD214" s="3"/>
    </row>
    <row r="215" spans="1:30">
      <c r="A215">
        <v>221</v>
      </c>
      <c r="B215">
        <v>1060</v>
      </c>
      <c r="P215" s="13">
        <v>0.52749999999999997</v>
      </c>
      <c r="Q215" s="13">
        <v>0.52749999999999997</v>
      </c>
      <c r="R215" s="13"/>
      <c r="AD215" s="3"/>
    </row>
    <row r="216" spans="1:30">
      <c r="A216">
        <v>222</v>
      </c>
      <c r="B216">
        <v>1065</v>
      </c>
      <c r="P216" s="13">
        <v>0.53</v>
      </c>
      <c r="Q216" s="13">
        <v>0.53</v>
      </c>
      <c r="R216" s="13"/>
      <c r="AD216" s="3"/>
    </row>
    <row r="217" spans="1:30">
      <c r="A217">
        <v>223</v>
      </c>
      <c r="B217">
        <v>1070</v>
      </c>
      <c r="P217" s="13">
        <v>0.53249999999999997</v>
      </c>
      <c r="Q217" s="13">
        <v>0.53249999999999997</v>
      </c>
      <c r="R217" s="13"/>
      <c r="AD217" s="3"/>
    </row>
    <row r="218" spans="1:30">
      <c r="A218">
        <v>224</v>
      </c>
      <c r="B218">
        <v>1075</v>
      </c>
      <c r="P218" s="13">
        <v>0.53500000000000003</v>
      </c>
      <c r="Q218" s="13">
        <v>0.53500000000000003</v>
      </c>
      <c r="R218" s="13"/>
      <c r="AD218" s="3"/>
    </row>
    <row r="219" spans="1:30">
      <c r="A219">
        <v>225</v>
      </c>
      <c r="B219">
        <v>1080</v>
      </c>
      <c r="P219" s="13">
        <v>0.53749999999999998</v>
      </c>
      <c r="Q219" s="13">
        <v>0.53749999999999998</v>
      </c>
      <c r="R219" s="13"/>
      <c r="AD219" s="3"/>
    </row>
    <row r="220" spans="1:30">
      <c r="A220">
        <v>226</v>
      </c>
      <c r="B220">
        <v>1085</v>
      </c>
      <c r="P220" s="13">
        <v>0.54</v>
      </c>
      <c r="Q220" s="13">
        <v>0.54</v>
      </c>
      <c r="R220" s="13"/>
      <c r="AD220" s="3"/>
    </row>
    <row r="221" spans="1:30">
      <c r="A221">
        <v>227</v>
      </c>
      <c r="B221">
        <v>1090</v>
      </c>
      <c r="P221" s="13">
        <v>0.54249999999999998</v>
      </c>
      <c r="Q221" s="13">
        <v>0.54249999999999998</v>
      </c>
      <c r="R221" s="13"/>
      <c r="AD221" s="3"/>
    </row>
    <row r="222" spans="1:30">
      <c r="A222">
        <v>228</v>
      </c>
      <c r="B222">
        <v>1095</v>
      </c>
      <c r="P222" s="13">
        <v>0.54500000000000004</v>
      </c>
      <c r="Q222" s="13">
        <v>0.54500000000000004</v>
      </c>
      <c r="R222" s="13"/>
      <c r="AD222" s="3"/>
    </row>
    <row r="223" spans="1:30">
      <c r="A223">
        <v>229</v>
      </c>
      <c r="B223">
        <v>1100</v>
      </c>
      <c r="P223" s="13">
        <v>0.54749999999999999</v>
      </c>
      <c r="Q223" s="13">
        <v>0.54749999999999999</v>
      </c>
      <c r="R223" s="13"/>
      <c r="AD223" s="3"/>
    </row>
    <row r="224" spans="1:30">
      <c r="A224">
        <v>230</v>
      </c>
      <c r="B224">
        <v>1105</v>
      </c>
      <c r="P224" s="13">
        <v>0.55000000000000004</v>
      </c>
      <c r="Q224" s="13">
        <v>0.55000000000000004</v>
      </c>
      <c r="R224" s="13"/>
      <c r="AD224" s="3"/>
    </row>
    <row r="225" spans="1:30">
      <c r="A225">
        <v>231</v>
      </c>
      <c r="B225">
        <v>1110</v>
      </c>
      <c r="P225" s="13">
        <v>0.55249999999999999</v>
      </c>
      <c r="Q225" s="13">
        <v>0.55249999999999999</v>
      </c>
      <c r="R225" s="13"/>
      <c r="AD225" s="3"/>
    </row>
    <row r="226" spans="1:30">
      <c r="A226">
        <v>232</v>
      </c>
      <c r="B226">
        <v>1115</v>
      </c>
      <c r="P226" s="13">
        <v>0.55500000000000005</v>
      </c>
      <c r="Q226" s="13">
        <v>0.55500000000000005</v>
      </c>
      <c r="R226" s="13"/>
      <c r="AD226" s="3"/>
    </row>
    <row r="227" spans="1:30">
      <c r="A227">
        <v>233</v>
      </c>
      <c r="B227">
        <v>1120</v>
      </c>
      <c r="P227" s="13">
        <v>0.5575</v>
      </c>
      <c r="Q227" s="13">
        <v>0.5575</v>
      </c>
      <c r="R227" s="13"/>
      <c r="AD227" s="3"/>
    </row>
    <row r="228" spans="1:30">
      <c r="A228">
        <v>234</v>
      </c>
      <c r="B228">
        <v>1125</v>
      </c>
      <c r="P228" s="13">
        <v>0.56000000000000005</v>
      </c>
      <c r="Q228" s="13">
        <v>0.56000000000000005</v>
      </c>
      <c r="R228" s="13"/>
      <c r="AD228" s="3"/>
    </row>
    <row r="229" spans="1:30">
      <c r="A229">
        <v>235</v>
      </c>
      <c r="B229">
        <v>1130</v>
      </c>
      <c r="P229" s="13">
        <v>0.5625</v>
      </c>
      <c r="Q229" s="13">
        <v>0.5625</v>
      </c>
      <c r="R229" s="13"/>
      <c r="AD229" s="3"/>
    </row>
    <row r="230" spans="1:30">
      <c r="A230">
        <v>236</v>
      </c>
      <c r="B230">
        <v>1135</v>
      </c>
      <c r="P230" s="13">
        <v>0.56499999999999995</v>
      </c>
      <c r="Q230" s="13">
        <v>0.56499999999999995</v>
      </c>
      <c r="R230" s="13"/>
      <c r="AD230" s="3"/>
    </row>
    <row r="231" spans="1:30">
      <c r="A231">
        <v>237</v>
      </c>
      <c r="B231">
        <v>1140</v>
      </c>
      <c r="P231" s="13">
        <v>0.5675</v>
      </c>
      <c r="Q231" s="13">
        <v>0.5675</v>
      </c>
      <c r="R231" s="13"/>
      <c r="AD231" s="3"/>
    </row>
    <row r="232" spans="1:30">
      <c r="A232">
        <v>238</v>
      </c>
      <c r="B232">
        <v>1145</v>
      </c>
      <c r="P232" s="13">
        <v>0.56999999999999995</v>
      </c>
      <c r="Q232" s="13">
        <v>0.56999999999999995</v>
      </c>
      <c r="R232" s="13"/>
      <c r="AD232" s="3"/>
    </row>
    <row r="233" spans="1:30">
      <c r="A233">
        <v>239</v>
      </c>
      <c r="B233">
        <v>1150</v>
      </c>
      <c r="P233" s="13">
        <v>0.57250000000000001</v>
      </c>
      <c r="Q233" s="13">
        <v>0.57250000000000001</v>
      </c>
      <c r="R233" s="13"/>
      <c r="AD233" s="3"/>
    </row>
    <row r="234" spans="1:30">
      <c r="A234">
        <v>240</v>
      </c>
      <c r="B234">
        <v>1155</v>
      </c>
      <c r="P234" s="13">
        <v>0.57499999999999996</v>
      </c>
      <c r="Q234" s="13">
        <v>0.57499999999999996</v>
      </c>
      <c r="R234" s="13"/>
      <c r="AD234" s="3"/>
    </row>
    <row r="235" spans="1:30">
      <c r="A235">
        <v>241</v>
      </c>
      <c r="B235">
        <v>1160</v>
      </c>
      <c r="P235" s="13">
        <v>0.57750000000000001</v>
      </c>
      <c r="Q235" s="13">
        <v>0.57750000000000001</v>
      </c>
      <c r="R235" s="13"/>
      <c r="AD235" s="3"/>
    </row>
    <row r="236" spans="1:30">
      <c r="A236">
        <v>242</v>
      </c>
      <c r="B236">
        <v>1165</v>
      </c>
      <c r="P236" s="13">
        <v>0.57999999999999996</v>
      </c>
      <c r="Q236" s="13">
        <v>0.57999999999999996</v>
      </c>
      <c r="R236" s="13"/>
      <c r="AD236" s="3"/>
    </row>
    <row r="237" spans="1:30">
      <c r="A237">
        <v>243</v>
      </c>
      <c r="B237">
        <v>1170</v>
      </c>
      <c r="P237" s="13">
        <v>0.58250000000000002</v>
      </c>
      <c r="Q237" s="13">
        <v>0.58250000000000002</v>
      </c>
      <c r="R237" s="13"/>
      <c r="AD237" s="3"/>
    </row>
    <row r="238" spans="1:30">
      <c r="A238">
        <v>244</v>
      </c>
      <c r="B238">
        <v>1175</v>
      </c>
      <c r="P238" s="13">
        <v>0.58499999999999996</v>
      </c>
      <c r="Q238" s="13">
        <v>0.58499999999999996</v>
      </c>
      <c r="R238" s="13"/>
      <c r="AD238" s="3"/>
    </row>
    <row r="239" spans="1:30">
      <c r="A239">
        <v>245</v>
      </c>
      <c r="B239">
        <v>1180</v>
      </c>
      <c r="P239" s="13">
        <v>0.58750000000000002</v>
      </c>
      <c r="Q239" s="13">
        <v>0.58750000000000002</v>
      </c>
      <c r="R239" s="13"/>
      <c r="AD239" s="3"/>
    </row>
    <row r="240" spans="1:30">
      <c r="A240">
        <v>246</v>
      </c>
      <c r="B240">
        <v>1185</v>
      </c>
      <c r="P240" s="13">
        <v>0.59</v>
      </c>
      <c r="Q240" s="13">
        <v>0.59</v>
      </c>
      <c r="R240" s="13"/>
      <c r="AD240" s="3"/>
    </row>
    <row r="241" spans="1:30">
      <c r="A241">
        <v>247</v>
      </c>
      <c r="B241">
        <v>1190</v>
      </c>
      <c r="P241" s="13">
        <v>0.59250000000000003</v>
      </c>
      <c r="Q241" s="13">
        <v>0.59250000000000003</v>
      </c>
      <c r="R241" s="13"/>
      <c r="AD241" s="3"/>
    </row>
    <row r="242" spans="1:30">
      <c r="A242">
        <v>248</v>
      </c>
      <c r="B242">
        <v>1195</v>
      </c>
      <c r="P242" s="13">
        <v>0.59499999999999997</v>
      </c>
      <c r="Q242" s="13">
        <v>0.59499999999999997</v>
      </c>
      <c r="R242" s="13"/>
      <c r="AD242" s="3"/>
    </row>
    <row r="243" spans="1:30">
      <c r="A243">
        <v>249</v>
      </c>
      <c r="B243">
        <v>1200</v>
      </c>
      <c r="P243" s="13">
        <v>0.59750000000000003</v>
      </c>
      <c r="Q243" s="13">
        <v>0.59750000000000003</v>
      </c>
      <c r="R243" s="13"/>
      <c r="AD243" s="3"/>
    </row>
    <row r="244" spans="1:30">
      <c r="A244">
        <v>250</v>
      </c>
      <c r="B244">
        <v>1205</v>
      </c>
      <c r="P244" s="13">
        <v>0.6</v>
      </c>
      <c r="Q244" s="13">
        <v>0.6</v>
      </c>
      <c r="R244" s="13"/>
    </row>
    <row r="245" spans="1:30">
      <c r="A245">
        <v>251</v>
      </c>
      <c r="B245">
        <v>1210</v>
      </c>
      <c r="P245" s="13">
        <v>0.60250000000000004</v>
      </c>
      <c r="Q245" s="13">
        <v>0.60250000000000004</v>
      </c>
      <c r="R245" s="13"/>
    </row>
    <row r="246" spans="1:30">
      <c r="A246">
        <v>252</v>
      </c>
      <c r="B246">
        <v>1215</v>
      </c>
      <c r="P246" s="13">
        <v>0.60499999999999998</v>
      </c>
      <c r="Q246" s="13">
        <v>0.60499999999999998</v>
      </c>
      <c r="R246" s="13"/>
    </row>
    <row r="247" spans="1:30">
      <c r="A247">
        <v>253</v>
      </c>
      <c r="B247">
        <v>1220</v>
      </c>
      <c r="P247" s="13">
        <v>0.60750000000000004</v>
      </c>
      <c r="Q247" s="13">
        <v>0.60750000000000004</v>
      </c>
      <c r="R247" s="13"/>
    </row>
    <row r="248" spans="1:30">
      <c r="A248">
        <v>254</v>
      </c>
      <c r="B248">
        <v>1225</v>
      </c>
      <c r="P248" s="13">
        <v>0.61</v>
      </c>
      <c r="Q248" s="13">
        <v>0.61</v>
      </c>
      <c r="R248" s="13"/>
    </row>
    <row r="249" spans="1:30">
      <c r="A249">
        <v>255</v>
      </c>
      <c r="B249">
        <v>1230</v>
      </c>
      <c r="P249" s="13">
        <v>0.61250000000000004</v>
      </c>
      <c r="Q249" s="13">
        <v>0.61250000000000004</v>
      </c>
      <c r="R249" s="13"/>
    </row>
    <row r="250" spans="1:30">
      <c r="A250">
        <v>256</v>
      </c>
      <c r="B250">
        <v>1235</v>
      </c>
      <c r="P250" s="13">
        <v>0.61499999999999999</v>
      </c>
      <c r="Q250" s="13">
        <v>0.61499999999999999</v>
      </c>
      <c r="R250" s="13"/>
    </row>
    <row r="251" spans="1:30">
      <c r="A251">
        <v>257</v>
      </c>
      <c r="B251">
        <v>1240</v>
      </c>
      <c r="P251" s="13">
        <v>0.61750000000000005</v>
      </c>
      <c r="Q251" s="13">
        <v>0.61750000000000005</v>
      </c>
      <c r="R251" s="13"/>
    </row>
    <row r="252" spans="1:30">
      <c r="A252">
        <v>258</v>
      </c>
      <c r="B252">
        <v>1245</v>
      </c>
      <c r="P252" s="13">
        <v>0.62</v>
      </c>
      <c r="Q252" s="13">
        <v>0.62</v>
      </c>
      <c r="R252" s="13"/>
    </row>
    <row r="253" spans="1:30">
      <c r="A253">
        <v>259</v>
      </c>
      <c r="B253">
        <v>1250</v>
      </c>
      <c r="P253" s="13">
        <v>0.62250000000000005</v>
      </c>
      <c r="Q253" s="13">
        <v>0.62250000000000005</v>
      </c>
      <c r="R253" s="13"/>
    </row>
    <row r="254" spans="1:30">
      <c r="A254">
        <v>260</v>
      </c>
      <c r="B254">
        <v>1255</v>
      </c>
      <c r="P254" s="13">
        <v>0.625</v>
      </c>
      <c r="Q254" s="13">
        <v>0.625</v>
      </c>
      <c r="R254" s="13"/>
    </row>
    <row r="255" spans="1:30">
      <c r="A255">
        <v>261</v>
      </c>
      <c r="B255">
        <v>1260</v>
      </c>
      <c r="P255" s="13">
        <v>0.62749999999999995</v>
      </c>
      <c r="Q255" s="13">
        <v>0.62749999999999995</v>
      </c>
      <c r="R255" s="13"/>
    </row>
    <row r="256" spans="1:30">
      <c r="A256">
        <v>262</v>
      </c>
      <c r="B256">
        <v>1265</v>
      </c>
      <c r="P256" s="13">
        <v>0.63</v>
      </c>
      <c r="Q256" s="13">
        <v>0.63</v>
      </c>
      <c r="R256" s="13"/>
    </row>
    <row r="257" spans="1:18">
      <c r="A257">
        <v>263</v>
      </c>
      <c r="B257">
        <v>1270</v>
      </c>
      <c r="P257" s="13">
        <v>0.63249999999999995</v>
      </c>
      <c r="Q257" s="13">
        <v>0.63249999999999995</v>
      </c>
      <c r="R257" s="13"/>
    </row>
    <row r="258" spans="1:18">
      <c r="A258">
        <v>264</v>
      </c>
      <c r="B258">
        <v>1275</v>
      </c>
      <c r="P258" s="13">
        <v>0.63500000000000001</v>
      </c>
      <c r="Q258" s="13">
        <v>0.63500000000000001</v>
      </c>
      <c r="R258" s="13"/>
    </row>
    <row r="259" spans="1:18">
      <c r="A259">
        <v>265</v>
      </c>
      <c r="B259">
        <v>1280</v>
      </c>
      <c r="P259" s="13">
        <v>0.63749999999999996</v>
      </c>
      <c r="Q259" s="13">
        <v>0.63749999999999996</v>
      </c>
      <c r="R259" s="13"/>
    </row>
    <row r="260" spans="1:18">
      <c r="A260">
        <v>266</v>
      </c>
      <c r="B260">
        <v>1285</v>
      </c>
      <c r="P260" s="13">
        <v>0.64</v>
      </c>
      <c r="Q260" s="13">
        <v>0.64</v>
      </c>
      <c r="R260" s="13"/>
    </row>
    <row r="261" spans="1:18">
      <c r="A261">
        <v>267</v>
      </c>
      <c r="B261">
        <v>1290</v>
      </c>
      <c r="P261" s="13">
        <v>0.64249999999999996</v>
      </c>
      <c r="Q261" s="13">
        <v>0.64249999999999996</v>
      </c>
      <c r="R261" s="13"/>
    </row>
    <row r="262" spans="1:18">
      <c r="A262">
        <v>268</v>
      </c>
      <c r="B262">
        <v>1295</v>
      </c>
      <c r="P262" s="13">
        <v>0.64500000000000002</v>
      </c>
      <c r="Q262" s="13">
        <v>0.64500000000000002</v>
      </c>
      <c r="R262" s="13"/>
    </row>
    <row r="263" spans="1:18">
      <c r="A263">
        <v>269</v>
      </c>
      <c r="B263">
        <v>1300</v>
      </c>
      <c r="P263" s="13">
        <v>0.64749999999999996</v>
      </c>
      <c r="Q263" s="13">
        <v>0.64749999999999996</v>
      </c>
      <c r="R263" s="13"/>
    </row>
    <row r="264" spans="1:18">
      <c r="A264">
        <v>270</v>
      </c>
      <c r="B264">
        <v>1305</v>
      </c>
      <c r="P264" s="13">
        <v>0.65</v>
      </c>
      <c r="Q264" s="13">
        <v>0.65</v>
      </c>
      <c r="R264" s="13"/>
    </row>
    <row r="265" spans="1:18">
      <c r="A265">
        <v>271</v>
      </c>
      <c r="B265">
        <v>1310</v>
      </c>
      <c r="P265" s="13">
        <v>0.65249999999999997</v>
      </c>
      <c r="Q265" s="13">
        <v>0.65249999999999997</v>
      </c>
      <c r="R265" s="13"/>
    </row>
    <row r="266" spans="1:18">
      <c r="A266">
        <v>272</v>
      </c>
      <c r="B266">
        <v>1315</v>
      </c>
      <c r="P266" s="13">
        <v>0.65500000000000003</v>
      </c>
      <c r="Q266" s="13">
        <v>0.65500000000000003</v>
      </c>
      <c r="R266" s="13"/>
    </row>
    <row r="267" spans="1:18">
      <c r="A267">
        <v>273</v>
      </c>
      <c r="B267">
        <v>1320</v>
      </c>
      <c r="P267" s="13">
        <v>0.65749999999999997</v>
      </c>
      <c r="Q267" s="13">
        <v>0.65749999999999997</v>
      </c>
      <c r="R267" s="13"/>
    </row>
    <row r="268" spans="1:18">
      <c r="A268">
        <v>274</v>
      </c>
      <c r="B268">
        <v>1325</v>
      </c>
      <c r="P268" s="13">
        <v>0.66</v>
      </c>
      <c r="Q268" s="13">
        <v>0.66</v>
      </c>
      <c r="R268" s="13"/>
    </row>
    <row r="269" spans="1:18">
      <c r="A269">
        <v>275</v>
      </c>
      <c r="B269">
        <v>1330</v>
      </c>
      <c r="P269" s="13">
        <v>0.66249999999999998</v>
      </c>
      <c r="Q269" s="13">
        <v>0.66249999999999998</v>
      </c>
      <c r="R269" s="13"/>
    </row>
    <row r="270" spans="1:18">
      <c r="A270">
        <v>276</v>
      </c>
      <c r="B270">
        <v>1335</v>
      </c>
      <c r="P270" s="13">
        <v>0.66500000000000004</v>
      </c>
      <c r="Q270" s="13">
        <v>0.66500000000000004</v>
      </c>
      <c r="R270" s="13"/>
    </row>
    <row r="271" spans="1:18">
      <c r="A271">
        <v>277</v>
      </c>
      <c r="B271">
        <v>1340</v>
      </c>
      <c r="P271" s="13">
        <v>0.66749999999999998</v>
      </c>
      <c r="Q271" s="13">
        <v>0.66749999999999998</v>
      </c>
      <c r="R271" s="13"/>
    </row>
    <row r="272" spans="1:18">
      <c r="A272">
        <v>278</v>
      </c>
      <c r="B272">
        <v>1345</v>
      </c>
      <c r="P272" s="13">
        <v>0.67</v>
      </c>
      <c r="Q272" s="13">
        <v>0.67</v>
      </c>
      <c r="R272" s="13"/>
    </row>
    <row r="273" spans="1:18">
      <c r="A273">
        <v>279</v>
      </c>
      <c r="B273">
        <v>1350</v>
      </c>
      <c r="P273" s="13">
        <v>0.67249999999999999</v>
      </c>
      <c r="Q273" s="13">
        <v>0.67249999999999999</v>
      </c>
      <c r="R273" s="13"/>
    </row>
    <row r="274" spans="1:18">
      <c r="A274">
        <v>280</v>
      </c>
      <c r="B274">
        <v>1355</v>
      </c>
      <c r="P274" s="13">
        <v>0.67500000000000004</v>
      </c>
      <c r="Q274" s="13">
        <v>0.67500000000000004</v>
      </c>
      <c r="R274" s="13"/>
    </row>
    <row r="275" spans="1:18">
      <c r="A275">
        <v>281</v>
      </c>
      <c r="B275">
        <v>1360</v>
      </c>
      <c r="P275" s="13">
        <v>0.67749999999999999</v>
      </c>
      <c r="Q275" s="13">
        <v>0.67749999999999999</v>
      </c>
      <c r="R275" s="13"/>
    </row>
    <row r="276" spans="1:18">
      <c r="A276">
        <v>282</v>
      </c>
      <c r="B276">
        <v>1365</v>
      </c>
      <c r="P276" s="13">
        <v>0.68</v>
      </c>
      <c r="Q276" s="13">
        <v>0.68</v>
      </c>
      <c r="R276" s="13"/>
    </row>
    <row r="277" spans="1:18">
      <c r="A277">
        <v>283</v>
      </c>
      <c r="B277">
        <v>1370</v>
      </c>
      <c r="P277" s="13">
        <v>0.6825</v>
      </c>
      <c r="Q277" s="13">
        <v>0.6825</v>
      </c>
      <c r="R277" s="13"/>
    </row>
    <row r="278" spans="1:18">
      <c r="A278">
        <v>284</v>
      </c>
      <c r="B278">
        <v>1375</v>
      </c>
      <c r="P278" s="13">
        <v>0.68500000000000005</v>
      </c>
      <c r="Q278" s="13">
        <v>0.68500000000000005</v>
      </c>
      <c r="R278" s="13"/>
    </row>
    <row r="279" spans="1:18">
      <c r="A279">
        <v>285</v>
      </c>
      <c r="B279">
        <v>1380</v>
      </c>
      <c r="P279" s="13">
        <v>0.6875</v>
      </c>
      <c r="Q279" s="13">
        <v>0.6875</v>
      </c>
      <c r="R279" s="13"/>
    </row>
    <row r="280" spans="1:18">
      <c r="A280">
        <v>286</v>
      </c>
      <c r="B280">
        <v>1385</v>
      </c>
      <c r="P280" s="13">
        <v>0.69</v>
      </c>
      <c r="Q280" s="13">
        <v>0.69</v>
      </c>
      <c r="R280" s="13"/>
    </row>
    <row r="281" spans="1:18">
      <c r="A281">
        <v>287</v>
      </c>
      <c r="B281">
        <v>1390</v>
      </c>
      <c r="P281" s="13">
        <v>0.6925</v>
      </c>
      <c r="Q281" s="13">
        <v>0.6925</v>
      </c>
      <c r="R281" s="13"/>
    </row>
    <row r="282" spans="1:18">
      <c r="A282">
        <v>288</v>
      </c>
      <c r="B282">
        <v>1395</v>
      </c>
      <c r="P282" s="13">
        <v>0.69499999999999995</v>
      </c>
      <c r="Q282" s="13">
        <v>0.69499999999999995</v>
      </c>
      <c r="R282" s="13"/>
    </row>
    <row r="283" spans="1:18">
      <c r="A283">
        <v>289</v>
      </c>
      <c r="B283">
        <v>1400</v>
      </c>
      <c r="P283" s="13">
        <v>0.69750000000000001</v>
      </c>
      <c r="Q283" s="13">
        <v>0.69750000000000001</v>
      </c>
      <c r="R283" s="13"/>
    </row>
    <row r="284" spans="1:18">
      <c r="A284">
        <v>290</v>
      </c>
      <c r="B284">
        <v>1405</v>
      </c>
      <c r="P284" s="13">
        <v>0.7</v>
      </c>
      <c r="Q284" s="13">
        <v>0.7</v>
      </c>
      <c r="R284" s="13"/>
    </row>
    <row r="285" spans="1:18">
      <c r="A285">
        <v>291</v>
      </c>
      <c r="B285">
        <v>1410</v>
      </c>
      <c r="P285" s="13">
        <v>0.70250000000000001</v>
      </c>
      <c r="Q285" s="13">
        <v>0.70250000000000001</v>
      </c>
      <c r="R285" s="13"/>
    </row>
    <row r="286" spans="1:18">
      <c r="A286">
        <v>292</v>
      </c>
      <c r="B286">
        <v>1415</v>
      </c>
      <c r="P286" s="13">
        <v>0.70499999999999996</v>
      </c>
      <c r="Q286" s="13">
        <v>0.70499999999999996</v>
      </c>
      <c r="R286" s="13"/>
    </row>
    <row r="287" spans="1:18">
      <c r="A287">
        <v>293</v>
      </c>
      <c r="B287">
        <v>1420</v>
      </c>
      <c r="P287" s="13">
        <v>0.70750000000000002</v>
      </c>
      <c r="Q287" s="13">
        <v>0.70750000000000002</v>
      </c>
      <c r="R287" s="13"/>
    </row>
    <row r="288" spans="1:18">
      <c r="A288">
        <v>294</v>
      </c>
      <c r="B288">
        <v>1425</v>
      </c>
      <c r="P288" s="13">
        <v>0.71</v>
      </c>
      <c r="Q288" s="13">
        <v>0.71</v>
      </c>
      <c r="R288" s="13"/>
    </row>
    <row r="289" spans="1:18">
      <c r="A289">
        <v>295</v>
      </c>
      <c r="B289">
        <v>1430</v>
      </c>
      <c r="P289" s="13">
        <v>0.71250000000000002</v>
      </c>
      <c r="Q289" s="13">
        <v>0.71250000000000002</v>
      </c>
      <c r="R289" s="13"/>
    </row>
    <row r="290" spans="1:18">
      <c r="A290">
        <v>296</v>
      </c>
      <c r="B290">
        <v>1435</v>
      </c>
      <c r="P290" s="13">
        <v>0.71499999999999997</v>
      </c>
      <c r="Q290" s="13">
        <v>0.71499999999999997</v>
      </c>
      <c r="R290" s="13"/>
    </row>
    <row r="291" spans="1:18">
      <c r="A291">
        <v>297</v>
      </c>
      <c r="B291">
        <v>1440</v>
      </c>
      <c r="P291" s="13">
        <v>0.71750000000000003</v>
      </c>
      <c r="Q291" s="13">
        <v>0.71750000000000003</v>
      </c>
      <c r="R291" s="13"/>
    </row>
    <row r="292" spans="1:18">
      <c r="A292">
        <v>298</v>
      </c>
      <c r="B292">
        <v>1445</v>
      </c>
      <c r="P292" s="13">
        <v>0.72</v>
      </c>
      <c r="Q292" s="13">
        <v>0.72</v>
      </c>
      <c r="R292" s="13"/>
    </row>
    <row r="293" spans="1:18">
      <c r="A293">
        <v>299</v>
      </c>
      <c r="B293">
        <v>1450</v>
      </c>
      <c r="P293" s="13">
        <v>0.72250000000000003</v>
      </c>
      <c r="Q293" s="13">
        <v>0.72250000000000003</v>
      </c>
      <c r="R293" s="13"/>
    </row>
    <row r="294" spans="1:18">
      <c r="A294">
        <v>300</v>
      </c>
      <c r="B294">
        <v>1455</v>
      </c>
      <c r="P294" s="13">
        <v>0.72499999999999998</v>
      </c>
      <c r="Q294" s="13">
        <v>0.72499999999999998</v>
      </c>
      <c r="R294" s="13"/>
    </row>
    <row r="295" spans="1:18">
      <c r="A295">
        <v>301</v>
      </c>
      <c r="B295">
        <v>1460</v>
      </c>
      <c r="P295" s="13">
        <v>0.72750000000000004</v>
      </c>
      <c r="Q295" s="13">
        <v>0.72750000000000004</v>
      </c>
      <c r="R295" s="13"/>
    </row>
    <row r="296" spans="1:18">
      <c r="A296">
        <v>302</v>
      </c>
      <c r="B296">
        <v>1465</v>
      </c>
      <c r="P296" s="13">
        <v>0.73</v>
      </c>
      <c r="Q296" s="13">
        <v>0.73</v>
      </c>
      <c r="R296" s="13"/>
    </row>
    <row r="297" spans="1:18">
      <c r="A297">
        <v>303</v>
      </c>
      <c r="B297">
        <v>1470</v>
      </c>
      <c r="P297" s="13">
        <v>0.73250000000000004</v>
      </c>
      <c r="Q297" s="13">
        <v>0.73250000000000004</v>
      </c>
      <c r="R297" s="13"/>
    </row>
    <row r="298" spans="1:18">
      <c r="A298">
        <v>304</v>
      </c>
      <c r="B298">
        <v>1475</v>
      </c>
      <c r="P298" s="13">
        <v>0.73499999999999999</v>
      </c>
      <c r="Q298" s="13">
        <v>0.73499999999999999</v>
      </c>
      <c r="R298" s="13"/>
    </row>
    <row r="299" spans="1:18">
      <c r="A299">
        <v>305</v>
      </c>
      <c r="B299">
        <v>1480</v>
      </c>
      <c r="P299" s="13">
        <v>0.73750000000000004</v>
      </c>
      <c r="Q299" s="13">
        <v>0.73750000000000004</v>
      </c>
      <c r="R299" s="13"/>
    </row>
    <row r="300" spans="1:18">
      <c r="A300">
        <v>306</v>
      </c>
      <c r="B300">
        <v>1485</v>
      </c>
      <c r="P300" s="13">
        <v>0.74</v>
      </c>
      <c r="Q300" s="13">
        <v>0.74</v>
      </c>
      <c r="R300" s="13"/>
    </row>
    <row r="301" spans="1:18">
      <c r="A301">
        <v>307</v>
      </c>
      <c r="B301">
        <v>1490</v>
      </c>
      <c r="P301" s="13">
        <v>0.74250000000000005</v>
      </c>
      <c r="Q301" s="13">
        <v>0.74250000000000005</v>
      </c>
      <c r="R301" s="13"/>
    </row>
    <row r="302" spans="1:18">
      <c r="A302">
        <v>308</v>
      </c>
      <c r="B302">
        <v>1495</v>
      </c>
      <c r="P302" s="13">
        <v>0.745</v>
      </c>
      <c r="Q302" s="13">
        <v>0.745</v>
      </c>
      <c r="R302" s="13"/>
    </row>
    <row r="303" spans="1:18">
      <c r="A303">
        <v>309</v>
      </c>
      <c r="B303">
        <v>1500</v>
      </c>
      <c r="P303" s="13">
        <v>0.74750000000000005</v>
      </c>
      <c r="Q303" s="13">
        <v>0.74750000000000005</v>
      </c>
      <c r="R303" s="13"/>
    </row>
    <row r="304" spans="1:18">
      <c r="A304">
        <v>310</v>
      </c>
      <c r="B304">
        <v>1505</v>
      </c>
      <c r="P304" s="13">
        <v>0.75</v>
      </c>
      <c r="Q304" s="13">
        <v>0.75</v>
      </c>
      <c r="R304" s="13"/>
    </row>
    <row r="305" spans="1:18">
      <c r="A305">
        <v>311</v>
      </c>
      <c r="B305">
        <v>1510</v>
      </c>
      <c r="P305" s="13">
        <v>0.75249999999999995</v>
      </c>
      <c r="Q305" s="13">
        <v>0.75249999999999995</v>
      </c>
      <c r="R305" s="13"/>
    </row>
    <row r="306" spans="1:18">
      <c r="A306">
        <v>312</v>
      </c>
      <c r="B306">
        <v>1515</v>
      </c>
      <c r="P306" s="13">
        <v>0.755</v>
      </c>
      <c r="Q306" s="13">
        <v>0.755</v>
      </c>
      <c r="R306" s="13"/>
    </row>
    <row r="307" spans="1:18">
      <c r="A307">
        <v>313</v>
      </c>
      <c r="B307">
        <v>1520</v>
      </c>
      <c r="P307" s="13">
        <v>0.75749999999999995</v>
      </c>
      <c r="Q307" s="13">
        <v>0.75749999999999995</v>
      </c>
      <c r="R307" s="13"/>
    </row>
    <row r="308" spans="1:18">
      <c r="A308">
        <v>314</v>
      </c>
      <c r="B308">
        <v>1525</v>
      </c>
      <c r="P308" s="13">
        <v>0.76</v>
      </c>
      <c r="Q308" s="13">
        <v>0.76</v>
      </c>
      <c r="R308" s="13"/>
    </row>
    <row r="309" spans="1:18">
      <c r="A309">
        <v>315</v>
      </c>
      <c r="B309">
        <v>1530</v>
      </c>
      <c r="P309" s="13">
        <v>0.76249999999999996</v>
      </c>
      <c r="Q309" s="13">
        <v>0.76249999999999996</v>
      </c>
      <c r="R309" s="13"/>
    </row>
    <row r="310" spans="1:18">
      <c r="A310">
        <v>316</v>
      </c>
      <c r="B310">
        <v>1535</v>
      </c>
      <c r="P310" s="13">
        <v>0.76500000000000001</v>
      </c>
      <c r="Q310" s="13">
        <v>0.76500000000000001</v>
      </c>
      <c r="R310" s="13"/>
    </row>
    <row r="311" spans="1:18">
      <c r="A311">
        <v>317</v>
      </c>
      <c r="B311">
        <v>1540</v>
      </c>
      <c r="P311" s="13">
        <v>0.76749999999999996</v>
      </c>
      <c r="Q311" s="13">
        <v>0.76749999999999996</v>
      </c>
      <c r="R311" s="13"/>
    </row>
    <row r="312" spans="1:18">
      <c r="A312">
        <v>318</v>
      </c>
      <c r="B312">
        <v>1545</v>
      </c>
      <c r="P312" s="13">
        <v>0.77</v>
      </c>
      <c r="Q312" s="13">
        <v>0.77</v>
      </c>
      <c r="R312" s="13"/>
    </row>
    <row r="313" spans="1:18">
      <c r="A313">
        <v>319</v>
      </c>
      <c r="B313">
        <v>1550</v>
      </c>
      <c r="P313" s="13">
        <v>0.77249999999999996</v>
      </c>
      <c r="Q313" s="13">
        <v>0.77249999999999996</v>
      </c>
      <c r="R313" s="13"/>
    </row>
    <row r="314" spans="1:18">
      <c r="A314">
        <v>320</v>
      </c>
      <c r="B314">
        <v>1555</v>
      </c>
      <c r="P314" s="13">
        <v>0.77500000000000002</v>
      </c>
      <c r="Q314" s="13">
        <v>0.77500000000000002</v>
      </c>
      <c r="R314" s="13"/>
    </row>
    <row r="315" spans="1:18">
      <c r="A315">
        <v>321</v>
      </c>
      <c r="B315">
        <v>1560</v>
      </c>
      <c r="P315" s="13">
        <v>0.77749999999999997</v>
      </c>
      <c r="Q315" s="13">
        <v>0.77749999999999997</v>
      </c>
      <c r="R315" s="13"/>
    </row>
    <row r="316" spans="1:18">
      <c r="A316">
        <v>322</v>
      </c>
      <c r="B316">
        <v>1565</v>
      </c>
      <c r="P316" s="13">
        <v>0.78</v>
      </c>
      <c r="Q316" s="13">
        <v>0.78</v>
      </c>
      <c r="R316" s="13"/>
    </row>
    <row r="317" spans="1:18">
      <c r="A317">
        <v>323</v>
      </c>
      <c r="B317">
        <v>1570</v>
      </c>
      <c r="P317" s="13">
        <v>0.78249999999999997</v>
      </c>
      <c r="Q317" s="13">
        <v>0.78249999999999997</v>
      </c>
      <c r="R317" s="13"/>
    </row>
    <row r="318" spans="1:18">
      <c r="A318">
        <v>324</v>
      </c>
      <c r="B318">
        <v>1575</v>
      </c>
      <c r="P318" s="13">
        <v>0.78500000000000003</v>
      </c>
      <c r="Q318" s="13">
        <v>0.78500000000000003</v>
      </c>
      <c r="R318" s="13"/>
    </row>
    <row r="319" spans="1:18">
      <c r="A319">
        <v>325</v>
      </c>
      <c r="B319">
        <v>1580</v>
      </c>
      <c r="P319" s="13">
        <v>0.78749999999999998</v>
      </c>
      <c r="Q319" s="13">
        <v>0.78749999999999998</v>
      </c>
      <c r="R319" s="13"/>
    </row>
    <row r="320" spans="1:18">
      <c r="A320">
        <v>326</v>
      </c>
      <c r="B320">
        <v>1585</v>
      </c>
      <c r="P320" s="13">
        <v>0.79</v>
      </c>
      <c r="Q320" s="13">
        <v>0.79</v>
      </c>
      <c r="R320" s="13"/>
    </row>
    <row r="321" spans="1:18">
      <c r="A321">
        <v>327</v>
      </c>
      <c r="B321">
        <v>1590</v>
      </c>
      <c r="P321" s="13">
        <v>0.79249999999999998</v>
      </c>
      <c r="Q321" s="13">
        <v>0.79249999999999998</v>
      </c>
      <c r="R321" s="13"/>
    </row>
    <row r="322" spans="1:18">
      <c r="A322">
        <v>328</v>
      </c>
      <c r="B322">
        <v>1595</v>
      </c>
      <c r="P322" s="13">
        <v>0.79500000000000004</v>
      </c>
      <c r="Q322" s="13">
        <v>0.79500000000000004</v>
      </c>
      <c r="R322" s="13"/>
    </row>
    <row r="323" spans="1:18">
      <c r="A323">
        <v>329</v>
      </c>
      <c r="B323">
        <v>1600</v>
      </c>
      <c r="P323" s="13">
        <v>0.79749999999999999</v>
      </c>
      <c r="Q323" s="13">
        <v>0.79749999999999999</v>
      </c>
      <c r="R323" s="13"/>
    </row>
    <row r="324" spans="1:18">
      <c r="A324">
        <v>330</v>
      </c>
      <c r="B324">
        <v>1605</v>
      </c>
      <c r="P324" s="13">
        <v>0.8</v>
      </c>
      <c r="Q324" s="13">
        <v>0.8</v>
      </c>
      <c r="R324" s="13"/>
    </row>
    <row r="325" spans="1:18">
      <c r="A325">
        <v>331</v>
      </c>
      <c r="B325">
        <v>1610</v>
      </c>
      <c r="P325" s="13">
        <v>0.80249999999999999</v>
      </c>
      <c r="Q325" s="13">
        <v>0.80249999999999999</v>
      </c>
      <c r="R325" s="13"/>
    </row>
    <row r="326" spans="1:18">
      <c r="A326">
        <v>332</v>
      </c>
      <c r="B326">
        <v>1615</v>
      </c>
      <c r="P326" s="13">
        <v>0.80500000000000005</v>
      </c>
      <c r="Q326" s="13">
        <v>0.80500000000000005</v>
      </c>
      <c r="R326" s="13"/>
    </row>
    <row r="327" spans="1:18">
      <c r="A327">
        <v>333</v>
      </c>
      <c r="B327">
        <v>1620</v>
      </c>
      <c r="P327" s="13">
        <v>0.8075</v>
      </c>
      <c r="Q327" s="13">
        <v>0.8075</v>
      </c>
      <c r="R327" s="13"/>
    </row>
    <row r="328" spans="1:18">
      <c r="A328">
        <v>334</v>
      </c>
      <c r="B328">
        <v>1625</v>
      </c>
      <c r="P328" s="13">
        <v>0.81</v>
      </c>
      <c r="Q328" s="13">
        <v>0.81</v>
      </c>
      <c r="R328" s="13"/>
    </row>
    <row r="329" spans="1:18">
      <c r="A329">
        <v>335</v>
      </c>
      <c r="B329">
        <v>1630</v>
      </c>
      <c r="P329" s="13">
        <v>0.8125</v>
      </c>
      <c r="Q329" s="13">
        <v>0.8125</v>
      </c>
      <c r="R329" s="13"/>
    </row>
    <row r="330" spans="1:18">
      <c r="A330">
        <v>336</v>
      </c>
      <c r="B330">
        <v>1635</v>
      </c>
      <c r="P330" s="13">
        <v>0.81499999999999995</v>
      </c>
      <c r="Q330" s="13">
        <v>0.81499999999999995</v>
      </c>
      <c r="R330" s="13"/>
    </row>
    <row r="331" spans="1:18">
      <c r="A331">
        <v>337</v>
      </c>
      <c r="B331">
        <v>1640</v>
      </c>
      <c r="P331" s="13">
        <v>0.8175</v>
      </c>
      <c r="Q331" s="13">
        <v>0.8175</v>
      </c>
      <c r="R331" s="13"/>
    </row>
    <row r="332" spans="1:18">
      <c r="A332">
        <v>338</v>
      </c>
      <c r="B332">
        <v>1645</v>
      </c>
      <c r="P332" s="13">
        <v>0.82</v>
      </c>
      <c r="Q332" s="13">
        <v>0.82</v>
      </c>
      <c r="R332" s="13"/>
    </row>
    <row r="333" spans="1:18">
      <c r="A333">
        <v>339</v>
      </c>
      <c r="B333">
        <v>1650</v>
      </c>
      <c r="P333" s="13">
        <v>0.82250000000000001</v>
      </c>
      <c r="Q333" s="13">
        <v>0.82250000000000001</v>
      </c>
      <c r="R333" s="13"/>
    </row>
    <row r="334" spans="1:18">
      <c r="A334">
        <v>340</v>
      </c>
      <c r="B334">
        <v>1655</v>
      </c>
      <c r="P334" s="13">
        <v>0.82499999999999996</v>
      </c>
      <c r="Q334" s="13">
        <v>0.82499999999999996</v>
      </c>
      <c r="R334" s="13"/>
    </row>
    <row r="335" spans="1:18">
      <c r="A335">
        <v>341</v>
      </c>
      <c r="B335">
        <v>1660</v>
      </c>
      <c r="P335" s="13">
        <v>0.82750000000000001</v>
      </c>
      <c r="Q335" s="13">
        <v>0.82750000000000001</v>
      </c>
      <c r="R335" s="13"/>
    </row>
    <row r="336" spans="1:18">
      <c r="A336">
        <v>342</v>
      </c>
      <c r="B336">
        <v>1665</v>
      </c>
      <c r="P336" s="13">
        <v>0.83</v>
      </c>
      <c r="Q336" s="13">
        <v>0.83</v>
      </c>
      <c r="R336" s="13"/>
    </row>
    <row r="337" spans="1:18">
      <c r="A337">
        <v>343</v>
      </c>
      <c r="B337">
        <v>1670</v>
      </c>
      <c r="P337" s="13">
        <v>0.83250000000000002</v>
      </c>
      <c r="Q337" s="13">
        <v>0.83250000000000002</v>
      </c>
      <c r="R337" s="13"/>
    </row>
    <row r="338" spans="1:18">
      <c r="A338">
        <v>344</v>
      </c>
      <c r="B338">
        <v>1675</v>
      </c>
      <c r="P338" s="13">
        <v>0.83499999999999996</v>
      </c>
      <c r="Q338" s="13">
        <v>0.83499999999999996</v>
      </c>
      <c r="R338" s="13"/>
    </row>
    <row r="339" spans="1:18">
      <c r="A339">
        <v>345</v>
      </c>
      <c r="B339">
        <v>1680</v>
      </c>
      <c r="P339" s="13">
        <v>0.83750000000000002</v>
      </c>
      <c r="Q339" s="13">
        <v>0.83750000000000002</v>
      </c>
      <c r="R339" s="13"/>
    </row>
    <row r="340" spans="1:18">
      <c r="A340">
        <v>346</v>
      </c>
      <c r="B340">
        <v>1685</v>
      </c>
      <c r="P340" s="13">
        <v>0.84</v>
      </c>
      <c r="Q340" s="13">
        <v>0.84</v>
      </c>
      <c r="R340" s="13"/>
    </row>
    <row r="341" spans="1:18">
      <c r="A341">
        <v>347</v>
      </c>
      <c r="B341">
        <v>1690</v>
      </c>
      <c r="P341" s="13">
        <v>0.84250000000000003</v>
      </c>
      <c r="Q341" s="13">
        <v>0.84250000000000003</v>
      </c>
      <c r="R341" s="13"/>
    </row>
    <row r="342" spans="1:18">
      <c r="A342">
        <v>348</v>
      </c>
      <c r="B342">
        <v>1695</v>
      </c>
      <c r="P342" s="13">
        <v>0.84499999999999997</v>
      </c>
      <c r="Q342" s="13">
        <v>0.84499999999999997</v>
      </c>
      <c r="R342" s="13"/>
    </row>
    <row r="343" spans="1:18">
      <c r="A343">
        <v>349</v>
      </c>
      <c r="B343">
        <v>1700</v>
      </c>
      <c r="P343" s="13">
        <v>0.84750000000000003</v>
      </c>
      <c r="Q343" s="13">
        <v>0.84750000000000003</v>
      </c>
      <c r="R343" s="13"/>
    </row>
    <row r="344" spans="1:18">
      <c r="A344">
        <v>350</v>
      </c>
      <c r="B344">
        <v>1705</v>
      </c>
      <c r="P344" s="13">
        <v>0.85</v>
      </c>
      <c r="Q344" s="13">
        <v>0.85</v>
      </c>
      <c r="R344" s="13"/>
    </row>
    <row r="345" spans="1:18">
      <c r="A345">
        <v>351</v>
      </c>
      <c r="B345">
        <v>1710</v>
      </c>
      <c r="P345" s="13">
        <v>0.85250000000000004</v>
      </c>
      <c r="Q345" s="13">
        <v>0.85250000000000004</v>
      </c>
      <c r="R345" s="13"/>
    </row>
    <row r="346" spans="1:18">
      <c r="A346">
        <v>352</v>
      </c>
      <c r="B346">
        <v>1715</v>
      </c>
      <c r="P346" s="13">
        <v>0.85499999999999998</v>
      </c>
      <c r="Q346" s="13">
        <v>0.85499999999999998</v>
      </c>
      <c r="R346" s="13"/>
    </row>
    <row r="347" spans="1:18">
      <c r="A347">
        <v>353</v>
      </c>
      <c r="B347">
        <v>1720</v>
      </c>
      <c r="P347" s="13">
        <v>0.85750000000000004</v>
      </c>
      <c r="Q347" s="13">
        <v>0.85750000000000004</v>
      </c>
      <c r="R347" s="13"/>
    </row>
    <row r="348" spans="1:18">
      <c r="A348">
        <v>354</v>
      </c>
      <c r="B348">
        <v>1725</v>
      </c>
      <c r="P348" s="13">
        <v>0.86</v>
      </c>
      <c r="Q348" s="13">
        <v>0.86</v>
      </c>
      <c r="R348" s="13"/>
    </row>
    <row r="349" spans="1:18">
      <c r="A349">
        <v>355</v>
      </c>
      <c r="B349">
        <v>1730</v>
      </c>
      <c r="P349" s="13">
        <v>0.86250000000000004</v>
      </c>
      <c r="Q349" s="13">
        <v>0.86250000000000004</v>
      </c>
      <c r="R349" s="13"/>
    </row>
    <row r="350" spans="1:18">
      <c r="A350">
        <v>356</v>
      </c>
      <c r="B350">
        <v>1735</v>
      </c>
      <c r="P350" s="13">
        <v>0.86499999999999999</v>
      </c>
      <c r="Q350" s="13">
        <v>0.86499999999999999</v>
      </c>
      <c r="R350" s="13"/>
    </row>
    <row r="351" spans="1:18">
      <c r="A351">
        <v>357</v>
      </c>
      <c r="B351">
        <v>1740</v>
      </c>
      <c r="P351" s="13">
        <v>0.86750000000000005</v>
      </c>
      <c r="Q351" s="13">
        <v>0.86750000000000005</v>
      </c>
      <c r="R351" s="13"/>
    </row>
    <row r="352" spans="1:18">
      <c r="A352">
        <v>358</v>
      </c>
      <c r="B352">
        <v>1745</v>
      </c>
      <c r="P352" s="13">
        <v>0.87</v>
      </c>
      <c r="Q352" s="13">
        <v>0.87</v>
      </c>
      <c r="R352" s="13"/>
    </row>
    <row r="353" spans="1:18">
      <c r="A353">
        <v>359</v>
      </c>
      <c r="B353">
        <v>1750</v>
      </c>
      <c r="P353" s="13">
        <v>0.87250000000000005</v>
      </c>
      <c r="Q353" s="13">
        <v>0.87250000000000005</v>
      </c>
      <c r="R353" s="13"/>
    </row>
    <row r="354" spans="1:18">
      <c r="A354">
        <v>360</v>
      </c>
      <c r="B354">
        <v>1755</v>
      </c>
      <c r="P354" s="13">
        <v>0.875</v>
      </c>
      <c r="Q354" s="13">
        <v>0.875</v>
      </c>
      <c r="R354" s="13"/>
    </row>
    <row r="355" spans="1:18">
      <c r="A355">
        <v>361</v>
      </c>
      <c r="B355">
        <v>1760</v>
      </c>
      <c r="P355" s="13">
        <v>0.87749999999999995</v>
      </c>
      <c r="Q355" s="13">
        <v>0.87749999999999995</v>
      </c>
      <c r="R355" s="13"/>
    </row>
    <row r="356" spans="1:18">
      <c r="A356">
        <v>362</v>
      </c>
      <c r="B356">
        <v>1765</v>
      </c>
      <c r="P356" s="13">
        <v>0.88</v>
      </c>
      <c r="Q356" s="13">
        <v>0.88</v>
      </c>
      <c r="R356" s="13"/>
    </row>
    <row r="357" spans="1:18">
      <c r="A357">
        <v>363</v>
      </c>
      <c r="B357">
        <v>1770</v>
      </c>
      <c r="P357" s="13">
        <v>0.88249999999999995</v>
      </c>
      <c r="Q357" s="13">
        <v>0.88249999999999995</v>
      </c>
      <c r="R357" s="13"/>
    </row>
    <row r="358" spans="1:18">
      <c r="A358">
        <v>364</v>
      </c>
      <c r="B358">
        <v>1775</v>
      </c>
      <c r="P358" s="13">
        <v>0.88500000000000001</v>
      </c>
      <c r="Q358" s="13">
        <v>0.88500000000000001</v>
      </c>
      <c r="R358" s="13"/>
    </row>
    <row r="359" spans="1:18">
      <c r="A359">
        <v>365</v>
      </c>
      <c r="B359">
        <v>1780</v>
      </c>
      <c r="P359" s="13">
        <v>0.88749999999999996</v>
      </c>
      <c r="Q359" s="13">
        <v>0.88749999999999996</v>
      </c>
      <c r="R359" s="13"/>
    </row>
    <row r="360" spans="1:18">
      <c r="A360">
        <v>366</v>
      </c>
      <c r="B360">
        <v>1785</v>
      </c>
      <c r="P360" s="13">
        <v>0.89</v>
      </c>
      <c r="Q360" s="13">
        <v>0.89</v>
      </c>
      <c r="R360" s="13"/>
    </row>
    <row r="361" spans="1:18">
      <c r="A361">
        <v>367</v>
      </c>
      <c r="B361">
        <v>1790</v>
      </c>
      <c r="P361" s="13">
        <v>0.89249999999999996</v>
      </c>
      <c r="Q361" s="13">
        <v>0.89249999999999996</v>
      </c>
      <c r="R361" s="13"/>
    </row>
    <row r="362" spans="1:18">
      <c r="A362">
        <v>368</v>
      </c>
      <c r="B362">
        <v>1795</v>
      </c>
      <c r="P362" s="13">
        <v>0.89500000000000002</v>
      </c>
      <c r="Q362" s="13">
        <v>0.89500000000000002</v>
      </c>
      <c r="R362" s="13"/>
    </row>
    <row r="363" spans="1:18">
      <c r="A363">
        <v>369</v>
      </c>
      <c r="B363">
        <v>1800</v>
      </c>
      <c r="P363" s="13">
        <v>0.89749999999999996</v>
      </c>
      <c r="Q363" s="13">
        <v>0.89749999999999996</v>
      </c>
      <c r="R363" s="13"/>
    </row>
    <row r="364" spans="1:18">
      <c r="A364">
        <v>370</v>
      </c>
      <c r="B364">
        <v>1805</v>
      </c>
      <c r="P364" s="13">
        <v>0.9</v>
      </c>
      <c r="Q364" s="13">
        <v>0.9</v>
      </c>
      <c r="R364" s="13"/>
    </row>
    <row r="365" spans="1:18">
      <c r="A365">
        <v>371</v>
      </c>
      <c r="B365">
        <v>1810</v>
      </c>
      <c r="P365" s="13">
        <v>0.90249999999999997</v>
      </c>
      <c r="Q365" s="13">
        <v>0.90249999999999997</v>
      </c>
      <c r="R365" s="13"/>
    </row>
    <row r="366" spans="1:18">
      <c r="A366">
        <v>372</v>
      </c>
      <c r="B366">
        <v>1815</v>
      </c>
      <c r="P366" s="13">
        <v>0.90500000000000003</v>
      </c>
      <c r="Q366" s="13">
        <v>0.90500000000000003</v>
      </c>
      <c r="R366" s="13"/>
    </row>
    <row r="367" spans="1:18">
      <c r="A367">
        <v>373</v>
      </c>
      <c r="B367">
        <v>1820</v>
      </c>
      <c r="P367" s="13">
        <v>0.90749999999999997</v>
      </c>
      <c r="Q367" s="13">
        <v>0.90749999999999997</v>
      </c>
      <c r="R367" s="13"/>
    </row>
    <row r="368" spans="1:18">
      <c r="A368">
        <v>374</v>
      </c>
      <c r="B368">
        <v>1825</v>
      </c>
      <c r="P368" s="13">
        <v>0.91</v>
      </c>
      <c r="Q368" s="13">
        <v>0.91</v>
      </c>
      <c r="R368" s="13"/>
    </row>
    <row r="369" spans="1:18">
      <c r="A369">
        <v>375</v>
      </c>
      <c r="B369">
        <v>1830</v>
      </c>
      <c r="P369" s="13">
        <v>0.91249999999999998</v>
      </c>
      <c r="Q369" s="13">
        <v>0.91249999999999998</v>
      </c>
      <c r="R369" s="13"/>
    </row>
    <row r="370" spans="1:18">
      <c r="A370">
        <v>376</v>
      </c>
      <c r="B370">
        <v>1835</v>
      </c>
      <c r="P370" s="13">
        <v>0.91500000000000004</v>
      </c>
      <c r="Q370" s="13">
        <v>0.91500000000000004</v>
      </c>
      <c r="R370" s="13"/>
    </row>
    <row r="371" spans="1:18">
      <c r="A371">
        <v>377</v>
      </c>
      <c r="B371">
        <v>1840</v>
      </c>
      <c r="P371" s="13">
        <v>0.91749999999999998</v>
      </c>
      <c r="Q371" s="13">
        <v>0.91749999999999998</v>
      </c>
      <c r="R371" s="13"/>
    </row>
    <row r="372" spans="1:18">
      <c r="A372">
        <v>378</v>
      </c>
      <c r="B372">
        <v>1845</v>
      </c>
      <c r="P372" s="13">
        <v>0.92</v>
      </c>
      <c r="Q372" s="13">
        <v>0.92</v>
      </c>
      <c r="R372" s="13"/>
    </row>
    <row r="373" spans="1:18">
      <c r="A373">
        <v>379</v>
      </c>
      <c r="B373">
        <v>1850</v>
      </c>
      <c r="P373" s="13">
        <v>0.92249999999999999</v>
      </c>
      <c r="Q373" s="13">
        <v>0.92249999999999999</v>
      </c>
      <c r="R373" s="13"/>
    </row>
    <row r="374" spans="1:18">
      <c r="A374">
        <v>380</v>
      </c>
      <c r="B374">
        <v>1855</v>
      </c>
      <c r="P374" s="13">
        <v>0.92500000000000004</v>
      </c>
      <c r="Q374" s="13">
        <v>0.92500000000000004</v>
      </c>
      <c r="R374" s="13"/>
    </row>
    <row r="375" spans="1:18">
      <c r="A375">
        <v>381</v>
      </c>
      <c r="B375">
        <v>1860</v>
      </c>
      <c r="P375" s="13">
        <v>0.92749999999999999</v>
      </c>
      <c r="Q375" s="13">
        <v>0.92749999999999999</v>
      </c>
      <c r="R375" s="13"/>
    </row>
    <row r="376" spans="1:18">
      <c r="A376">
        <v>382</v>
      </c>
      <c r="B376">
        <v>1865</v>
      </c>
      <c r="P376" s="13">
        <v>0.93</v>
      </c>
      <c r="Q376" s="13">
        <v>0.93</v>
      </c>
      <c r="R376" s="13"/>
    </row>
    <row r="377" spans="1:18">
      <c r="A377">
        <v>383</v>
      </c>
      <c r="B377">
        <v>1870</v>
      </c>
      <c r="P377" s="13">
        <v>0.9325</v>
      </c>
      <c r="Q377" s="13">
        <v>0.9325</v>
      </c>
      <c r="R377" s="13"/>
    </row>
    <row r="378" spans="1:18">
      <c r="A378">
        <v>384</v>
      </c>
      <c r="B378">
        <v>1875</v>
      </c>
      <c r="P378" s="13">
        <v>0.93500000000000005</v>
      </c>
      <c r="Q378" s="13">
        <v>0.93500000000000005</v>
      </c>
      <c r="R378" s="13"/>
    </row>
    <row r="379" spans="1:18">
      <c r="A379">
        <v>385</v>
      </c>
      <c r="B379">
        <v>1880</v>
      </c>
      <c r="P379" s="13">
        <v>0.9375</v>
      </c>
      <c r="Q379" s="13">
        <v>0.9375</v>
      </c>
      <c r="R379" s="13"/>
    </row>
    <row r="380" spans="1:18">
      <c r="A380">
        <v>386</v>
      </c>
      <c r="B380">
        <v>1885</v>
      </c>
      <c r="P380" s="13">
        <v>0.94</v>
      </c>
      <c r="Q380" s="13">
        <v>0.94</v>
      </c>
      <c r="R380" s="13"/>
    </row>
    <row r="381" spans="1:18">
      <c r="A381">
        <v>387</v>
      </c>
      <c r="B381">
        <v>1890</v>
      </c>
      <c r="P381" s="13">
        <v>0.9425</v>
      </c>
      <c r="Q381" s="13">
        <v>0.9425</v>
      </c>
      <c r="R381" s="13"/>
    </row>
    <row r="382" spans="1:18">
      <c r="A382">
        <v>388</v>
      </c>
      <c r="B382">
        <v>1895</v>
      </c>
      <c r="P382" s="13">
        <v>0.94499999999999995</v>
      </c>
      <c r="Q382" s="13">
        <v>0.94499999999999995</v>
      </c>
      <c r="R382" s="13"/>
    </row>
    <row r="383" spans="1:18">
      <c r="A383">
        <v>389</v>
      </c>
      <c r="B383">
        <v>1900</v>
      </c>
      <c r="P383" s="13">
        <v>0.94750000000000001</v>
      </c>
      <c r="Q383" s="13">
        <v>0.94750000000000001</v>
      </c>
      <c r="R383" s="13"/>
    </row>
    <row r="384" spans="1:18">
      <c r="A384">
        <v>390</v>
      </c>
      <c r="B384">
        <v>1905</v>
      </c>
      <c r="P384" s="13">
        <v>0.95</v>
      </c>
      <c r="Q384" s="13">
        <v>0.95</v>
      </c>
      <c r="R384" s="13"/>
    </row>
    <row r="385" spans="1:18">
      <c r="A385">
        <v>391</v>
      </c>
      <c r="B385">
        <v>1910</v>
      </c>
      <c r="P385" s="13">
        <v>0.95250000000000001</v>
      </c>
      <c r="Q385" s="13">
        <v>0.95250000000000001</v>
      </c>
      <c r="R385" s="13"/>
    </row>
    <row r="386" spans="1:18">
      <c r="A386">
        <v>392</v>
      </c>
      <c r="B386">
        <v>1915</v>
      </c>
      <c r="P386" s="13">
        <v>0.95499999999999996</v>
      </c>
      <c r="Q386" s="13">
        <v>0.95499999999999996</v>
      </c>
      <c r="R386" s="13"/>
    </row>
    <row r="387" spans="1:18">
      <c r="A387">
        <v>393</v>
      </c>
      <c r="B387">
        <v>1920</v>
      </c>
      <c r="P387" s="13">
        <v>0.95750000000000002</v>
      </c>
      <c r="Q387" s="13">
        <v>0.95750000000000002</v>
      </c>
      <c r="R387" s="13"/>
    </row>
    <row r="388" spans="1:18">
      <c r="A388">
        <v>394</v>
      </c>
      <c r="B388">
        <v>1925</v>
      </c>
      <c r="P388" s="13">
        <v>0.96</v>
      </c>
      <c r="Q388" s="13">
        <v>0.96</v>
      </c>
      <c r="R388" s="13"/>
    </row>
    <row r="389" spans="1:18">
      <c r="A389">
        <v>395</v>
      </c>
      <c r="B389">
        <v>1930</v>
      </c>
      <c r="P389" s="13">
        <v>0.96250000000000002</v>
      </c>
      <c r="Q389" s="13">
        <v>0.96250000000000002</v>
      </c>
      <c r="R389" s="13"/>
    </row>
    <row r="390" spans="1:18">
      <c r="A390">
        <v>396</v>
      </c>
      <c r="B390">
        <v>1935</v>
      </c>
      <c r="P390" s="13">
        <v>0.96499999999999997</v>
      </c>
      <c r="Q390" s="13">
        <v>0.96499999999999997</v>
      </c>
      <c r="R390" s="13"/>
    </row>
    <row r="391" spans="1:18">
      <c r="A391">
        <v>397</v>
      </c>
      <c r="B391">
        <v>1940</v>
      </c>
      <c r="P391" s="13">
        <v>0.96750000000000003</v>
      </c>
      <c r="Q391" s="13">
        <v>0.96750000000000003</v>
      </c>
      <c r="R391" s="13"/>
    </row>
    <row r="392" spans="1:18">
      <c r="A392">
        <v>398</v>
      </c>
      <c r="B392">
        <v>1945</v>
      </c>
      <c r="P392" s="13">
        <v>0.97</v>
      </c>
      <c r="Q392" s="13">
        <v>0.97</v>
      </c>
      <c r="R392" s="13"/>
    </row>
    <row r="393" spans="1:18">
      <c r="A393">
        <v>399</v>
      </c>
      <c r="B393">
        <v>1950</v>
      </c>
      <c r="P393" s="13">
        <v>0.97250000000000003</v>
      </c>
      <c r="Q393" s="13">
        <v>0.97250000000000003</v>
      </c>
      <c r="R393" s="13"/>
    </row>
    <row r="394" spans="1:18">
      <c r="A394">
        <v>400</v>
      </c>
      <c r="B394">
        <v>1955</v>
      </c>
      <c r="P394" s="13">
        <v>0.97499999999999998</v>
      </c>
      <c r="Q394" s="13">
        <v>0.97499999999999998</v>
      </c>
      <c r="R394" s="13"/>
    </row>
    <row r="395" spans="1:18">
      <c r="A395">
        <v>401</v>
      </c>
      <c r="B395">
        <v>1960</v>
      </c>
      <c r="P395" s="13">
        <v>0.97750000000000004</v>
      </c>
      <c r="Q395" s="13">
        <v>0.97750000000000004</v>
      </c>
      <c r="R395" s="13"/>
    </row>
    <row r="396" spans="1:18">
      <c r="A396">
        <v>402</v>
      </c>
      <c r="B396">
        <v>1965</v>
      </c>
      <c r="P396" s="13">
        <v>0.98</v>
      </c>
      <c r="Q396" s="13">
        <v>0.98</v>
      </c>
      <c r="R396" s="13"/>
    </row>
    <row r="397" spans="1:18">
      <c r="A397">
        <v>403</v>
      </c>
      <c r="B397">
        <v>1970</v>
      </c>
      <c r="P397" s="13">
        <v>0.98250000000000004</v>
      </c>
      <c r="Q397" s="13">
        <v>0.98250000000000004</v>
      </c>
      <c r="R397" s="13"/>
    </row>
    <row r="398" spans="1:18">
      <c r="A398">
        <v>404</v>
      </c>
      <c r="B398">
        <v>1975</v>
      </c>
      <c r="P398" s="13">
        <v>0.98499999999999999</v>
      </c>
      <c r="Q398" s="13">
        <v>0.98499999999999999</v>
      </c>
      <c r="R398" s="13"/>
    </row>
    <row r="399" spans="1:18">
      <c r="A399">
        <v>405</v>
      </c>
      <c r="B399">
        <v>1980</v>
      </c>
      <c r="P399" s="13">
        <v>0.98750000000000004</v>
      </c>
      <c r="Q399" s="13">
        <v>0.98750000000000004</v>
      </c>
      <c r="R399" s="13"/>
    </row>
    <row r="400" spans="1:18">
      <c r="A400">
        <v>406</v>
      </c>
      <c r="B400">
        <v>1985</v>
      </c>
      <c r="P400" s="13">
        <v>0.99</v>
      </c>
      <c r="Q400" s="13">
        <v>0.99</v>
      </c>
      <c r="R400" s="13"/>
    </row>
    <row r="401" spans="1:18">
      <c r="A401">
        <v>407</v>
      </c>
      <c r="B401">
        <v>1990</v>
      </c>
      <c r="P401" s="13">
        <v>0.99250000000000005</v>
      </c>
      <c r="Q401" s="13">
        <v>0.99250000000000005</v>
      </c>
      <c r="R401" s="13"/>
    </row>
    <row r="402" spans="1:18">
      <c r="A402">
        <v>408</v>
      </c>
      <c r="B402">
        <v>1995</v>
      </c>
      <c r="P402" s="13">
        <v>0.995</v>
      </c>
      <c r="Q402" s="13">
        <v>0.995</v>
      </c>
      <c r="R402" s="13"/>
    </row>
    <row r="403" spans="1:18">
      <c r="A403">
        <v>409</v>
      </c>
      <c r="B403">
        <v>2000</v>
      </c>
      <c r="P403" s="13">
        <v>0.99750000000000005</v>
      </c>
      <c r="Q403" s="13">
        <v>0.99750000000000005</v>
      </c>
      <c r="R403" s="13"/>
    </row>
    <row r="404" spans="1:18">
      <c r="A404">
        <v>410</v>
      </c>
      <c r="B404">
        <v>2005</v>
      </c>
      <c r="P404" s="13">
        <v>1</v>
      </c>
      <c r="Q404" s="13">
        <v>1</v>
      </c>
      <c r="R404" s="13"/>
    </row>
    <row r="405" spans="1:18">
      <c r="A405">
        <v>411</v>
      </c>
      <c r="B405">
        <v>2010</v>
      </c>
      <c r="P405" s="13"/>
      <c r="Q405" s="13"/>
      <c r="R405" s="13"/>
    </row>
    <row r="406" spans="1:18">
      <c r="A406">
        <v>412</v>
      </c>
      <c r="B406">
        <v>2015</v>
      </c>
      <c r="P406" s="13"/>
      <c r="Q406" s="13"/>
      <c r="R406" s="13"/>
    </row>
    <row r="407" spans="1:18">
      <c r="A407">
        <v>413</v>
      </c>
      <c r="B407">
        <v>2020</v>
      </c>
      <c r="P407" s="13"/>
      <c r="Q407" s="13"/>
      <c r="R407" s="13"/>
    </row>
    <row r="408" spans="1:18">
      <c r="A408">
        <v>414</v>
      </c>
      <c r="B408">
        <v>2025</v>
      </c>
      <c r="P408" s="13"/>
      <c r="Q408" s="13"/>
      <c r="R408" s="13"/>
    </row>
    <row r="409" spans="1:18">
      <c r="A409">
        <v>415</v>
      </c>
      <c r="B409">
        <v>2030</v>
      </c>
      <c r="P409" s="13"/>
      <c r="Q409" s="13"/>
      <c r="R409" s="13"/>
    </row>
    <row r="410" spans="1:18">
      <c r="A410">
        <v>416</v>
      </c>
      <c r="B410">
        <v>2035</v>
      </c>
      <c r="P410" s="13"/>
      <c r="Q410" s="13"/>
      <c r="R410" s="13"/>
    </row>
    <row r="411" spans="1:18">
      <c r="A411">
        <v>417</v>
      </c>
      <c r="B411">
        <v>2040</v>
      </c>
      <c r="P411" s="13"/>
      <c r="Q411" s="13"/>
      <c r="R411" s="13"/>
    </row>
    <row r="412" spans="1:18">
      <c r="A412">
        <v>418</v>
      </c>
      <c r="B412">
        <v>2045</v>
      </c>
      <c r="P412" s="13"/>
      <c r="Q412" s="13"/>
      <c r="R412" s="13"/>
    </row>
    <row r="413" spans="1:18">
      <c r="A413">
        <v>419</v>
      </c>
      <c r="B413">
        <v>2050</v>
      </c>
      <c r="P413" s="13"/>
      <c r="Q413" s="13"/>
      <c r="R413" s="13"/>
    </row>
    <row r="414" spans="1:18">
      <c r="A414">
        <v>420</v>
      </c>
      <c r="B414">
        <v>2055</v>
      </c>
      <c r="P414" s="13"/>
      <c r="Q414" s="13"/>
      <c r="R414" s="13"/>
    </row>
    <row r="415" spans="1:18">
      <c r="A415">
        <v>421</v>
      </c>
      <c r="B415">
        <v>2060</v>
      </c>
      <c r="P415" s="13"/>
      <c r="Q415" s="13"/>
      <c r="R415" s="13"/>
    </row>
    <row r="416" spans="1:18">
      <c r="A416">
        <v>422</v>
      </c>
      <c r="B416">
        <v>2065</v>
      </c>
      <c r="P416" s="13"/>
      <c r="Q416" s="13"/>
      <c r="R416" s="13"/>
    </row>
    <row r="417" spans="1:18">
      <c r="A417">
        <v>423</v>
      </c>
      <c r="B417">
        <v>2070</v>
      </c>
      <c r="P417" s="13"/>
      <c r="Q417" s="13"/>
      <c r="R417" s="13"/>
    </row>
    <row r="418" spans="1:18">
      <c r="A418">
        <v>424</v>
      </c>
      <c r="B418">
        <v>2075</v>
      </c>
      <c r="P418" s="13"/>
      <c r="Q418" s="13"/>
      <c r="R418" s="13"/>
    </row>
    <row r="419" spans="1:18">
      <c r="A419">
        <v>425</v>
      </c>
      <c r="B419">
        <v>2080</v>
      </c>
      <c r="P419" s="13"/>
      <c r="Q419" s="13"/>
      <c r="R419" s="13"/>
    </row>
    <row r="420" spans="1:18">
      <c r="A420">
        <v>426</v>
      </c>
      <c r="B420">
        <v>2085</v>
      </c>
      <c r="P420" s="13"/>
      <c r="Q420" s="13"/>
      <c r="R420" s="13"/>
    </row>
    <row r="421" spans="1:18">
      <c r="A421">
        <v>427</v>
      </c>
      <c r="B421">
        <v>2090</v>
      </c>
      <c r="P421" s="13"/>
      <c r="Q421" s="13"/>
      <c r="R421" s="13"/>
    </row>
    <row r="422" spans="1:18">
      <c r="A422">
        <v>428</v>
      </c>
      <c r="B422">
        <v>2095</v>
      </c>
      <c r="P422" s="13"/>
      <c r="Q422" s="13"/>
      <c r="R422" s="13"/>
    </row>
    <row r="423" spans="1:18">
      <c r="A423">
        <v>429</v>
      </c>
      <c r="B423">
        <v>2100</v>
      </c>
      <c r="P423" s="13"/>
      <c r="Q423" s="13"/>
      <c r="R423" s="13"/>
    </row>
    <row r="424" spans="1:18">
      <c r="A424">
        <v>430</v>
      </c>
      <c r="B424">
        <v>2105</v>
      </c>
      <c r="P424" s="13"/>
      <c r="Q424" s="13"/>
      <c r="R424" s="13"/>
    </row>
    <row r="425" spans="1:18">
      <c r="A425">
        <v>431</v>
      </c>
      <c r="B425">
        <v>2110</v>
      </c>
      <c r="P425" s="13"/>
      <c r="Q425" s="13"/>
      <c r="R425" s="13"/>
    </row>
    <row r="426" spans="1:18">
      <c r="A426">
        <v>432</v>
      </c>
      <c r="B426">
        <v>2115</v>
      </c>
      <c r="P426" s="13"/>
      <c r="Q426" s="13"/>
      <c r="R426" s="13"/>
    </row>
    <row r="427" spans="1:18">
      <c r="A427">
        <v>433</v>
      </c>
      <c r="B427">
        <v>2120</v>
      </c>
      <c r="P427" s="13"/>
      <c r="Q427" s="13"/>
      <c r="R427" s="13"/>
    </row>
    <row r="428" spans="1:18">
      <c r="A428">
        <v>434</v>
      </c>
      <c r="B428">
        <v>2125</v>
      </c>
      <c r="P428" s="13"/>
      <c r="Q428" s="13"/>
      <c r="R428" s="13"/>
    </row>
    <row r="429" spans="1:18">
      <c r="A429">
        <v>435</v>
      </c>
      <c r="B429">
        <v>2130</v>
      </c>
      <c r="P429" s="13"/>
      <c r="Q429" s="13"/>
      <c r="R429" s="13"/>
    </row>
    <row r="430" spans="1:18">
      <c r="A430">
        <v>436</v>
      </c>
      <c r="B430">
        <v>2135</v>
      </c>
      <c r="P430" s="13"/>
      <c r="Q430" s="13"/>
      <c r="R430" s="13"/>
    </row>
    <row r="431" spans="1:18">
      <c r="A431">
        <v>437</v>
      </c>
      <c r="B431">
        <v>2140</v>
      </c>
      <c r="P431" s="13"/>
      <c r="Q431" s="13"/>
      <c r="R431" s="13"/>
    </row>
    <row r="432" spans="1:18">
      <c r="A432">
        <v>438</v>
      </c>
      <c r="B432">
        <v>2145</v>
      </c>
      <c r="P432" s="13"/>
      <c r="Q432" s="13"/>
      <c r="R432" s="13"/>
    </row>
    <row r="433" spans="1:18">
      <c r="A433">
        <v>439</v>
      </c>
      <c r="B433">
        <v>2150</v>
      </c>
      <c r="P433" s="13"/>
      <c r="Q433" s="13"/>
      <c r="R433" s="13"/>
    </row>
    <row r="434" spans="1:18">
      <c r="A434">
        <v>440</v>
      </c>
      <c r="B434">
        <v>2155</v>
      </c>
      <c r="P434" s="13"/>
      <c r="Q434" s="13"/>
      <c r="R434" s="13"/>
    </row>
    <row r="435" spans="1:18">
      <c r="A435">
        <v>441</v>
      </c>
      <c r="B435">
        <v>2160</v>
      </c>
      <c r="P435" s="13"/>
      <c r="Q435" s="13"/>
      <c r="R435" s="13"/>
    </row>
    <row r="436" spans="1:18">
      <c r="A436">
        <v>442</v>
      </c>
      <c r="B436">
        <v>2165</v>
      </c>
      <c r="P436" s="13"/>
      <c r="Q436" s="13"/>
      <c r="R436" s="13"/>
    </row>
    <row r="437" spans="1:18">
      <c r="A437">
        <v>443</v>
      </c>
      <c r="B437">
        <v>2170</v>
      </c>
      <c r="P437" s="13"/>
      <c r="Q437" s="13"/>
      <c r="R437" s="13"/>
    </row>
    <row r="438" spans="1:18">
      <c r="A438">
        <v>444</v>
      </c>
      <c r="B438">
        <v>2175</v>
      </c>
      <c r="P438" s="13"/>
      <c r="Q438" s="13"/>
      <c r="R438" s="13"/>
    </row>
    <row r="439" spans="1:18">
      <c r="A439">
        <v>445</v>
      </c>
      <c r="B439">
        <v>2180</v>
      </c>
      <c r="P439" s="13"/>
      <c r="Q439" s="13"/>
      <c r="R439" s="13"/>
    </row>
    <row r="440" spans="1:18">
      <c r="A440">
        <v>446</v>
      </c>
      <c r="B440">
        <v>2185</v>
      </c>
    </row>
    <row r="441" spans="1:18">
      <c r="A441">
        <v>447</v>
      </c>
      <c r="B441">
        <v>2190</v>
      </c>
    </row>
    <row r="442" spans="1:18">
      <c r="A442">
        <v>448</v>
      </c>
      <c r="B442">
        <v>2195</v>
      </c>
    </row>
    <row r="443" spans="1:18">
      <c r="A443">
        <v>449</v>
      </c>
      <c r="B443">
        <v>2200</v>
      </c>
    </row>
    <row r="444" spans="1:18">
      <c r="A444">
        <v>450</v>
      </c>
      <c r="B444">
        <v>2205</v>
      </c>
    </row>
    <row r="445" spans="1:18">
      <c r="A445">
        <v>451</v>
      </c>
      <c r="B445">
        <v>2210</v>
      </c>
    </row>
    <row r="446" spans="1:18">
      <c r="A446">
        <v>452</v>
      </c>
      <c r="B446">
        <v>2215</v>
      </c>
    </row>
    <row r="447" spans="1:18">
      <c r="A447">
        <v>453</v>
      </c>
      <c r="B447">
        <v>2220</v>
      </c>
    </row>
    <row r="448" spans="1:18">
      <c r="A448">
        <v>454</v>
      </c>
      <c r="B448">
        <v>2225</v>
      </c>
    </row>
    <row r="449" spans="1:2">
      <c r="A449">
        <v>455</v>
      </c>
      <c r="B449">
        <v>2230</v>
      </c>
    </row>
    <row r="450" spans="1:2">
      <c r="A450">
        <v>456</v>
      </c>
      <c r="B450">
        <v>2235</v>
      </c>
    </row>
    <row r="451" spans="1:2">
      <c r="A451">
        <v>457</v>
      </c>
      <c r="B451">
        <v>2240</v>
      </c>
    </row>
    <row r="452" spans="1:2">
      <c r="A452">
        <v>458</v>
      </c>
      <c r="B452">
        <v>2245</v>
      </c>
    </row>
    <row r="453" spans="1:2">
      <c r="A453">
        <v>459</v>
      </c>
      <c r="B453">
        <v>2250</v>
      </c>
    </row>
    <row r="454" spans="1:2">
      <c r="A454">
        <v>460</v>
      </c>
      <c r="B454">
        <v>2255</v>
      </c>
    </row>
    <row r="455" spans="1:2">
      <c r="A455">
        <v>461</v>
      </c>
      <c r="B455">
        <v>2260</v>
      </c>
    </row>
    <row r="456" spans="1:2">
      <c r="A456">
        <v>462</v>
      </c>
      <c r="B456">
        <v>2265</v>
      </c>
    </row>
    <row r="457" spans="1:2">
      <c r="A457">
        <v>463</v>
      </c>
      <c r="B457">
        <v>2270</v>
      </c>
    </row>
    <row r="458" spans="1:2">
      <c r="A458">
        <v>464</v>
      </c>
      <c r="B458">
        <v>2275</v>
      </c>
    </row>
    <row r="459" spans="1:2">
      <c r="A459">
        <v>465</v>
      </c>
      <c r="B459">
        <v>2280</v>
      </c>
    </row>
    <row r="460" spans="1:2">
      <c r="A460">
        <v>466</v>
      </c>
      <c r="B460">
        <v>2285</v>
      </c>
    </row>
    <row r="461" spans="1:2">
      <c r="A461">
        <v>467</v>
      </c>
      <c r="B461">
        <v>2290</v>
      </c>
    </row>
    <row r="462" spans="1:2">
      <c r="A462">
        <v>468</v>
      </c>
      <c r="B462">
        <v>2295</v>
      </c>
    </row>
    <row r="463" spans="1:2">
      <c r="A463">
        <v>469</v>
      </c>
      <c r="B463">
        <v>2300</v>
      </c>
    </row>
    <row r="464" spans="1:2">
      <c r="A464">
        <v>470</v>
      </c>
      <c r="B464">
        <v>2305</v>
      </c>
    </row>
    <row r="465" spans="1:2">
      <c r="A465">
        <v>471</v>
      </c>
      <c r="B465">
        <v>2310</v>
      </c>
    </row>
    <row r="466" spans="1:2">
      <c r="A466">
        <v>472</v>
      </c>
      <c r="B466">
        <v>2315</v>
      </c>
    </row>
    <row r="467" spans="1:2">
      <c r="A467">
        <v>473</v>
      </c>
      <c r="B467">
        <v>2320</v>
      </c>
    </row>
    <row r="468" spans="1:2">
      <c r="A468">
        <v>474</v>
      </c>
      <c r="B468">
        <v>2325</v>
      </c>
    </row>
    <row r="469" spans="1:2">
      <c r="A469">
        <v>475</v>
      </c>
      <c r="B469">
        <v>2330</v>
      </c>
    </row>
    <row r="470" spans="1:2">
      <c r="A470">
        <v>476</v>
      </c>
      <c r="B470">
        <v>2335</v>
      </c>
    </row>
    <row r="471" spans="1:2">
      <c r="A471">
        <v>477</v>
      </c>
      <c r="B471">
        <v>2340</v>
      </c>
    </row>
    <row r="472" spans="1:2">
      <c r="A472">
        <v>478</v>
      </c>
      <c r="B472">
        <v>2345</v>
      </c>
    </row>
    <row r="473" spans="1:2">
      <c r="A473">
        <v>479</v>
      </c>
      <c r="B473">
        <v>2350</v>
      </c>
    </row>
    <row r="474" spans="1:2">
      <c r="A474">
        <v>480</v>
      </c>
      <c r="B474">
        <v>2355</v>
      </c>
    </row>
    <row r="475" spans="1:2">
      <c r="A475">
        <v>481</v>
      </c>
      <c r="B475">
        <v>2360</v>
      </c>
    </row>
    <row r="476" spans="1:2">
      <c r="A476">
        <v>482</v>
      </c>
      <c r="B476">
        <v>2365</v>
      </c>
    </row>
    <row r="477" spans="1:2">
      <c r="A477">
        <v>483</v>
      </c>
      <c r="B477">
        <v>2370</v>
      </c>
    </row>
    <row r="478" spans="1:2">
      <c r="A478">
        <v>484</v>
      </c>
      <c r="B478">
        <v>2375</v>
      </c>
    </row>
    <row r="479" spans="1:2">
      <c r="A479">
        <v>485</v>
      </c>
      <c r="B479">
        <v>2380</v>
      </c>
    </row>
    <row r="480" spans="1:2">
      <c r="A480">
        <v>486</v>
      </c>
      <c r="B480">
        <v>2385</v>
      </c>
    </row>
    <row r="481" spans="1:2">
      <c r="A481">
        <v>487</v>
      </c>
      <c r="B481">
        <v>2390</v>
      </c>
    </row>
    <row r="482" spans="1:2">
      <c r="A482">
        <v>488</v>
      </c>
      <c r="B482">
        <v>2395</v>
      </c>
    </row>
    <row r="483" spans="1:2">
      <c r="A483">
        <v>489</v>
      </c>
      <c r="B483">
        <v>2400</v>
      </c>
    </row>
    <row r="484" spans="1:2">
      <c r="A484">
        <v>490</v>
      </c>
      <c r="B484">
        <v>2405</v>
      </c>
    </row>
    <row r="485" spans="1:2">
      <c r="A485">
        <v>491</v>
      </c>
      <c r="B485">
        <v>2410</v>
      </c>
    </row>
    <row r="486" spans="1:2">
      <c r="A486">
        <v>492</v>
      </c>
      <c r="B486">
        <v>2415</v>
      </c>
    </row>
    <row r="487" spans="1:2">
      <c r="A487">
        <v>493</v>
      </c>
      <c r="B487">
        <v>2420</v>
      </c>
    </row>
    <row r="488" spans="1:2">
      <c r="A488">
        <v>494</v>
      </c>
      <c r="B488">
        <v>2425</v>
      </c>
    </row>
    <row r="489" spans="1:2">
      <c r="A489">
        <v>495</v>
      </c>
      <c r="B489">
        <v>2430</v>
      </c>
    </row>
    <row r="490" spans="1:2">
      <c r="A490">
        <v>496</v>
      </c>
      <c r="B490">
        <v>2435</v>
      </c>
    </row>
    <row r="491" spans="1:2">
      <c r="A491">
        <v>497</v>
      </c>
      <c r="B491">
        <v>2440</v>
      </c>
    </row>
    <row r="492" spans="1:2">
      <c r="A492">
        <v>498</v>
      </c>
      <c r="B492">
        <v>2445</v>
      </c>
    </row>
    <row r="493" spans="1:2">
      <c r="A493">
        <v>499</v>
      </c>
      <c r="B493">
        <v>2450</v>
      </c>
    </row>
    <row r="494" spans="1:2">
      <c r="A494">
        <v>500</v>
      </c>
      <c r="B494">
        <v>2455</v>
      </c>
    </row>
    <row r="495" spans="1:2">
      <c r="A495">
        <v>501</v>
      </c>
      <c r="B495">
        <v>2460</v>
      </c>
    </row>
    <row r="496" spans="1:2">
      <c r="A496">
        <v>502</v>
      </c>
      <c r="B496">
        <v>2465</v>
      </c>
    </row>
    <row r="497" spans="1:2">
      <c r="A497">
        <v>503</v>
      </c>
      <c r="B497">
        <v>2470</v>
      </c>
    </row>
    <row r="498" spans="1:2">
      <c r="A498">
        <v>504</v>
      </c>
      <c r="B498">
        <v>2475</v>
      </c>
    </row>
    <row r="499" spans="1:2">
      <c r="A499">
        <v>505</v>
      </c>
      <c r="B499">
        <v>2480</v>
      </c>
    </row>
    <row r="500" spans="1:2">
      <c r="A500">
        <v>506</v>
      </c>
      <c r="B500">
        <v>2485</v>
      </c>
    </row>
    <row r="501" spans="1:2">
      <c r="A501">
        <v>507</v>
      </c>
      <c r="B501">
        <v>2490</v>
      </c>
    </row>
    <row r="502" spans="1:2">
      <c r="A502">
        <v>508</v>
      </c>
      <c r="B502">
        <v>2495</v>
      </c>
    </row>
    <row r="503" spans="1:2">
      <c r="A503">
        <v>509</v>
      </c>
      <c r="B503">
        <v>2500</v>
      </c>
    </row>
    <row r="504" spans="1:2">
      <c r="A504">
        <v>510</v>
      </c>
      <c r="B504">
        <v>2505</v>
      </c>
    </row>
    <row r="505" spans="1:2">
      <c r="A505">
        <v>511</v>
      </c>
      <c r="B505">
        <v>2510</v>
      </c>
    </row>
    <row r="506" spans="1:2">
      <c r="A506">
        <v>512</v>
      </c>
      <c r="B506">
        <v>2515</v>
      </c>
    </row>
    <row r="507" spans="1:2">
      <c r="A507">
        <v>513</v>
      </c>
      <c r="B507">
        <v>2520</v>
      </c>
    </row>
    <row r="508" spans="1:2">
      <c r="A508">
        <v>514</v>
      </c>
      <c r="B508">
        <v>2525</v>
      </c>
    </row>
    <row r="509" spans="1:2">
      <c r="A509">
        <v>515</v>
      </c>
      <c r="B509">
        <v>2530</v>
      </c>
    </row>
    <row r="510" spans="1:2">
      <c r="A510">
        <v>516</v>
      </c>
      <c r="B510">
        <v>2535</v>
      </c>
    </row>
    <row r="511" spans="1:2">
      <c r="A511">
        <v>517</v>
      </c>
      <c r="B511">
        <v>2540</v>
      </c>
    </row>
    <row r="512" spans="1:2">
      <c r="A512">
        <v>518</v>
      </c>
      <c r="B512">
        <v>2545</v>
      </c>
    </row>
    <row r="513" spans="1:2">
      <c r="A513">
        <v>519</v>
      </c>
      <c r="B513">
        <v>2550</v>
      </c>
    </row>
    <row r="514" spans="1:2">
      <c r="A514">
        <v>520</v>
      </c>
      <c r="B514">
        <v>2555</v>
      </c>
    </row>
    <row r="515" spans="1:2">
      <c r="A515">
        <v>521</v>
      </c>
      <c r="B515">
        <v>2560</v>
      </c>
    </row>
    <row r="516" spans="1:2">
      <c r="A516">
        <v>522</v>
      </c>
      <c r="B516">
        <v>2565</v>
      </c>
    </row>
    <row r="517" spans="1:2">
      <c r="A517">
        <v>523</v>
      </c>
      <c r="B517">
        <v>2570</v>
      </c>
    </row>
    <row r="518" spans="1:2">
      <c r="A518">
        <v>524</v>
      </c>
      <c r="B518">
        <v>2575</v>
      </c>
    </row>
    <row r="519" spans="1:2">
      <c r="A519">
        <v>525</v>
      </c>
      <c r="B519">
        <v>2580</v>
      </c>
    </row>
    <row r="520" spans="1:2">
      <c r="A520">
        <v>526</v>
      </c>
      <c r="B520">
        <v>2585</v>
      </c>
    </row>
    <row r="521" spans="1:2">
      <c r="A521">
        <v>527</v>
      </c>
      <c r="B521">
        <v>2590</v>
      </c>
    </row>
    <row r="522" spans="1:2">
      <c r="A522">
        <v>528</v>
      </c>
      <c r="B522">
        <v>2595</v>
      </c>
    </row>
    <row r="523" spans="1:2">
      <c r="A523">
        <v>529</v>
      </c>
      <c r="B523">
        <v>2600</v>
      </c>
    </row>
    <row r="524" spans="1:2">
      <c r="A524">
        <v>530</v>
      </c>
      <c r="B524">
        <v>2605</v>
      </c>
    </row>
    <row r="525" spans="1:2">
      <c r="A525">
        <v>531</v>
      </c>
      <c r="B525">
        <v>2610</v>
      </c>
    </row>
    <row r="526" spans="1:2">
      <c r="A526">
        <v>532</v>
      </c>
      <c r="B526">
        <v>2615</v>
      </c>
    </row>
    <row r="527" spans="1:2">
      <c r="A527">
        <v>533</v>
      </c>
      <c r="B527">
        <v>2620</v>
      </c>
    </row>
    <row r="528" spans="1:2">
      <c r="A528">
        <v>534</v>
      </c>
      <c r="B528">
        <v>2625</v>
      </c>
    </row>
    <row r="529" spans="1:2">
      <c r="A529">
        <v>535</v>
      </c>
      <c r="B529">
        <v>2630</v>
      </c>
    </row>
    <row r="530" spans="1:2">
      <c r="A530">
        <v>536</v>
      </c>
      <c r="B530">
        <v>2635</v>
      </c>
    </row>
    <row r="531" spans="1:2">
      <c r="A531">
        <v>537</v>
      </c>
      <c r="B531">
        <v>2640</v>
      </c>
    </row>
    <row r="532" spans="1:2">
      <c r="A532">
        <v>538</v>
      </c>
      <c r="B532">
        <v>2645</v>
      </c>
    </row>
    <row r="533" spans="1:2">
      <c r="A533">
        <v>539</v>
      </c>
      <c r="B533">
        <v>2650</v>
      </c>
    </row>
    <row r="534" spans="1:2">
      <c r="A534">
        <v>540</v>
      </c>
      <c r="B534">
        <v>2655</v>
      </c>
    </row>
    <row r="535" spans="1:2">
      <c r="A535">
        <v>541</v>
      </c>
      <c r="B535">
        <v>2660</v>
      </c>
    </row>
    <row r="536" spans="1:2">
      <c r="A536">
        <v>542</v>
      </c>
      <c r="B536">
        <v>2665</v>
      </c>
    </row>
    <row r="537" spans="1:2">
      <c r="A537">
        <v>543</v>
      </c>
      <c r="B537">
        <v>2670</v>
      </c>
    </row>
    <row r="538" spans="1:2">
      <c r="A538">
        <v>544</v>
      </c>
      <c r="B538">
        <v>2675</v>
      </c>
    </row>
    <row r="539" spans="1:2">
      <c r="A539">
        <v>545</v>
      </c>
      <c r="B539">
        <v>2680</v>
      </c>
    </row>
    <row r="540" spans="1:2">
      <c r="A540">
        <v>546</v>
      </c>
      <c r="B540">
        <v>2685</v>
      </c>
    </row>
    <row r="541" spans="1:2">
      <c r="A541">
        <v>547</v>
      </c>
      <c r="B541">
        <v>2690</v>
      </c>
    </row>
    <row r="542" spans="1:2">
      <c r="A542">
        <v>548</v>
      </c>
      <c r="B542">
        <v>2695</v>
      </c>
    </row>
    <row r="543" spans="1:2">
      <c r="A543">
        <v>549</v>
      </c>
      <c r="B543">
        <v>2700</v>
      </c>
    </row>
    <row r="544" spans="1:2">
      <c r="A544">
        <v>550</v>
      </c>
      <c r="B544">
        <v>2705</v>
      </c>
    </row>
    <row r="545" spans="1:2">
      <c r="A545">
        <v>551</v>
      </c>
      <c r="B545">
        <v>2710</v>
      </c>
    </row>
    <row r="546" spans="1:2">
      <c r="A546">
        <v>552</v>
      </c>
      <c r="B546">
        <v>2715</v>
      </c>
    </row>
    <row r="547" spans="1:2">
      <c r="A547">
        <v>553</v>
      </c>
      <c r="B547">
        <v>2720</v>
      </c>
    </row>
    <row r="548" spans="1:2">
      <c r="A548">
        <v>554</v>
      </c>
      <c r="B548">
        <v>2725</v>
      </c>
    </row>
    <row r="549" spans="1:2">
      <c r="A549">
        <v>555</v>
      </c>
      <c r="B549">
        <v>2730</v>
      </c>
    </row>
    <row r="550" spans="1:2">
      <c r="A550">
        <v>556</v>
      </c>
      <c r="B550">
        <v>2735</v>
      </c>
    </row>
    <row r="551" spans="1:2">
      <c r="A551">
        <v>557</v>
      </c>
      <c r="B551">
        <v>2740</v>
      </c>
    </row>
    <row r="552" spans="1:2">
      <c r="A552">
        <v>558</v>
      </c>
      <c r="B552">
        <v>2745</v>
      </c>
    </row>
    <row r="553" spans="1:2">
      <c r="A553">
        <v>559</v>
      </c>
      <c r="B553">
        <v>2750</v>
      </c>
    </row>
    <row r="554" spans="1:2">
      <c r="A554">
        <v>560</v>
      </c>
      <c r="B554">
        <v>2755</v>
      </c>
    </row>
    <row r="555" spans="1:2">
      <c r="A555">
        <v>561</v>
      </c>
      <c r="B555">
        <v>2760</v>
      </c>
    </row>
    <row r="556" spans="1:2">
      <c r="A556">
        <v>562</v>
      </c>
      <c r="B556">
        <v>2765</v>
      </c>
    </row>
    <row r="557" spans="1:2">
      <c r="A557">
        <v>563</v>
      </c>
      <c r="B557">
        <v>2770</v>
      </c>
    </row>
    <row r="558" spans="1:2">
      <c r="A558">
        <v>564</v>
      </c>
      <c r="B558">
        <v>2775</v>
      </c>
    </row>
    <row r="559" spans="1:2">
      <c r="A559">
        <v>565</v>
      </c>
      <c r="B559">
        <v>2780</v>
      </c>
    </row>
    <row r="560" spans="1:2">
      <c r="A560">
        <v>566</v>
      </c>
      <c r="B560">
        <v>2785</v>
      </c>
    </row>
    <row r="561" spans="1:2">
      <c r="A561">
        <v>567</v>
      </c>
      <c r="B561">
        <v>2790</v>
      </c>
    </row>
    <row r="562" spans="1:2">
      <c r="A562">
        <v>568</v>
      </c>
      <c r="B562">
        <v>2795</v>
      </c>
    </row>
    <row r="563" spans="1:2">
      <c r="A563">
        <v>569</v>
      </c>
      <c r="B563">
        <v>2800</v>
      </c>
    </row>
    <row r="564" spans="1:2">
      <c r="A564">
        <v>570</v>
      </c>
      <c r="B564">
        <v>2805</v>
      </c>
    </row>
    <row r="565" spans="1:2">
      <c r="A565">
        <v>571</v>
      </c>
      <c r="B565">
        <v>2810</v>
      </c>
    </row>
    <row r="566" spans="1:2">
      <c r="A566">
        <v>572</v>
      </c>
      <c r="B566">
        <v>2815</v>
      </c>
    </row>
    <row r="567" spans="1:2">
      <c r="A567">
        <v>573</v>
      </c>
      <c r="B567">
        <v>2820</v>
      </c>
    </row>
    <row r="568" spans="1:2">
      <c r="A568">
        <v>574</v>
      </c>
      <c r="B568">
        <v>2825</v>
      </c>
    </row>
    <row r="569" spans="1:2">
      <c r="A569">
        <v>575</v>
      </c>
      <c r="B569">
        <v>2830</v>
      </c>
    </row>
    <row r="570" spans="1:2">
      <c r="A570">
        <v>576</v>
      </c>
      <c r="B570">
        <v>2835</v>
      </c>
    </row>
    <row r="571" spans="1:2">
      <c r="A571">
        <v>577</v>
      </c>
      <c r="B571">
        <v>2840</v>
      </c>
    </row>
    <row r="572" spans="1:2">
      <c r="A572">
        <v>578</v>
      </c>
      <c r="B572">
        <v>2845</v>
      </c>
    </row>
    <row r="573" spans="1:2">
      <c r="A573">
        <v>579</v>
      </c>
      <c r="B573">
        <v>2850</v>
      </c>
    </row>
    <row r="574" spans="1:2">
      <c r="A574">
        <v>580</v>
      </c>
      <c r="B574">
        <v>2855</v>
      </c>
    </row>
    <row r="575" spans="1:2">
      <c r="A575">
        <v>581</v>
      </c>
      <c r="B575">
        <v>2860</v>
      </c>
    </row>
    <row r="576" spans="1:2">
      <c r="A576">
        <v>582</v>
      </c>
      <c r="B576">
        <v>2865</v>
      </c>
    </row>
    <row r="577" spans="1:2">
      <c r="A577">
        <v>583</v>
      </c>
      <c r="B577">
        <v>2870</v>
      </c>
    </row>
    <row r="578" spans="1:2">
      <c r="A578">
        <v>584</v>
      </c>
      <c r="B578">
        <v>2875</v>
      </c>
    </row>
    <row r="579" spans="1:2">
      <c r="A579">
        <v>585</v>
      </c>
      <c r="B579">
        <v>2880</v>
      </c>
    </row>
    <row r="580" spans="1:2">
      <c r="A580">
        <v>586</v>
      </c>
      <c r="B580">
        <v>2885</v>
      </c>
    </row>
    <row r="581" spans="1:2">
      <c r="A581">
        <v>587</v>
      </c>
      <c r="B581">
        <v>2890</v>
      </c>
    </row>
    <row r="582" spans="1:2">
      <c r="A582">
        <v>588</v>
      </c>
      <c r="B582">
        <v>2895</v>
      </c>
    </row>
    <row r="583" spans="1:2">
      <c r="A583">
        <v>589</v>
      </c>
      <c r="B583">
        <v>2900</v>
      </c>
    </row>
    <row r="584" spans="1:2">
      <c r="A584">
        <v>590</v>
      </c>
      <c r="B584">
        <v>2905</v>
      </c>
    </row>
    <row r="585" spans="1:2">
      <c r="A585">
        <v>591</v>
      </c>
      <c r="B585">
        <v>2910</v>
      </c>
    </row>
    <row r="586" spans="1:2">
      <c r="A586">
        <v>592</v>
      </c>
      <c r="B586">
        <v>2915</v>
      </c>
    </row>
    <row r="587" spans="1:2">
      <c r="A587">
        <v>593</v>
      </c>
      <c r="B587">
        <v>2920</v>
      </c>
    </row>
    <row r="588" spans="1:2">
      <c r="A588">
        <v>594</v>
      </c>
      <c r="B588">
        <v>2925</v>
      </c>
    </row>
    <row r="589" spans="1:2">
      <c r="A589">
        <v>595</v>
      </c>
      <c r="B589">
        <v>2930</v>
      </c>
    </row>
    <row r="590" spans="1:2">
      <c r="A590">
        <v>596</v>
      </c>
      <c r="B590">
        <v>2935</v>
      </c>
    </row>
    <row r="591" spans="1:2">
      <c r="A591">
        <v>597</v>
      </c>
      <c r="B591">
        <v>2940</v>
      </c>
    </row>
    <row r="592" spans="1:2">
      <c r="A592">
        <v>598</v>
      </c>
      <c r="B592">
        <v>2945</v>
      </c>
    </row>
    <row r="593" spans="1:2">
      <c r="A593">
        <v>599</v>
      </c>
      <c r="B593">
        <v>2950</v>
      </c>
    </row>
    <row r="594" spans="1:2">
      <c r="A594">
        <v>600</v>
      </c>
      <c r="B594">
        <v>2955</v>
      </c>
    </row>
    <row r="595" spans="1:2">
      <c r="A595">
        <v>601</v>
      </c>
      <c r="B595">
        <v>2960</v>
      </c>
    </row>
    <row r="596" spans="1:2">
      <c r="A596">
        <v>602</v>
      </c>
      <c r="B596">
        <v>2965</v>
      </c>
    </row>
    <row r="597" spans="1:2">
      <c r="A597">
        <v>603</v>
      </c>
      <c r="B597">
        <v>2970</v>
      </c>
    </row>
    <row r="598" spans="1:2">
      <c r="A598">
        <v>604</v>
      </c>
      <c r="B598">
        <v>2975</v>
      </c>
    </row>
    <row r="599" spans="1:2">
      <c r="A599">
        <v>605</v>
      </c>
      <c r="B599">
        <v>2980</v>
      </c>
    </row>
    <row r="600" spans="1:2">
      <c r="A600">
        <v>606</v>
      </c>
      <c r="B600">
        <v>2985</v>
      </c>
    </row>
    <row r="601" spans="1:2">
      <c r="A601">
        <v>607</v>
      </c>
      <c r="B601">
        <v>2990</v>
      </c>
    </row>
    <row r="602" spans="1:2">
      <c r="A602">
        <v>608</v>
      </c>
      <c r="B602">
        <v>2995</v>
      </c>
    </row>
    <row r="603" spans="1:2">
      <c r="A603">
        <v>609</v>
      </c>
      <c r="B603">
        <v>3000</v>
      </c>
    </row>
    <row r="604" spans="1:2">
      <c r="A604">
        <v>610</v>
      </c>
    </row>
    <row r="605" spans="1:2">
      <c r="A605">
        <v>611</v>
      </c>
    </row>
    <row r="606" spans="1:2">
      <c r="A606">
        <v>612</v>
      </c>
    </row>
    <row r="607" spans="1:2">
      <c r="A607">
        <v>613</v>
      </c>
    </row>
    <row r="608" spans="1:2">
      <c r="A608">
        <v>614</v>
      </c>
    </row>
    <row r="609" spans="1:1">
      <c r="A609">
        <v>615</v>
      </c>
    </row>
    <row r="610" spans="1:1">
      <c r="A610">
        <v>616</v>
      </c>
    </row>
    <row r="611" spans="1:1">
      <c r="A611">
        <v>617</v>
      </c>
    </row>
    <row r="612" spans="1:1">
      <c r="A612">
        <v>618</v>
      </c>
    </row>
    <row r="613" spans="1:1">
      <c r="A613">
        <v>619</v>
      </c>
    </row>
    <row r="614" spans="1:1">
      <c r="A614">
        <v>620</v>
      </c>
    </row>
    <row r="615" spans="1:1">
      <c r="A615">
        <v>621</v>
      </c>
    </row>
    <row r="616" spans="1:1">
      <c r="A616">
        <v>622</v>
      </c>
    </row>
    <row r="617" spans="1:1">
      <c r="A617">
        <v>623</v>
      </c>
    </row>
    <row r="618" spans="1:1">
      <c r="A618">
        <v>624</v>
      </c>
    </row>
    <row r="619" spans="1:1">
      <c r="A619">
        <v>625</v>
      </c>
    </row>
    <row r="620" spans="1:1">
      <c r="A620">
        <v>626</v>
      </c>
    </row>
    <row r="621" spans="1:1">
      <c r="A621">
        <v>627</v>
      </c>
    </row>
    <row r="622" spans="1:1">
      <c r="A622">
        <v>628</v>
      </c>
    </row>
    <row r="623" spans="1:1">
      <c r="A623">
        <v>629</v>
      </c>
    </row>
    <row r="624" spans="1:1">
      <c r="A624">
        <v>630</v>
      </c>
    </row>
    <row r="625" spans="1:1">
      <c r="A625">
        <v>631</v>
      </c>
    </row>
    <row r="626" spans="1:1">
      <c r="A626">
        <v>632</v>
      </c>
    </row>
    <row r="627" spans="1:1">
      <c r="A627">
        <v>633</v>
      </c>
    </row>
    <row r="628" spans="1:1">
      <c r="A628">
        <v>634</v>
      </c>
    </row>
    <row r="629" spans="1:1">
      <c r="A629">
        <v>635</v>
      </c>
    </row>
    <row r="630" spans="1:1">
      <c r="A630">
        <v>636</v>
      </c>
    </row>
    <row r="631" spans="1:1">
      <c r="A631">
        <v>637</v>
      </c>
    </row>
    <row r="632" spans="1:1">
      <c r="A632">
        <v>638</v>
      </c>
    </row>
    <row r="633" spans="1:1">
      <c r="A633">
        <v>639</v>
      </c>
    </row>
    <row r="634" spans="1:1">
      <c r="A634">
        <v>640</v>
      </c>
    </row>
    <row r="635" spans="1:1">
      <c r="A635">
        <v>641</v>
      </c>
    </row>
    <row r="636" spans="1:1">
      <c r="A636">
        <v>642</v>
      </c>
    </row>
    <row r="637" spans="1:1">
      <c r="A637">
        <v>643</v>
      </c>
    </row>
    <row r="638" spans="1:1">
      <c r="A638">
        <v>644</v>
      </c>
    </row>
    <row r="639" spans="1:1">
      <c r="A639">
        <v>645</v>
      </c>
    </row>
    <row r="640" spans="1:1">
      <c r="A640">
        <v>646</v>
      </c>
    </row>
    <row r="641" spans="1:1">
      <c r="A641">
        <v>647</v>
      </c>
    </row>
    <row r="642" spans="1:1">
      <c r="A642">
        <v>648</v>
      </c>
    </row>
    <row r="643" spans="1:1">
      <c r="A643">
        <v>649</v>
      </c>
    </row>
    <row r="644" spans="1:1">
      <c r="A644">
        <v>650</v>
      </c>
    </row>
    <row r="645" spans="1:1">
      <c r="A645">
        <v>651</v>
      </c>
    </row>
    <row r="646" spans="1:1">
      <c r="A646">
        <v>652</v>
      </c>
    </row>
    <row r="647" spans="1:1">
      <c r="A647">
        <v>653</v>
      </c>
    </row>
    <row r="648" spans="1:1">
      <c r="A648">
        <v>654</v>
      </c>
    </row>
    <row r="649" spans="1:1">
      <c r="A649">
        <v>655</v>
      </c>
    </row>
    <row r="650" spans="1:1">
      <c r="A650">
        <v>656</v>
      </c>
    </row>
    <row r="651" spans="1:1">
      <c r="A651">
        <v>657</v>
      </c>
    </row>
    <row r="652" spans="1:1">
      <c r="A652">
        <v>658</v>
      </c>
    </row>
    <row r="653" spans="1:1">
      <c r="A653">
        <v>659</v>
      </c>
    </row>
    <row r="654" spans="1:1">
      <c r="A654">
        <v>660</v>
      </c>
    </row>
    <row r="655" spans="1:1">
      <c r="A655">
        <v>661</v>
      </c>
    </row>
    <row r="656" spans="1:1">
      <c r="A656">
        <v>662</v>
      </c>
    </row>
    <row r="657" spans="1:1">
      <c r="A657">
        <v>663</v>
      </c>
    </row>
    <row r="658" spans="1:1">
      <c r="A658">
        <v>664</v>
      </c>
    </row>
    <row r="659" spans="1:1">
      <c r="A659">
        <v>665</v>
      </c>
    </row>
    <row r="660" spans="1:1">
      <c r="A660">
        <v>666</v>
      </c>
    </row>
    <row r="661" spans="1:1">
      <c r="A661">
        <v>667</v>
      </c>
    </row>
    <row r="662" spans="1:1">
      <c r="A662">
        <v>668</v>
      </c>
    </row>
    <row r="663" spans="1:1">
      <c r="A663">
        <v>669</v>
      </c>
    </row>
    <row r="664" spans="1:1">
      <c r="A664">
        <v>670</v>
      </c>
    </row>
    <row r="665" spans="1:1">
      <c r="A665">
        <v>671</v>
      </c>
    </row>
    <row r="666" spans="1:1">
      <c r="A666">
        <v>672</v>
      </c>
    </row>
    <row r="667" spans="1:1">
      <c r="A667">
        <v>673</v>
      </c>
    </row>
    <row r="668" spans="1:1">
      <c r="A668">
        <v>674</v>
      </c>
    </row>
    <row r="669" spans="1:1">
      <c r="A669">
        <v>675</v>
      </c>
    </row>
    <row r="670" spans="1:1">
      <c r="A670">
        <v>676</v>
      </c>
    </row>
    <row r="671" spans="1:1">
      <c r="A671">
        <v>677</v>
      </c>
    </row>
    <row r="672" spans="1:1">
      <c r="A672">
        <v>678</v>
      </c>
    </row>
    <row r="673" spans="1:1">
      <c r="A673">
        <v>679</v>
      </c>
    </row>
    <row r="674" spans="1:1">
      <c r="A674">
        <v>680</v>
      </c>
    </row>
    <row r="675" spans="1:1">
      <c r="A675">
        <v>681</v>
      </c>
    </row>
    <row r="676" spans="1:1">
      <c r="A676">
        <v>682</v>
      </c>
    </row>
    <row r="677" spans="1:1">
      <c r="A677">
        <v>683</v>
      </c>
    </row>
    <row r="678" spans="1:1">
      <c r="A678">
        <v>684</v>
      </c>
    </row>
    <row r="679" spans="1:1">
      <c r="A679">
        <v>685</v>
      </c>
    </row>
    <row r="680" spans="1:1">
      <c r="A680">
        <v>686</v>
      </c>
    </row>
    <row r="681" spans="1:1">
      <c r="A681">
        <v>687</v>
      </c>
    </row>
    <row r="682" spans="1:1">
      <c r="A682">
        <v>688</v>
      </c>
    </row>
    <row r="683" spans="1:1">
      <c r="A683">
        <v>689</v>
      </c>
    </row>
    <row r="684" spans="1:1">
      <c r="A684">
        <v>690</v>
      </c>
    </row>
    <row r="685" spans="1:1">
      <c r="A685">
        <v>691</v>
      </c>
    </row>
    <row r="686" spans="1:1">
      <c r="A686">
        <v>692</v>
      </c>
    </row>
    <row r="687" spans="1:1">
      <c r="A687">
        <v>693</v>
      </c>
    </row>
    <row r="688" spans="1:1">
      <c r="A688">
        <v>694</v>
      </c>
    </row>
    <row r="689" spans="1:1">
      <c r="A689">
        <v>695</v>
      </c>
    </row>
    <row r="690" spans="1:1">
      <c r="A690">
        <v>696</v>
      </c>
    </row>
    <row r="691" spans="1:1">
      <c r="A691">
        <v>697</v>
      </c>
    </row>
    <row r="692" spans="1:1">
      <c r="A692">
        <v>698</v>
      </c>
    </row>
    <row r="693" spans="1:1">
      <c r="A693">
        <v>699</v>
      </c>
    </row>
    <row r="694" spans="1:1">
      <c r="A694">
        <v>700</v>
      </c>
    </row>
    <row r="695" spans="1:1">
      <c r="A695">
        <v>701</v>
      </c>
    </row>
    <row r="696" spans="1:1">
      <c r="A696">
        <v>702</v>
      </c>
    </row>
    <row r="697" spans="1:1">
      <c r="A697">
        <v>703</v>
      </c>
    </row>
    <row r="698" spans="1:1">
      <c r="A698">
        <v>704</v>
      </c>
    </row>
    <row r="699" spans="1:1">
      <c r="A699">
        <v>705</v>
      </c>
    </row>
    <row r="700" spans="1:1">
      <c r="A700">
        <v>706</v>
      </c>
    </row>
    <row r="701" spans="1:1">
      <c r="A701">
        <v>707</v>
      </c>
    </row>
    <row r="702" spans="1:1">
      <c r="A702">
        <v>708</v>
      </c>
    </row>
    <row r="703" spans="1:1">
      <c r="A703">
        <v>709</v>
      </c>
    </row>
    <row r="704" spans="1:1">
      <c r="A704">
        <v>710</v>
      </c>
    </row>
    <row r="705" spans="1:1">
      <c r="A705">
        <v>711</v>
      </c>
    </row>
    <row r="706" spans="1:1">
      <c r="A706">
        <v>712</v>
      </c>
    </row>
    <row r="707" spans="1:1">
      <c r="A707">
        <v>713</v>
      </c>
    </row>
    <row r="708" spans="1:1">
      <c r="A708">
        <v>714</v>
      </c>
    </row>
    <row r="709" spans="1:1">
      <c r="A709">
        <v>715</v>
      </c>
    </row>
    <row r="710" spans="1:1">
      <c r="A710">
        <v>716</v>
      </c>
    </row>
    <row r="711" spans="1:1">
      <c r="A711">
        <v>717</v>
      </c>
    </row>
    <row r="712" spans="1:1">
      <c r="A712">
        <v>718</v>
      </c>
    </row>
    <row r="713" spans="1:1">
      <c r="A713">
        <v>719</v>
      </c>
    </row>
    <row r="714" spans="1:1">
      <c r="A714">
        <v>720</v>
      </c>
    </row>
    <row r="715" spans="1:1">
      <c r="A715">
        <v>721</v>
      </c>
    </row>
    <row r="716" spans="1:1">
      <c r="A716">
        <v>722</v>
      </c>
    </row>
    <row r="717" spans="1:1">
      <c r="A717">
        <v>723</v>
      </c>
    </row>
    <row r="718" spans="1:1">
      <c r="A718">
        <v>724</v>
      </c>
    </row>
    <row r="719" spans="1:1">
      <c r="A719">
        <v>725</v>
      </c>
    </row>
    <row r="720" spans="1:1">
      <c r="A720">
        <v>726</v>
      </c>
    </row>
    <row r="721" spans="1:1">
      <c r="A721">
        <v>727</v>
      </c>
    </row>
    <row r="722" spans="1:1">
      <c r="A722">
        <v>728</v>
      </c>
    </row>
    <row r="723" spans="1:1">
      <c r="A723">
        <v>729</v>
      </c>
    </row>
    <row r="724" spans="1:1">
      <c r="A724">
        <v>730</v>
      </c>
    </row>
    <row r="725" spans="1:1">
      <c r="A725">
        <v>731</v>
      </c>
    </row>
    <row r="726" spans="1:1">
      <c r="A726">
        <v>732</v>
      </c>
    </row>
    <row r="727" spans="1:1">
      <c r="A727">
        <v>733</v>
      </c>
    </row>
    <row r="728" spans="1:1">
      <c r="A728">
        <v>734</v>
      </c>
    </row>
    <row r="729" spans="1:1">
      <c r="A729">
        <v>735</v>
      </c>
    </row>
    <row r="730" spans="1:1">
      <c r="A730">
        <v>736</v>
      </c>
    </row>
    <row r="731" spans="1:1">
      <c r="A731">
        <v>737</v>
      </c>
    </row>
    <row r="732" spans="1:1">
      <c r="A732">
        <v>738</v>
      </c>
    </row>
    <row r="733" spans="1:1">
      <c r="A733">
        <v>739</v>
      </c>
    </row>
    <row r="734" spans="1:1">
      <c r="A734">
        <v>740</v>
      </c>
    </row>
    <row r="735" spans="1:1">
      <c r="A735">
        <v>741</v>
      </c>
    </row>
    <row r="736" spans="1:1">
      <c r="A736">
        <v>742</v>
      </c>
    </row>
    <row r="737" spans="1:1">
      <c r="A737">
        <v>743</v>
      </c>
    </row>
    <row r="738" spans="1:1">
      <c r="A738">
        <v>744</v>
      </c>
    </row>
    <row r="739" spans="1:1">
      <c r="A739">
        <v>745</v>
      </c>
    </row>
    <row r="740" spans="1:1">
      <c r="A740">
        <v>746</v>
      </c>
    </row>
    <row r="741" spans="1:1">
      <c r="A741">
        <v>747</v>
      </c>
    </row>
    <row r="742" spans="1:1">
      <c r="A742">
        <v>748</v>
      </c>
    </row>
    <row r="743" spans="1:1">
      <c r="A743">
        <v>749</v>
      </c>
    </row>
    <row r="744" spans="1:1">
      <c r="A744">
        <v>750</v>
      </c>
    </row>
    <row r="745" spans="1:1">
      <c r="A745">
        <v>751</v>
      </c>
    </row>
    <row r="746" spans="1:1">
      <c r="A746">
        <v>752</v>
      </c>
    </row>
    <row r="747" spans="1:1">
      <c r="A747">
        <v>753</v>
      </c>
    </row>
    <row r="748" spans="1:1">
      <c r="A748">
        <v>754</v>
      </c>
    </row>
    <row r="749" spans="1:1">
      <c r="A749">
        <v>755</v>
      </c>
    </row>
    <row r="750" spans="1:1">
      <c r="A750">
        <v>756</v>
      </c>
    </row>
    <row r="751" spans="1:1">
      <c r="A751">
        <v>757</v>
      </c>
    </row>
    <row r="752" spans="1:1">
      <c r="A752">
        <v>758</v>
      </c>
    </row>
    <row r="753" spans="1:1">
      <c r="A753">
        <v>759</v>
      </c>
    </row>
    <row r="754" spans="1:1">
      <c r="A754">
        <v>760</v>
      </c>
    </row>
    <row r="755" spans="1:1">
      <c r="A755">
        <v>761</v>
      </c>
    </row>
    <row r="756" spans="1:1">
      <c r="A756">
        <v>762</v>
      </c>
    </row>
    <row r="757" spans="1:1">
      <c r="A757">
        <v>763</v>
      </c>
    </row>
    <row r="758" spans="1:1">
      <c r="A758">
        <v>764</v>
      </c>
    </row>
    <row r="759" spans="1:1">
      <c r="A759">
        <v>765</v>
      </c>
    </row>
    <row r="760" spans="1:1">
      <c r="A760">
        <v>766</v>
      </c>
    </row>
    <row r="761" spans="1:1">
      <c r="A761">
        <v>767</v>
      </c>
    </row>
    <row r="762" spans="1:1">
      <c r="A762">
        <v>768</v>
      </c>
    </row>
    <row r="763" spans="1:1">
      <c r="A763">
        <v>769</v>
      </c>
    </row>
    <row r="764" spans="1:1">
      <c r="A764">
        <v>770</v>
      </c>
    </row>
    <row r="765" spans="1:1">
      <c r="A765">
        <v>771</v>
      </c>
    </row>
    <row r="766" spans="1:1">
      <c r="A766">
        <v>772</v>
      </c>
    </row>
    <row r="767" spans="1:1">
      <c r="A767">
        <v>773</v>
      </c>
    </row>
    <row r="768" spans="1:1">
      <c r="A768">
        <v>774</v>
      </c>
    </row>
    <row r="769" spans="1:1">
      <c r="A769">
        <v>775</v>
      </c>
    </row>
    <row r="770" spans="1:1">
      <c r="A770">
        <v>776</v>
      </c>
    </row>
    <row r="771" spans="1:1">
      <c r="A771">
        <v>777</v>
      </c>
    </row>
    <row r="772" spans="1:1">
      <c r="A772">
        <v>778</v>
      </c>
    </row>
    <row r="773" spans="1:1">
      <c r="A773">
        <v>779</v>
      </c>
    </row>
    <row r="774" spans="1:1">
      <c r="A774">
        <v>780</v>
      </c>
    </row>
    <row r="775" spans="1:1">
      <c r="A775">
        <v>781</v>
      </c>
    </row>
    <row r="776" spans="1:1">
      <c r="A776">
        <v>782</v>
      </c>
    </row>
    <row r="777" spans="1:1">
      <c r="A777">
        <v>783</v>
      </c>
    </row>
    <row r="778" spans="1:1">
      <c r="A778">
        <v>784</v>
      </c>
    </row>
    <row r="779" spans="1:1">
      <c r="A779">
        <v>785</v>
      </c>
    </row>
    <row r="780" spans="1:1">
      <c r="A780">
        <v>786</v>
      </c>
    </row>
    <row r="781" spans="1:1">
      <c r="A781">
        <v>787</v>
      </c>
    </row>
    <row r="782" spans="1:1">
      <c r="A782">
        <v>788</v>
      </c>
    </row>
    <row r="783" spans="1:1">
      <c r="A783">
        <v>789</v>
      </c>
    </row>
    <row r="784" spans="1:1">
      <c r="A784">
        <v>790</v>
      </c>
    </row>
    <row r="785" spans="1:1">
      <c r="A785">
        <v>791</v>
      </c>
    </row>
    <row r="786" spans="1:1">
      <c r="A786">
        <v>792</v>
      </c>
    </row>
    <row r="787" spans="1:1">
      <c r="A787">
        <v>793</v>
      </c>
    </row>
    <row r="788" spans="1:1">
      <c r="A788">
        <v>794</v>
      </c>
    </row>
    <row r="789" spans="1:1">
      <c r="A789">
        <v>795</v>
      </c>
    </row>
    <row r="790" spans="1:1">
      <c r="A790">
        <v>796</v>
      </c>
    </row>
    <row r="791" spans="1:1">
      <c r="A791">
        <v>797</v>
      </c>
    </row>
    <row r="792" spans="1:1">
      <c r="A792">
        <v>798</v>
      </c>
    </row>
    <row r="793" spans="1:1">
      <c r="A793">
        <v>799</v>
      </c>
    </row>
    <row r="794" spans="1:1">
      <c r="A794">
        <v>800</v>
      </c>
    </row>
    <row r="795" spans="1:1">
      <c r="A795">
        <v>801</v>
      </c>
    </row>
    <row r="796" spans="1:1">
      <c r="A796">
        <v>802</v>
      </c>
    </row>
    <row r="797" spans="1:1">
      <c r="A797">
        <v>803</v>
      </c>
    </row>
    <row r="798" spans="1:1">
      <c r="A798">
        <v>804</v>
      </c>
    </row>
    <row r="799" spans="1:1">
      <c r="A799">
        <v>805</v>
      </c>
    </row>
    <row r="800" spans="1:1">
      <c r="A800">
        <v>806</v>
      </c>
    </row>
    <row r="801" spans="1:1">
      <c r="A801">
        <v>807</v>
      </c>
    </row>
    <row r="802" spans="1:1">
      <c r="A802">
        <v>808</v>
      </c>
    </row>
    <row r="803" spans="1:1">
      <c r="A803">
        <v>809</v>
      </c>
    </row>
    <row r="804" spans="1:1">
      <c r="A804">
        <v>810</v>
      </c>
    </row>
    <row r="805" spans="1:1">
      <c r="A805">
        <v>811</v>
      </c>
    </row>
    <row r="806" spans="1:1">
      <c r="A806">
        <v>812</v>
      </c>
    </row>
    <row r="807" spans="1:1">
      <c r="A807">
        <v>813</v>
      </c>
    </row>
    <row r="808" spans="1:1">
      <c r="A808">
        <v>814</v>
      </c>
    </row>
    <row r="809" spans="1:1">
      <c r="A809">
        <v>815</v>
      </c>
    </row>
    <row r="810" spans="1:1">
      <c r="A810">
        <v>816</v>
      </c>
    </row>
    <row r="811" spans="1:1">
      <c r="A811">
        <v>817</v>
      </c>
    </row>
    <row r="812" spans="1:1">
      <c r="A812">
        <v>818</v>
      </c>
    </row>
    <row r="813" spans="1:1">
      <c r="A813">
        <v>819</v>
      </c>
    </row>
    <row r="814" spans="1:1">
      <c r="A814">
        <v>820</v>
      </c>
    </row>
    <row r="815" spans="1:1">
      <c r="A815">
        <v>821</v>
      </c>
    </row>
    <row r="816" spans="1:1">
      <c r="A816">
        <v>822</v>
      </c>
    </row>
    <row r="817" spans="1:1">
      <c r="A817">
        <v>823</v>
      </c>
    </row>
    <row r="818" spans="1:1">
      <c r="A818">
        <v>824</v>
      </c>
    </row>
    <row r="819" spans="1:1">
      <c r="A819">
        <v>825</v>
      </c>
    </row>
    <row r="820" spans="1:1">
      <c r="A820">
        <v>826</v>
      </c>
    </row>
    <row r="821" spans="1:1">
      <c r="A821">
        <v>827</v>
      </c>
    </row>
    <row r="822" spans="1:1">
      <c r="A822">
        <v>828</v>
      </c>
    </row>
    <row r="823" spans="1:1">
      <c r="A823">
        <v>829</v>
      </c>
    </row>
    <row r="824" spans="1:1">
      <c r="A824">
        <v>830</v>
      </c>
    </row>
    <row r="825" spans="1:1">
      <c r="A825">
        <v>831</v>
      </c>
    </row>
    <row r="826" spans="1:1">
      <c r="A826">
        <v>832</v>
      </c>
    </row>
    <row r="827" spans="1:1">
      <c r="A827">
        <v>833</v>
      </c>
    </row>
    <row r="828" spans="1:1">
      <c r="A828">
        <v>834</v>
      </c>
    </row>
    <row r="829" spans="1:1">
      <c r="A829">
        <v>835</v>
      </c>
    </row>
    <row r="830" spans="1:1">
      <c r="A830">
        <v>836</v>
      </c>
    </row>
    <row r="831" spans="1:1">
      <c r="A831">
        <v>837</v>
      </c>
    </row>
    <row r="832" spans="1:1">
      <c r="A832">
        <v>838</v>
      </c>
    </row>
    <row r="833" spans="1:1">
      <c r="A833">
        <v>839</v>
      </c>
    </row>
    <row r="834" spans="1:1">
      <c r="A834">
        <v>840</v>
      </c>
    </row>
    <row r="835" spans="1:1">
      <c r="A835">
        <v>841</v>
      </c>
    </row>
    <row r="836" spans="1:1">
      <c r="A836">
        <v>842</v>
      </c>
    </row>
    <row r="837" spans="1:1">
      <c r="A837">
        <v>843</v>
      </c>
    </row>
    <row r="838" spans="1:1">
      <c r="A838">
        <v>844</v>
      </c>
    </row>
    <row r="839" spans="1:1">
      <c r="A839">
        <v>845</v>
      </c>
    </row>
    <row r="840" spans="1:1">
      <c r="A840">
        <v>846</v>
      </c>
    </row>
    <row r="841" spans="1:1">
      <c r="A841">
        <v>847</v>
      </c>
    </row>
    <row r="842" spans="1:1">
      <c r="A842">
        <v>848</v>
      </c>
    </row>
    <row r="843" spans="1:1">
      <c r="A843">
        <v>849</v>
      </c>
    </row>
    <row r="844" spans="1:1">
      <c r="A844">
        <v>850</v>
      </c>
    </row>
    <row r="845" spans="1:1">
      <c r="A845">
        <v>851</v>
      </c>
    </row>
    <row r="846" spans="1:1">
      <c r="A846">
        <v>852</v>
      </c>
    </row>
    <row r="847" spans="1:1">
      <c r="A847">
        <v>853</v>
      </c>
    </row>
    <row r="848" spans="1:1">
      <c r="A848">
        <v>854</v>
      </c>
    </row>
    <row r="849" spans="1:1">
      <c r="A849">
        <v>855</v>
      </c>
    </row>
    <row r="850" spans="1:1">
      <c r="A850">
        <v>856</v>
      </c>
    </row>
    <row r="851" spans="1:1">
      <c r="A851">
        <v>857</v>
      </c>
    </row>
    <row r="852" spans="1:1">
      <c r="A852">
        <v>858</v>
      </c>
    </row>
    <row r="853" spans="1:1">
      <c r="A853">
        <v>859</v>
      </c>
    </row>
    <row r="854" spans="1:1">
      <c r="A854">
        <v>860</v>
      </c>
    </row>
    <row r="855" spans="1:1">
      <c r="A855">
        <v>861</v>
      </c>
    </row>
    <row r="856" spans="1:1">
      <c r="A856">
        <v>862</v>
      </c>
    </row>
    <row r="857" spans="1:1">
      <c r="A857">
        <v>863</v>
      </c>
    </row>
    <row r="858" spans="1:1">
      <c r="A858">
        <v>864</v>
      </c>
    </row>
    <row r="859" spans="1:1">
      <c r="A859">
        <v>865</v>
      </c>
    </row>
    <row r="860" spans="1:1">
      <c r="A860">
        <v>866</v>
      </c>
    </row>
    <row r="861" spans="1:1">
      <c r="A861">
        <v>867</v>
      </c>
    </row>
    <row r="862" spans="1:1">
      <c r="A862">
        <v>868</v>
      </c>
    </row>
    <row r="863" spans="1:1">
      <c r="A863">
        <v>869</v>
      </c>
    </row>
    <row r="864" spans="1:1">
      <c r="A864">
        <v>870</v>
      </c>
    </row>
    <row r="865" spans="1:1">
      <c r="A865">
        <v>871</v>
      </c>
    </row>
    <row r="866" spans="1:1">
      <c r="A866">
        <v>872</v>
      </c>
    </row>
    <row r="867" spans="1:1">
      <c r="A867">
        <v>873</v>
      </c>
    </row>
    <row r="868" spans="1:1">
      <c r="A868">
        <v>874</v>
      </c>
    </row>
    <row r="869" spans="1:1">
      <c r="A869">
        <v>875</v>
      </c>
    </row>
    <row r="870" spans="1:1">
      <c r="A870">
        <v>876</v>
      </c>
    </row>
    <row r="871" spans="1:1">
      <c r="A871">
        <v>877</v>
      </c>
    </row>
    <row r="872" spans="1:1">
      <c r="A872">
        <v>878</v>
      </c>
    </row>
    <row r="873" spans="1:1">
      <c r="A873">
        <v>879</v>
      </c>
    </row>
    <row r="874" spans="1:1">
      <c r="A874">
        <v>880</v>
      </c>
    </row>
    <row r="875" spans="1:1">
      <c r="A875">
        <v>881</v>
      </c>
    </row>
    <row r="876" spans="1:1">
      <c r="A876">
        <v>882</v>
      </c>
    </row>
    <row r="877" spans="1:1">
      <c r="A877">
        <v>883</v>
      </c>
    </row>
    <row r="878" spans="1:1">
      <c r="A878">
        <v>884</v>
      </c>
    </row>
    <row r="879" spans="1:1">
      <c r="A879">
        <v>885</v>
      </c>
    </row>
    <row r="880" spans="1:1">
      <c r="A880">
        <v>886</v>
      </c>
    </row>
    <row r="881" spans="1:1">
      <c r="A881">
        <v>887</v>
      </c>
    </row>
    <row r="882" spans="1:1">
      <c r="A882">
        <v>888</v>
      </c>
    </row>
    <row r="883" spans="1:1">
      <c r="A883">
        <v>889</v>
      </c>
    </row>
    <row r="884" spans="1:1">
      <c r="A884">
        <v>890</v>
      </c>
    </row>
    <row r="885" spans="1:1">
      <c r="A885">
        <v>891</v>
      </c>
    </row>
    <row r="886" spans="1:1">
      <c r="A886">
        <v>892</v>
      </c>
    </row>
    <row r="887" spans="1:1">
      <c r="A887">
        <v>893</v>
      </c>
    </row>
    <row r="888" spans="1:1">
      <c r="A888">
        <v>894</v>
      </c>
    </row>
    <row r="889" spans="1:1">
      <c r="A889">
        <v>895</v>
      </c>
    </row>
    <row r="890" spans="1:1">
      <c r="A890">
        <v>896</v>
      </c>
    </row>
    <row r="891" spans="1:1">
      <c r="A891">
        <v>897</v>
      </c>
    </row>
    <row r="892" spans="1:1">
      <c r="A892">
        <v>898</v>
      </c>
    </row>
    <row r="893" spans="1:1">
      <c r="A893">
        <v>899</v>
      </c>
    </row>
    <row r="894" spans="1:1">
      <c r="A894">
        <v>900</v>
      </c>
    </row>
    <row r="895" spans="1:1">
      <c r="A895">
        <v>901</v>
      </c>
    </row>
    <row r="896" spans="1:1">
      <c r="A896">
        <v>902</v>
      </c>
    </row>
    <row r="897" spans="1:1">
      <c r="A897">
        <v>903</v>
      </c>
    </row>
    <row r="898" spans="1:1">
      <c r="A898">
        <v>904</v>
      </c>
    </row>
    <row r="899" spans="1:1">
      <c r="A899">
        <v>905</v>
      </c>
    </row>
    <row r="900" spans="1:1">
      <c r="A900">
        <v>906</v>
      </c>
    </row>
    <row r="901" spans="1:1">
      <c r="A901">
        <v>907</v>
      </c>
    </row>
    <row r="902" spans="1:1">
      <c r="A902">
        <v>908</v>
      </c>
    </row>
    <row r="903" spans="1:1">
      <c r="A903">
        <v>909</v>
      </c>
    </row>
    <row r="904" spans="1:1">
      <c r="A904">
        <v>910</v>
      </c>
    </row>
    <row r="905" spans="1:1">
      <c r="A905">
        <v>911</v>
      </c>
    </row>
    <row r="906" spans="1:1">
      <c r="A906">
        <v>912</v>
      </c>
    </row>
    <row r="907" spans="1:1">
      <c r="A907">
        <v>913</v>
      </c>
    </row>
    <row r="908" spans="1:1">
      <c r="A908">
        <v>914</v>
      </c>
    </row>
    <row r="909" spans="1:1">
      <c r="A909">
        <v>915</v>
      </c>
    </row>
    <row r="910" spans="1:1">
      <c r="A910">
        <v>916</v>
      </c>
    </row>
    <row r="911" spans="1:1">
      <c r="A911">
        <v>917</v>
      </c>
    </row>
    <row r="912" spans="1:1">
      <c r="A912">
        <v>918</v>
      </c>
    </row>
    <row r="913" spans="1:1">
      <c r="A913">
        <v>919</v>
      </c>
    </row>
    <row r="914" spans="1:1">
      <c r="A914">
        <v>920</v>
      </c>
    </row>
    <row r="915" spans="1:1">
      <c r="A915">
        <v>921</v>
      </c>
    </row>
    <row r="916" spans="1:1">
      <c r="A916">
        <v>922</v>
      </c>
    </row>
    <row r="917" spans="1:1">
      <c r="A917">
        <v>923</v>
      </c>
    </row>
    <row r="918" spans="1:1">
      <c r="A918">
        <v>924</v>
      </c>
    </row>
    <row r="919" spans="1:1">
      <c r="A919">
        <v>925</v>
      </c>
    </row>
    <row r="920" spans="1:1">
      <c r="A920">
        <v>926</v>
      </c>
    </row>
    <row r="921" spans="1:1">
      <c r="A921">
        <v>927</v>
      </c>
    </row>
    <row r="922" spans="1:1">
      <c r="A922">
        <v>928</v>
      </c>
    </row>
    <row r="923" spans="1:1">
      <c r="A923">
        <v>929</v>
      </c>
    </row>
    <row r="924" spans="1:1">
      <c r="A924">
        <v>930</v>
      </c>
    </row>
    <row r="925" spans="1:1">
      <c r="A925">
        <v>931</v>
      </c>
    </row>
    <row r="926" spans="1:1">
      <c r="A926">
        <v>932</v>
      </c>
    </row>
    <row r="927" spans="1:1">
      <c r="A927">
        <v>933</v>
      </c>
    </row>
    <row r="928" spans="1:1">
      <c r="A928">
        <v>934</v>
      </c>
    </row>
    <row r="929" spans="1:1">
      <c r="A929">
        <v>935</v>
      </c>
    </row>
    <row r="930" spans="1:1">
      <c r="A930">
        <v>936</v>
      </c>
    </row>
    <row r="931" spans="1:1">
      <c r="A931">
        <v>937</v>
      </c>
    </row>
    <row r="932" spans="1:1">
      <c r="A932">
        <v>938</v>
      </c>
    </row>
    <row r="933" spans="1:1">
      <c r="A933">
        <v>939</v>
      </c>
    </row>
    <row r="934" spans="1:1">
      <c r="A934">
        <v>940</v>
      </c>
    </row>
    <row r="935" spans="1:1">
      <c r="A935">
        <v>941</v>
      </c>
    </row>
    <row r="936" spans="1:1">
      <c r="A936">
        <v>942</v>
      </c>
    </row>
    <row r="937" spans="1:1">
      <c r="A937">
        <v>943</v>
      </c>
    </row>
    <row r="938" spans="1:1">
      <c r="A938">
        <v>944</v>
      </c>
    </row>
    <row r="939" spans="1:1">
      <c r="A939">
        <v>945</v>
      </c>
    </row>
    <row r="940" spans="1:1">
      <c r="A940">
        <v>946</v>
      </c>
    </row>
    <row r="941" spans="1:1">
      <c r="A941">
        <v>947</v>
      </c>
    </row>
    <row r="942" spans="1:1">
      <c r="A942">
        <v>948</v>
      </c>
    </row>
    <row r="943" spans="1:1">
      <c r="A943">
        <v>949</v>
      </c>
    </row>
    <row r="944" spans="1:1">
      <c r="A944">
        <v>950</v>
      </c>
    </row>
    <row r="945" spans="1:1">
      <c r="A945">
        <v>951</v>
      </c>
    </row>
    <row r="946" spans="1:1">
      <c r="A946">
        <v>952</v>
      </c>
    </row>
    <row r="947" spans="1:1">
      <c r="A947">
        <v>953</v>
      </c>
    </row>
    <row r="948" spans="1:1">
      <c r="A948">
        <v>954</v>
      </c>
    </row>
    <row r="949" spans="1:1">
      <c r="A949">
        <v>955</v>
      </c>
    </row>
    <row r="950" spans="1:1">
      <c r="A950">
        <v>956</v>
      </c>
    </row>
    <row r="951" spans="1:1">
      <c r="A951">
        <v>957</v>
      </c>
    </row>
    <row r="952" spans="1:1">
      <c r="A952">
        <v>958</v>
      </c>
    </row>
    <row r="953" spans="1:1">
      <c r="A953">
        <v>959</v>
      </c>
    </row>
    <row r="954" spans="1:1">
      <c r="A954">
        <v>960</v>
      </c>
    </row>
    <row r="955" spans="1:1">
      <c r="A955">
        <v>961</v>
      </c>
    </row>
    <row r="956" spans="1:1">
      <c r="A956">
        <v>962</v>
      </c>
    </row>
    <row r="957" spans="1:1">
      <c r="A957">
        <v>963</v>
      </c>
    </row>
    <row r="958" spans="1:1">
      <c r="A958">
        <v>964</v>
      </c>
    </row>
    <row r="959" spans="1:1">
      <c r="A959">
        <v>965</v>
      </c>
    </row>
    <row r="960" spans="1:1">
      <c r="A960">
        <v>966</v>
      </c>
    </row>
    <row r="961" spans="1:1">
      <c r="A961">
        <v>967</v>
      </c>
    </row>
    <row r="962" spans="1:1">
      <c r="A962">
        <v>968</v>
      </c>
    </row>
    <row r="963" spans="1:1">
      <c r="A963">
        <v>969</v>
      </c>
    </row>
    <row r="964" spans="1:1">
      <c r="A964">
        <v>970</v>
      </c>
    </row>
    <row r="965" spans="1:1">
      <c r="A965">
        <v>971</v>
      </c>
    </row>
    <row r="966" spans="1:1">
      <c r="A966">
        <v>972</v>
      </c>
    </row>
    <row r="967" spans="1:1">
      <c r="A967">
        <v>973</v>
      </c>
    </row>
    <row r="968" spans="1:1">
      <c r="A968">
        <v>974</v>
      </c>
    </row>
    <row r="969" spans="1:1">
      <c r="A969">
        <v>975</v>
      </c>
    </row>
    <row r="970" spans="1:1">
      <c r="A970">
        <v>976</v>
      </c>
    </row>
    <row r="971" spans="1:1">
      <c r="A971">
        <v>977</v>
      </c>
    </row>
    <row r="972" spans="1:1">
      <c r="A972">
        <v>978</v>
      </c>
    </row>
    <row r="973" spans="1:1">
      <c r="A973">
        <v>979</v>
      </c>
    </row>
    <row r="974" spans="1:1">
      <c r="A974">
        <v>980</v>
      </c>
    </row>
    <row r="975" spans="1:1">
      <c r="A975">
        <v>981</v>
      </c>
    </row>
    <row r="976" spans="1:1">
      <c r="A976">
        <v>982</v>
      </c>
    </row>
    <row r="977" spans="1:1">
      <c r="A977">
        <v>983</v>
      </c>
    </row>
    <row r="978" spans="1:1">
      <c r="A978">
        <v>984</v>
      </c>
    </row>
    <row r="979" spans="1:1">
      <c r="A979">
        <v>985</v>
      </c>
    </row>
    <row r="980" spans="1:1">
      <c r="A980">
        <v>986</v>
      </c>
    </row>
    <row r="981" spans="1:1">
      <c r="A981">
        <v>987</v>
      </c>
    </row>
    <row r="982" spans="1:1">
      <c r="A982">
        <v>988</v>
      </c>
    </row>
    <row r="983" spans="1:1">
      <c r="A983">
        <v>989</v>
      </c>
    </row>
    <row r="984" spans="1:1">
      <c r="A984">
        <v>990</v>
      </c>
    </row>
    <row r="985" spans="1:1">
      <c r="A985">
        <v>991</v>
      </c>
    </row>
    <row r="986" spans="1:1">
      <c r="A986">
        <v>992</v>
      </c>
    </row>
    <row r="987" spans="1:1">
      <c r="A987">
        <v>993</v>
      </c>
    </row>
    <row r="988" spans="1:1">
      <c r="A988">
        <v>994</v>
      </c>
    </row>
    <row r="989" spans="1:1">
      <c r="A989">
        <v>995</v>
      </c>
    </row>
    <row r="990" spans="1:1">
      <c r="A990">
        <v>996</v>
      </c>
    </row>
    <row r="991" spans="1:1">
      <c r="A991">
        <v>997</v>
      </c>
    </row>
    <row r="992" spans="1:1">
      <c r="A992">
        <v>998</v>
      </c>
    </row>
    <row r="993" spans="1:1">
      <c r="A993">
        <v>999</v>
      </c>
    </row>
    <row r="994" spans="1:1">
      <c r="A994">
        <v>1000</v>
      </c>
    </row>
  </sheetData>
  <phoneticPr fontId="1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4E99C690CD84D8C14FB9B89CF5CA2" ma:contentTypeVersion="14" ma:contentTypeDescription="Create a new document." ma:contentTypeScope="" ma:versionID="7d6ebaee038f40569f500d908425f89c">
  <xsd:schema xmlns:xsd="http://www.w3.org/2001/XMLSchema" xmlns:xs="http://www.w3.org/2001/XMLSchema" xmlns:p="http://schemas.microsoft.com/office/2006/metadata/properties" xmlns:ns2="72d00a49-d4df-4ae2-8448-0e7c38748169" xmlns:ns3="cdbd341c-9425-4527-8200-dbc5093c0c26" xmlns:ns4="cc3aaed6-9815-470c-8f7f-f66d9ca72b53" targetNamespace="http://schemas.microsoft.com/office/2006/metadata/properties" ma:root="true" ma:fieldsID="0d22da384523c48d606acb8860bdc860" ns2:_="" ns3:_="" ns4:_="">
    <xsd:import namespace="72d00a49-d4df-4ae2-8448-0e7c38748169"/>
    <xsd:import namespace="cdbd341c-9425-4527-8200-dbc5093c0c26"/>
    <xsd:import namespace="cc3aaed6-9815-470c-8f7f-f66d9ca72b5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2:MediaServiceObjectDetectorVersions" minOccurs="0"/>
                <xsd:element ref="ns4:SharedWithUsers" minOccurs="0"/>
                <xsd:element ref="ns4:SharedWithDetails"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d00a49-d4df-4ae2-8448-0e7c3874816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93a22c89-3912-4715-9657-2989270db28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DateTaken" ma:index="21"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dbd341c-9425-4527-8200-dbc5093c0c26"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453f2cc4-5f9f-4bbb-9939-0cc4669e82ba}" ma:internalName="TaxCatchAll" ma:showField="CatchAllData" ma:web="cc3aaed6-9815-470c-8f7f-f66d9ca72b5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c3aaed6-9815-470c-8f7f-f66d9ca72b53"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2d00a49-d4df-4ae2-8448-0e7c38748169">
      <Terms xmlns="http://schemas.microsoft.com/office/infopath/2007/PartnerControls"/>
    </lcf76f155ced4ddcb4097134ff3c332f>
    <TaxCatchAll xmlns="cdbd341c-9425-4527-8200-dbc5093c0c26" xsi:nil="true"/>
  </documentManagement>
</p:properties>
</file>

<file path=customXml/itemProps1.xml><?xml version="1.0" encoding="utf-8"?>
<ds:datastoreItem xmlns:ds="http://schemas.openxmlformats.org/officeDocument/2006/customXml" ds:itemID="{E1998C1E-DF19-4966-9A33-5E51BBAFB557}"/>
</file>

<file path=customXml/itemProps2.xml><?xml version="1.0" encoding="utf-8"?>
<ds:datastoreItem xmlns:ds="http://schemas.openxmlformats.org/officeDocument/2006/customXml" ds:itemID="{852DFE00-9AD3-4CFB-87CD-62B5FB1E5A0E}"/>
</file>

<file path=customXml/itemProps3.xml><?xml version="1.0" encoding="utf-8"?>
<ds:datastoreItem xmlns:ds="http://schemas.openxmlformats.org/officeDocument/2006/customXml" ds:itemID="{E3B58D8E-D1F9-4179-A5DA-F881FCBD819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Change Log</vt:lpstr>
      <vt:lpstr>ReadMe</vt:lpstr>
      <vt:lpstr>User Interface</vt:lpstr>
      <vt:lpstr>Calculations</vt:lpstr>
      <vt:lpstr>FINEX</vt:lpstr>
      <vt:lpstr>Options</vt:lpstr>
      <vt:lpstr>distance_mi</vt:lpstr>
      <vt:lpstr>IRR</vt:lpstr>
      <vt:lpstr>Price</vt:lpstr>
      <vt:lpstr>FINEX!Print_Area</vt:lpstr>
      <vt:lpstr>FINEX!Print_Titles</vt:lpstr>
      <vt:lpstr>size_kt_co2_per_yr</vt:lpstr>
      <vt:lpstr>start_year</vt:lpstr>
      <vt:lpstr>Target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Myers, Corey Adam</dc:creator>
  <cp:lastModifiedBy>Yuan, Mengyao</cp:lastModifiedBy>
  <cp:lastPrinted>2022-12-14T18:44:03Z</cp:lastPrinted>
  <dcterms:created xsi:type="dcterms:W3CDTF">2022-06-10T23:56:48Z</dcterms:created>
  <dcterms:modified xsi:type="dcterms:W3CDTF">2024-03-28T20:51:04Z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0x01010001B4E99C690CD84D8C14FB9B89CF5CA2</vt:lpwstr>
  </property>
</Properties>
</file>